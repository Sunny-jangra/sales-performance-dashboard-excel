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24226"/>
  <mc:AlternateContent xmlns:mc="http://schemas.openxmlformats.org/markup-compatibility/2006">
    <mc:Choice Requires="x15">
      <x15ac:absPath xmlns:x15ac="http://schemas.microsoft.com/office/spreadsheetml/2010/11/ac" url="C:\Users\sunny\Desktop\"/>
    </mc:Choice>
  </mc:AlternateContent>
  <xr:revisionPtr revIDLastSave="0" documentId="13_ncr:2001_{A32B6936-9B7B-454C-89F3-116147E8CECE}" xr6:coauthVersionLast="47" xr6:coauthVersionMax="47" xr10:uidLastSave="{00000000-0000-0000-0000-000000000000}"/>
  <bookViews>
    <workbookView xWindow="-120" yWindow="-120" windowWidth="29040" windowHeight="15720" xr2:uid="{00000000-000D-0000-FFFF-FFFF00000000}"/>
  </bookViews>
  <sheets>
    <sheet name="Sheet2" sheetId="2" r:id="rId1"/>
    <sheet name="Sheet3" sheetId="3" r:id="rId2"/>
    <sheet name="Sheet4" sheetId="4" r:id="rId3"/>
    <sheet name="Sheet5" sheetId="5" r:id="rId4"/>
    <sheet name="Sheet1" sheetId="1" r:id="rId5"/>
    <sheet name="Sales Dashboard" sheetId="6" r:id="rId6"/>
  </sheets>
  <definedNames>
    <definedName name="Slicer_CustomerType">#N/A</definedName>
    <definedName name="Slicer_Product">#N/A</definedName>
    <definedName name="Slicer_Promotion">#N/A</definedName>
    <definedName name="Slicer_Region">#N/A</definedName>
  </definedNames>
  <calcPr calcId="191029"/>
  <pivotCaches>
    <pivotCache cacheId="0" r:id="rId7"/>
  </pivotCaches>
  <fileRecoveryPr repairLoad="1"/>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2" i="1" l="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B2"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1472" i="1"/>
  <c r="B1473" i="1"/>
  <c r="B1474" i="1"/>
  <c r="B1475" i="1"/>
  <c r="B1476" i="1"/>
  <c r="B1477" i="1"/>
  <c r="B1478" i="1"/>
  <c r="B1479" i="1"/>
  <c r="B1480" i="1"/>
  <c r="B1481" i="1"/>
  <c r="B1482" i="1"/>
  <c r="B1483" i="1"/>
  <c r="B1484" i="1"/>
  <c r="B1485" i="1"/>
  <c r="B1486" i="1"/>
  <c r="B1487" i="1"/>
  <c r="B1488" i="1"/>
  <c r="B1489" i="1"/>
  <c r="B1490" i="1"/>
  <c r="B1491" i="1"/>
  <c r="B1492" i="1"/>
  <c r="B1493" i="1"/>
  <c r="B1494" i="1"/>
  <c r="B1495" i="1"/>
  <c r="B1496" i="1"/>
  <c r="B1497" i="1"/>
  <c r="B1498" i="1"/>
  <c r="B1499" i="1"/>
  <c r="B1500" i="1"/>
  <c r="B1501" i="1"/>
</calcChain>
</file>

<file path=xl/sharedStrings.xml><?xml version="1.0" encoding="utf-8"?>
<sst xmlns="http://schemas.openxmlformats.org/spreadsheetml/2006/main" count="14713" uniqueCount="2948">
  <si>
    <t>Date</t>
  </si>
  <si>
    <t>Region</t>
  </si>
  <si>
    <t>Product</t>
  </si>
  <si>
    <t>Quantity</t>
  </si>
  <si>
    <t>UnitPrice</t>
  </si>
  <si>
    <t>StoreLocation</t>
  </si>
  <si>
    <t>CustomerType</t>
  </si>
  <si>
    <t>Discount</t>
  </si>
  <si>
    <t>Salesperson</t>
  </si>
  <si>
    <t>TotalPrice</t>
  </si>
  <si>
    <t>PaymentMethod</t>
  </si>
  <si>
    <t>Promotion</t>
  </si>
  <si>
    <t>Returned</t>
  </si>
  <si>
    <t>OrderID</t>
  </si>
  <si>
    <t>CustomerName</t>
  </si>
  <si>
    <t>ShippingCost</t>
  </si>
  <si>
    <t>OrderDate</t>
  </si>
  <si>
    <t>DeliveryDate</t>
  </si>
  <si>
    <t>RegionManager</t>
  </si>
  <si>
    <t>East</t>
  </si>
  <si>
    <t>South</t>
  </si>
  <si>
    <t>North</t>
  </si>
  <si>
    <t>Central</t>
  </si>
  <si>
    <t>West</t>
  </si>
  <si>
    <t>Laptop</t>
  </si>
  <si>
    <t>Phone</t>
  </si>
  <si>
    <t>Desk</t>
  </si>
  <si>
    <t>Chair</t>
  </si>
  <si>
    <t>Monitor</t>
  </si>
  <si>
    <t>Tablet</t>
  </si>
  <si>
    <t>Printer</t>
  </si>
  <si>
    <t>Store B</t>
  </si>
  <si>
    <t>Store A</t>
  </si>
  <si>
    <t>Store C</t>
  </si>
  <si>
    <t>Store D</t>
  </si>
  <si>
    <t>Wholesale</t>
  </si>
  <si>
    <t>Retail</t>
  </si>
  <si>
    <t>Eva</t>
  </si>
  <si>
    <t>Alice</t>
  </si>
  <si>
    <t>Frank</t>
  </si>
  <si>
    <t>Carlos</t>
  </si>
  <si>
    <t>Diana</t>
  </si>
  <si>
    <t>Bob</t>
  </si>
  <si>
    <t>Online</t>
  </si>
  <si>
    <t>Gift Card</t>
  </si>
  <si>
    <t>Credit Card</t>
  </si>
  <si>
    <t>Debit Card</t>
  </si>
  <si>
    <t>Cash</t>
  </si>
  <si>
    <t>FREESHIP</t>
  </si>
  <si>
    <t>SAVE10</t>
  </si>
  <si>
    <t>WINTER15</t>
  </si>
  <si>
    <t>REG100000</t>
  </si>
  <si>
    <t>REG100001</t>
  </si>
  <si>
    <t>REG100002</t>
  </si>
  <si>
    <t>REG100003</t>
  </si>
  <si>
    <t>REG100004</t>
  </si>
  <si>
    <t>REG100005</t>
  </si>
  <si>
    <t>REG100006</t>
  </si>
  <si>
    <t>REG100007</t>
  </si>
  <si>
    <t>REG100008</t>
  </si>
  <si>
    <t>REG100009</t>
  </si>
  <si>
    <t>REG100010</t>
  </si>
  <si>
    <t>REG100011</t>
  </si>
  <si>
    <t>REG100012</t>
  </si>
  <si>
    <t>REG100013</t>
  </si>
  <si>
    <t>REG100014</t>
  </si>
  <si>
    <t>REG100015</t>
  </si>
  <si>
    <t>REG100016</t>
  </si>
  <si>
    <t>REG100017</t>
  </si>
  <si>
    <t>REG100018</t>
  </si>
  <si>
    <t>REG100019</t>
  </si>
  <si>
    <t>REG100020</t>
  </si>
  <si>
    <t>REG100021</t>
  </si>
  <si>
    <t>REG100022</t>
  </si>
  <si>
    <t>REG100023</t>
  </si>
  <si>
    <t>REG100024</t>
  </si>
  <si>
    <t>REG100025</t>
  </si>
  <si>
    <t>REG100026</t>
  </si>
  <si>
    <t>REG100027</t>
  </si>
  <si>
    <t>REG100028</t>
  </si>
  <si>
    <t>REG100029</t>
  </si>
  <si>
    <t>REG100030</t>
  </si>
  <si>
    <t>REG100031</t>
  </si>
  <si>
    <t>REG100032</t>
  </si>
  <si>
    <t>REG100033</t>
  </si>
  <si>
    <t>REG100034</t>
  </si>
  <si>
    <t>REG100035</t>
  </si>
  <si>
    <t>REG100036</t>
  </si>
  <si>
    <t>REG100037</t>
  </si>
  <si>
    <t>REG100038</t>
  </si>
  <si>
    <t>REG100039</t>
  </si>
  <si>
    <t>REG100040</t>
  </si>
  <si>
    <t>REG100041</t>
  </si>
  <si>
    <t>REG100042</t>
  </si>
  <si>
    <t>REG100043</t>
  </si>
  <si>
    <t>REG100044</t>
  </si>
  <si>
    <t>REG100045</t>
  </si>
  <si>
    <t>REG100046</t>
  </si>
  <si>
    <t>REG100047</t>
  </si>
  <si>
    <t>REG100048</t>
  </si>
  <si>
    <t>REG100049</t>
  </si>
  <si>
    <t>REG100050</t>
  </si>
  <si>
    <t>REG100051</t>
  </si>
  <si>
    <t>REG100052</t>
  </si>
  <si>
    <t>REG100053</t>
  </si>
  <si>
    <t>REG100054</t>
  </si>
  <si>
    <t>REG100055</t>
  </si>
  <si>
    <t>REG100056</t>
  </si>
  <si>
    <t>REG100057</t>
  </si>
  <si>
    <t>REG100058</t>
  </si>
  <si>
    <t>REG100059</t>
  </si>
  <si>
    <t>REG100060</t>
  </si>
  <si>
    <t>REG100061</t>
  </si>
  <si>
    <t>REG100062</t>
  </si>
  <si>
    <t>REG100063</t>
  </si>
  <si>
    <t>REG100064</t>
  </si>
  <si>
    <t>REG100065</t>
  </si>
  <si>
    <t>REG100066</t>
  </si>
  <si>
    <t>REG100067</t>
  </si>
  <si>
    <t>REG100068</t>
  </si>
  <si>
    <t>REG100069</t>
  </si>
  <si>
    <t>REG100070</t>
  </si>
  <si>
    <t>REG100071</t>
  </si>
  <si>
    <t>REG100072</t>
  </si>
  <si>
    <t>REG100073</t>
  </si>
  <si>
    <t>REG100074</t>
  </si>
  <si>
    <t>REG100075</t>
  </si>
  <si>
    <t>REG100076</t>
  </si>
  <si>
    <t>REG100077</t>
  </si>
  <si>
    <t>REG100078</t>
  </si>
  <si>
    <t>REG100079</t>
  </si>
  <si>
    <t>REG100080</t>
  </si>
  <si>
    <t>REG100081</t>
  </si>
  <si>
    <t>REG100082</t>
  </si>
  <si>
    <t>REG100083</t>
  </si>
  <si>
    <t>REG100084</t>
  </si>
  <si>
    <t>REG100085</t>
  </si>
  <si>
    <t>REG100086</t>
  </si>
  <si>
    <t>REG100087</t>
  </si>
  <si>
    <t>REG100088</t>
  </si>
  <si>
    <t>REG100089</t>
  </si>
  <si>
    <t>REG100090</t>
  </si>
  <si>
    <t>REG100091</t>
  </si>
  <si>
    <t>REG100092</t>
  </si>
  <si>
    <t>REG100093</t>
  </si>
  <si>
    <t>REG100094</t>
  </si>
  <si>
    <t>REG100095</t>
  </si>
  <si>
    <t>REG100096</t>
  </si>
  <si>
    <t>REG100097</t>
  </si>
  <si>
    <t>REG100098</t>
  </si>
  <si>
    <t>REG100099</t>
  </si>
  <si>
    <t>REG100100</t>
  </si>
  <si>
    <t>REG100101</t>
  </si>
  <si>
    <t>REG100102</t>
  </si>
  <si>
    <t>REG100103</t>
  </si>
  <si>
    <t>REG100104</t>
  </si>
  <si>
    <t>REG100105</t>
  </si>
  <si>
    <t>REG100106</t>
  </si>
  <si>
    <t>REG100107</t>
  </si>
  <si>
    <t>REG100108</t>
  </si>
  <si>
    <t>REG100109</t>
  </si>
  <si>
    <t>REG100110</t>
  </si>
  <si>
    <t>REG100111</t>
  </si>
  <si>
    <t>REG100112</t>
  </si>
  <si>
    <t>REG100113</t>
  </si>
  <si>
    <t>REG100114</t>
  </si>
  <si>
    <t>REG100115</t>
  </si>
  <si>
    <t>REG100116</t>
  </si>
  <si>
    <t>REG100117</t>
  </si>
  <si>
    <t>REG100118</t>
  </si>
  <si>
    <t>REG100119</t>
  </si>
  <si>
    <t>REG100120</t>
  </si>
  <si>
    <t>REG100121</t>
  </si>
  <si>
    <t>REG100122</t>
  </si>
  <si>
    <t>REG100123</t>
  </si>
  <si>
    <t>REG100124</t>
  </si>
  <si>
    <t>REG100125</t>
  </si>
  <si>
    <t>REG100126</t>
  </si>
  <si>
    <t>REG100127</t>
  </si>
  <si>
    <t>REG100128</t>
  </si>
  <si>
    <t>REG100129</t>
  </si>
  <si>
    <t>REG100130</t>
  </si>
  <si>
    <t>REG100131</t>
  </si>
  <si>
    <t>REG100132</t>
  </si>
  <si>
    <t>REG100133</t>
  </si>
  <si>
    <t>REG100134</t>
  </si>
  <si>
    <t>REG100135</t>
  </si>
  <si>
    <t>REG100136</t>
  </si>
  <si>
    <t>REG100137</t>
  </si>
  <si>
    <t>REG100138</t>
  </si>
  <si>
    <t>REG100139</t>
  </si>
  <si>
    <t>REG100140</t>
  </si>
  <si>
    <t>REG100141</t>
  </si>
  <si>
    <t>REG100142</t>
  </si>
  <si>
    <t>REG100143</t>
  </si>
  <si>
    <t>REG100144</t>
  </si>
  <si>
    <t>REG100145</t>
  </si>
  <si>
    <t>REG100146</t>
  </si>
  <si>
    <t>REG100147</t>
  </si>
  <si>
    <t>REG100148</t>
  </si>
  <si>
    <t>REG100149</t>
  </si>
  <si>
    <t>REG100150</t>
  </si>
  <si>
    <t>REG100151</t>
  </si>
  <si>
    <t>REG100152</t>
  </si>
  <si>
    <t>REG100153</t>
  </si>
  <si>
    <t>REG100154</t>
  </si>
  <si>
    <t>REG100155</t>
  </si>
  <si>
    <t>REG100156</t>
  </si>
  <si>
    <t>REG100157</t>
  </si>
  <si>
    <t>REG100158</t>
  </si>
  <si>
    <t>REG100159</t>
  </si>
  <si>
    <t>REG100160</t>
  </si>
  <si>
    <t>REG100161</t>
  </si>
  <si>
    <t>REG100162</t>
  </si>
  <si>
    <t>REG100163</t>
  </si>
  <si>
    <t>REG100164</t>
  </si>
  <si>
    <t>REG100165</t>
  </si>
  <si>
    <t>REG100166</t>
  </si>
  <si>
    <t>REG100167</t>
  </si>
  <si>
    <t>REG100168</t>
  </si>
  <si>
    <t>REG100169</t>
  </si>
  <si>
    <t>REG100170</t>
  </si>
  <si>
    <t>REG100171</t>
  </si>
  <si>
    <t>REG100172</t>
  </si>
  <si>
    <t>REG100173</t>
  </si>
  <si>
    <t>REG100174</t>
  </si>
  <si>
    <t>REG100175</t>
  </si>
  <si>
    <t>REG100176</t>
  </si>
  <si>
    <t>REG100177</t>
  </si>
  <si>
    <t>REG100178</t>
  </si>
  <si>
    <t>REG100179</t>
  </si>
  <si>
    <t>REG100180</t>
  </si>
  <si>
    <t>REG100181</t>
  </si>
  <si>
    <t>REG100182</t>
  </si>
  <si>
    <t>REG100183</t>
  </si>
  <si>
    <t>REG100184</t>
  </si>
  <si>
    <t>REG100185</t>
  </si>
  <si>
    <t>REG100186</t>
  </si>
  <si>
    <t>REG100187</t>
  </si>
  <si>
    <t>REG100188</t>
  </si>
  <si>
    <t>REG100189</t>
  </si>
  <si>
    <t>REG100190</t>
  </si>
  <si>
    <t>REG100191</t>
  </si>
  <si>
    <t>REG100192</t>
  </si>
  <si>
    <t>REG100193</t>
  </si>
  <si>
    <t>REG100194</t>
  </si>
  <si>
    <t>REG100195</t>
  </si>
  <si>
    <t>REG100196</t>
  </si>
  <si>
    <t>REG100197</t>
  </si>
  <si>
    <t>REG100198</t>
  </si>
  <si>
    <t>REG100199</t>
  </si>
  <si>
    <t>REG100200</t>
  </si>
  <si>
    <t>REG100201</t>
  </si>
  <si>
    <t>REG100202</t>
  </si>
  <si>
    <t>REG100203</t>
  </si>
  <si>
    <t>REG100204</t>
  </si>
  <si>
    <t>REG100205</t>
  </si>
  <si>
    <t>REG100206</t>
  </si>
  <si>
    <t>REG100207</t>
  </si>
  <si>
    <t>REG100208</t>
  </si>
  <si>
    <t>REG100209</t>
  </si>
  <si>
    <t>REG100210</t>
  </si>
  <si>
    <t>REG100211</t>
  </si>
  <si>
    <t>REG100212</t>
  </si>
  <si>
    <t>REG100213</t>
  </si>
  <si>
    <t>REG100214</t>
  </si>
  <si>
    <t>REG100215</t>
  </si>
  <si>
    <t>REG100216</t>
  </si>
  <si>
    <t>REG100217</t>
  </si>
  <si>
    <t>REG100218</t>
  </si>
  <si>
    <t>REG100219</t>
  </si>
  <si>
    <t>REG100220</t>
  </si>
  <si>
    <t>REG100221</t>
  </si>
  <si>
    <t>REG100222</t>
  </si>
  <si>
    <t>REG100223</t>
  </si>
  <si>
    <t>REG100224</t>
  </si>
  <si>
    <t>REG100225</t>
  </si>
  <si>
    <t>REG100226</t>
  </si>
  <si>
    <t>REG100227</t>
  </si>
  <si>
    <t>REG100228</t>
  </si>
  <si>
    <t>REG100229</t>
  </si>
  <si>
    <t>REG100230</t>
  </si>
  <si>
    <t>REG100231</t>
  </si>
  <si>
    <t>REG100232</t>
  </si>
  <si>
    <t>REG100233</t>
  </si>
  <si>
    <t>REG100234</t>
  </si>
  <si>
    <t>REG100235</t>
  </si>
  <si>
    <t>REG100236</t>
  </si>
  <si>
    <t>REG100237</t>
  </si>
  <si>
    <t>REG100238</t>
  </si>
  <si>
    <t>REG100239</t>
  </si>
  <si>
    <t>REG100240</t>
  </si>
  <si>
    <t>REG100241</t>
  </si>
  <si>
    <t>REG100242</t>
  </si>
  <si>
    <t>REG100243</t>
  </si>
  <si>
    <t>REG100244</t>
  </si>
  <si>
    <t>REG100245</t>
  </si>
  <si>
    <t>REG100246</t>
  </si>
  <si>
    <t>REG100247</t>
  </si>
  <si>
    <t>REG100248</t>
  </si>
  <si>
    <t>REG100249</t>
  </si>
  <si>
    <t>REG100250</t>
  </si>
  <si>
    <t>REG100251</t>
  </si>
  <si>
    <t>REG100252</t>
  </si>
  <si>
    <t>REG100253</t>
  </si>
  <si>
    <t>REG100254</t>
  </si>
  <si>
    <t>REG100255</t>
  </si>
  <si>
    <t>REG100256</t>
  </si>
  <si>
    <t>REG100257</t>
  </si>
  <si>
    <t>REG100258</t>
  </si>
  <si>
    <t>REG100259</t>
  </si>
  <si>
    <t>REG100260</t>
  </si>
  <si>
    <t>REG100261</t>
  </si>
  <si>
    <t>REG100262</t>
  </si>
  <si>
    <t>REG100263</t>
  </si>
  <si>
    <t>REG100264</t>
  </si>
  <si>
    <t>REG100265</t>
  </si>
  <si>
    <t>REG100266</t>
  </si>
  <si>
    <t>REG100267</t>
  </si>
  <si>
    <t>REG100268</t>
  </si>
  <si>
    <t>REG100269</t>
  </si>
  <si>
    <t>REG100270</t>
  </si>
  <si>
    <t>REG100271</t>
  </si>
  <si>
    <t>REG100272</t>
  </si>
  <si>
    <t>REG100273</t>
  </si>
  <si>
    <t>REG100274</t>
  </si>
  <si>
    <t>REG100275</t>
  </si>
  <si>
    <t>REG100276</t>
  </si>
  <si>
    <t>REG100277</t>
  </si>
  <si>
    <t>REG100278</t>
  </si>
  <si>
    <t>REG100279</t>
  </si>
  <si>
    <t>REG100280</t>
  </si>
  <si>
    <t>REG100281</t>
  </si>
  <si>
    <t>REG100282</t>
  </si>
  <si>
    <t>REG100283</t>
  </si>
  <si>
    <t>REG100284</t>
  </si>
  <si>
    <t>REG100285</t>
  </si>
  <si>
    <t>REG100286</t>
  </si>
  <si>
    <t>REG100287</t>
  </si>
  <si>
    <t>REG100288</t>
  </si>
  <si>
    <t>REG100289</t>
  </si>
  <si>
    <t>REG100290</t>
  </si>
  <si>
    <t>REG100291</t>
  </si>
  <si>
    <t>REG100292</t>
  </si>
  <si>
    <t>REG100293</t>
  </si>
  <si>
    <t>REG100294</t>
  </si>
  <si>
    <t>REG100295</t>
  </si>
  <si>
    <t>REG100296</t>
  </si>
  <si>
    <t>REG100297</t>
  </si>
  <si>
    <t>REG100298</t>
  </si>
  <si>
    <t>REG100299</t>
  </si>
  <si>
    <t>REG100300</t>
  </si>
  <si>
    <t>REG100301</t>
  </si>
  <si>
    <t>REG100302</t>
  </si>
  <si>
    <t>REG100303</t>
  </si>
  <si>
    <t>REG100304</t>
  </si>
  <si>
    <t>REG100305</t>
  </si>
  <si>
    <t>REG100306</t>
  </si>
  <si>
    <t>REG100307</t>
  </si>
  <si>
    <t>REG100308</t>
  </si>
  <si>
    <t>REG100309</t>
  </si>
  <si>
    <t>REG100310</t>
  </si>
  <si>
    <t>REG100311</t>
  </si>
  <si>
    <t>REG100312</t>
  </si>
  <si>
    <t>REG100313</t>
  </si>
  <si>
    <t>REG100314</t>
  </si>
  <si>
    <t>REG100315</t>
  </si>
  <si>
    <t>REG100316</t>
  </si>
  <si>
    <t>REG100317</t>
  </si>
  <si>
    <t>REG100318</t>
  </si>
  <si>
    <t>REG100319</t>
  </si>
  <si>
    <t>REG100320</t>
  </si>
  <si>
    <t>REG100321</t>
  </si>
  <si>
    <t>REG100322</t>
  </si>
  <si>
    <t>REG100323</t>
  </si>
  <si>
    <t>REG100324</t>
  </si>
  <si>
    <t>REG100325</t>
  </si>
  <si>
    <t>REG100326</t>
  </si>
  <si>
    <t>REG100327</t>
  </si>
  <si>
    <t>REG100328</t>
  </si>
  <si>
    <t>REG100329</t>
  </si>
  <si>
    <t>REG100330</t>
  </si>
  <si>
    <t>REG100331</t>
  </si>
  <si>
    <t>REG100332</t>
  </si>
  <si>
    <t>REG100333</t>
  </si>
  <si>
    <t>REG100334</t>
  </si>
  <si>
    <t>REG100335</t>
  </si>
  <si>
    <t>REG100336</t>
  </si>
  <si>
    <t>REG100337</t>
  </si>
  <si>
    <t>REG100338</t>
  </si>
  <si>
    <t>REG100339</t>
  </si>
  <si>
    <t>REG100340</t>
  </si>
  <si>
    <t>REG100341</t>
  </si>
  <si>
    <t>REG100342</t>
  </si>
  <si>
    <t>REG100343</t>
  </si>
  <si>
    <t>REG100344</t>
  </si>
  <si>
    <t>REG100345</t>
  </si>
  <si>
    <t>REG100346</t>
  </si>
  <si>
    <t>REG100347</t>
  </si>
  <si>
    <t>REG100348</t>
  </si>
  <si>
    <t>REG100349</t>
  </si>
  <si>
    <t>REG100350</t>
  </si>
  <si>
    <t>REG100351</t>
  </si>
  <si>
    <t>REG100352</t>
  </si>
  <si>
    <t>REG100353</t>
  </si>
  <si>
    <t>REG100354</t>
  </si>
  <si>
    <t>REG100355</t>
  </si>
  <si>
    <t>REG100356</t>
  </si>
  <si>
    <t>REG100357</t>
  </si>
  <si>
    <t>REG100358</t>
  </si>
  <si>
    <t>REG100359</t>
  </si>
  <si>
    <t>REG100360</t>
  </si>
  <si>
    <t>REG100361</t>
  </si>
  <si>
    <t>REG100362</t>
  </si>
  <si>
    <t>REG100363</t>
  </si>
  <si>
    <t>REG100364</t>
  </si>
  <si>
    <t>REG100365</t>
  </si>
  <si>
    <t>REG100366</t>
  </si>
  <si>
    <t>REG100367</t>
  </si>
  <si>
    <t>REG100368</t>
  </si>
  <si>
    <t>REG100369</t>
  </si>
  <si>
    <t>REG100370</t>
  </si>
  <si>
    <t>REG100371</t>
  </si>
  <si>
    <t>REG100372</t>
  </si>
  <si>
    <t>REG100373</t>
  </si>
  <si>
    <t>REG100374</t>
  </si>
  <si>
    <t>REG100375</t>
  </si>
  <si>
    <t>REG100376</t>
  </si>
  <si>
    <t>REG100377</t>
  </si>
  <si>
    <t>REG100378</t>
  </si>
  <si>
    <t>REG100379</t>
  </si>
  <si>
    <t>REG100380</t>
  </si>
  <si>
    <t>REG100381</t>
  </si>
  <si>
    <t>REG100382</t>
  </si>
  <si>
    <t>REG100383</t>
  </si>
  <si>
    <t>REG100384</t>
  </si>
  <si>
    <t>REG100385</t>
  </si>
  <si>
    <t>REG100386</t>
  </si>
  <si>
    <t>REG100387</t>
  </si>
  <si>
    <t>REG100388</t>
  </si>
  <si>
    <t>REG100389</t>
  </si>
  <si>
    <t>REG100390</t>
  </si>
  <si>
    <t>REG100391</t>
  </si>
  <si>
    <t>REG100392</t>
  </si>
  <si>
    <t>REG100393</t>
  </si>
  <si>
    <t>REG100394</t>
  </si>
  <si>
    <t>REG100395</t>
  </si>
  <si>
    <t>REG100396</t>
  </si>
  <si>
    <t>REG100397</t>
  </si>
  <si>
    <t>REG100398</t>
  </si>
  <si>
    <t>REG100399</t>
  </si>
  <si>
    <t>REG100400</t>
  </si>
  <si>
    <t>REG100401</t>
  </si>
  <si>
    <t>REG100402</t>
  </si>
  <si>
    <t>REG100403</t>
  </si>
  <si>
    <t>REG100404</t>
  </si>
  <si>
    <t>REG100405</t>
  </si>
  <si>
    <t>REG100406</t>
  </si>
  <si>
    <t>REG100407</t>
  </si>
  <si>
    <t>REG100408</t>
  </si>
  <si>
    <t>REG100409</t>
  </si>
  <si>
    <t>REG100410</t>
  </si>
  <si>
    <t>REG100411</t>
  </si>
  <si>
    <t>REG100412</t>
  </si>
  <si>
    <t>REG100413</t>
  </si>
  <si>
    <t>REG100414</t>
  </si>
  <si>
    <t>REG100415</t>
  </si>
  <si>
    <t>REG100416</t>
  </si>
  <si>
    <t>REG100417</t>
  </si>
  <si>
    <t>REG100418</t>
  </si>
  <si>
    <t>REG100419</t>
  </si>
  <si>
    <t>REG100420</t>
  </si>
  <si>
    <t>REG100421</t>
  </si>
  <si>
    <t>REG100422</t>
  </si>
  <si>
    <t>REG100423</t>
  </si>
  <si>
    <t>REG100424</t>
  </si>
  <si>
    <t>REG100425</t>
  </si>
  <si>
    <t>REG100426</t>
  </si>
  <si>
    <t>REG100427</t>
  </si>
  <si>
    <t>REG100428</t>
  </si>
  <si>
    <t>REG100429</t>
  </si>
  <si>
    <t>REG100430</t>
  </si>
  <si>
    <t>REG100431</t>
  </si>
  <si>
    <t>REG100432</t>
  </si>
  <si>
    <t>REG100433</t>
  </si>
  <si>
    <t>REG100434</t>
  </si>
  <si>
    <t>REG100435</t>
  </si>
  <si>
    <t>REG100436</t>
  </si>
  <si>
    <t>REG100437</t>
  </si>
  <si>
    <t>REG100438</t>
  </si>
  <si>
    <t>REG100439</t>
  </si>
  <si>
    <t>REG100440</t>
  </si>
  <si>
    <t>REG100441</t>
  </si>
  <si>
    <t>REG100442</t>
  </si>
  <si>
    <t>REG100443</t>
  </si>
  <si>
    <t>REG100444</t>
  </si>
  <si>
    <t>REG100445</t>
  </si>
  <si>
    <t>REG100446</t>
  </si>
  <si>
    <t>REG100447</t>
  </si>
  <si>
    <t>REG100448</t>
  </si>
  <si>
    <t>REG100449</t>
  </si>
  <si>
    <t>REG100450</t>
  </si>
  <si>
    <t>REG100451</t>
  </si>
  <si>
    <t>REG100452</t>
  </si>
  <si>
    <t>REG100453</t>
  </si>
  <si>
    <t>REG100454</t>
  </si>
  <si>
    <t>REG100455</t>
  </si>
  <si>
    <t>REG100456</t>
  </si>
  <si>
    <t>REG100457</t>
  </si>
  <si>
    <t>REG100458</t>
  </si>
  <si>
    <t>REG100459</t>
  </si>
  <si>
    <t>REG100460</t>
  </si>
  <si>
    <t>REG100461</t>
  </si>
  <si>
    <t>REG100462</t>
  </si>
  <si>
    <t>REG100463</t>
  </si>
  <si>
    <t>REG100464</t>
  </si>
  <si>
    <t>REG100465</t>
  </si>
  <si>
    <t>REG100466</t>
  </si>
  <si>
    <t>REG100467</t>
  </si>
  <si>
    <t>REG100468</t>
  </si>
  <si>
    <t>REG100469</t>
  </si>
  <si>
    <t>REG100470</t>
  </si>
  <si>
    <t>REG100471</t>
  </si>
  <si>
    <t>REG100472</t>
  </si>
  <si>
    <t>REG100473</t>
  </si>
  <si>
    <t>REG100474</t>
  </si>
  <si>
    <t>REG100475</t>
  </si>
  <si>
    <t>REG100476</t>
  </si>
  <si>
    <t>REG100477</t>
  </si>
  <si>
    <t>REG100478</t>
  </si>
  <si>
    <t>REG100479</t>
  </si>
  <si>
    <t>REG100480</t>
  </si>
  <si>
    <t>REG100481</t>
  </si>
  <si>
    <t>REG100482</t>
  </si>
  <si>
    <t>REG100483</t>
  </si>
  <si>
    <t>REG100484</t>
  </si>
  <si>
    <t>REG100485</t>
  </si>
  <si>
    <t>REG100486</t>
  </si>
  <si>
    <t>REG100487</t>
  </si>
  <si>
    <t>REG100488</t>
  </si>
  <si>
    <t>REG100489</t>
  </si>
  <si>
    <t>REG100490</t>
  </si>
  <si>
    <t>REG100491</t>
  </si>
  <si>
    <t>REG100492</t>
  </si>
  <si>
    <t>REG100493</t>
  </si>
  <si>
    <t>REG100494</t>
  </si>
  <si>
    <t>REG100495</t>
  </si>
  <si>
    <t>REG100496</t>
  </si>
  <si>
    <t>REG100497</t>
  </si>
  <si>
    <t>REG100498</t>
  </si>
  <si>
    <t>REG100499</t>
  </si>
  <si>
    <t>REG100500</t>
  </si>
  <si>
    <t>REG100501</t>
  </si>
  <si>
    <t>REG100502</t>
  </si>
  <si>
    <t>REG100503</t>
  </si>
  <si>
    <t>REG100504</t>
  </si>
  <si>
    <t>REG100505</t>
  </si>
  <si>
    <t>REG100506</t>
  </si>
  <si>
    <t>REG100507</t>
  </si>
  <si>
    <t>REG100508</t>
  </si>
  <si>
    <t>REG100509</t>
  </si>
  <si>
    <t>REG100510</t>
  </si>
  <si>
    <t>REG100511</t>
  </si>
  <si>
    <t>REG100512</t>
  </si>
  <si>
    <t>REG100513</t>
  </si>
  <si>
    <t>REG100514</t>
  </si>
  <si>
    <t>REG100515</t>
  </si>
  <si>
    <t>REG100516</t>
  </si>
  <si>
    <t>REG100517</t>
  </si>
  <si>
    <t>REG100518</t>
  </si>
  <si>
    <t>REG100519</t>
  </si>
  <si>
    <t>REG100520</t>
  </si>
  <si>
    <t>REG100521</t>
  </si>
  <si>
    <t>REG100522</t>
  </si>
  <si>
    <t>REG100523</t>
  </si>
  <si>
    <t>REG100524</t>
  </si>
  <si>
    <t>REG100525</t>
  </si>
  <si>
    <t>REG100526</t>
  </si>
  <si>
    <t>REG100527</t>
  </si>
  <si>
    <t>REG100528</t>
  </si>
  <si>
    <t>REG100529</t>
  </si>
  <si>
    <t>REG100530</t>
  </si>
  <si>
    <t>REG100531</t>
  </si>
  <si>
    <t>REG100532</t>
  </si>
  <si>
    <t>REG100533</t>
  </si>
  <si>
    <t>REG100534</t>
  </si>
  <si>
    <t>REG100535</t>
  </si>
  <si>
    <t>REG100536</t>
  </si>
  <si>
    <t>REG100537</t>
  </si>
  <si>
    <t>REG100538</t>
  </si>
  <si>
    <t>REG100539</t>
  </si>
  <si>
    <t>REG100540</t>
  </si>
  <si>
    <t>REG100541</t>
  </si>
  <si>
    <t>REG100542</t>
  </si>
  <si>
    <t>REG100543</t>
  </si>
  <si>
    <t>REG100544</t>
  </si>
  <si>
    <t>REG100545</t>
  </si>
  <si>
    <t>REG100546</t>
  </si>
  <si>
    <t>REG100547</t>
  </si>
  <si>
    <t>REG100548</t>
  </si>
  <si>
    <t>REG100549</t>
  </si>
  <si>
    <t>REG100550</t>
  </si>
  <si>
    <t>REG100551</t>
  </si>
  <si>
    <t>REG100552</t>
  </si>
  <si>
    <t>REG100553</t>
  </si>
  <si>
    <t>REG100554</t>
  </si>
  <si>
    <t>REG100555</t>
  </si>
  <si>
    <t>REG100556</t>
  </si>
  <si>
    <t>REG100557</t>
  </si>
  <si>
    <t>REG100558</t>
  </si>
  <si>
    <t>REG100559</t>
  </si>
  <si>
    <t>REG100560</t>
  </si>
  <si>
    <t>REG100561</t>
  </si>
  <si>
    <t>REG100562</t>
  </si>
  <si>
    <t>REG100563</t>
  </si>
  <si>
    <t>REG100564</t>
  </si>
  <si>
    <t>REG100565</t>
  </si>
  <si>
    <t>REG100566</t>
  </si>
  <si>
    <t>REG100567</t>
  </si>
  <si>
    <t>REG100568</t>
  </si>
  <si>
    <t>REG100569</t>
  </si>
  <si>
    <t>REG100570</t>
  </si>
  <si>
    <t>REG100571</t>
  </si>
  <si>
    <t>REG100572</t>
  </si>
  <si>
    <t>REG100573</t>
  </si>
  <si>
    <t>REG100574</t>
  </si>
  <si>
    <t>REG100575</t>
  </si>
  <si>
    <t>REG100576</t>
  </si>
  <si>
    <t>REG100577</t>
  </si>
  <si>
    <t>REG100578</t>
  </si>
  <si>
    <t>REG100579</t>
  </si>
  <si>
    <t>REG100580</t>
  </si>
  <si>
    <t>REG100581</t>
  </si>
  <si>
    <t>REG100582</t>
  </si>
  <si>
    <t>REG100583</t>
  </si>
  <si>
    <t>REG100584</t>
  </si>
  <si>
    <t>REG100585</t>
  </si>
  <si>
    <t>REG100586</t>
  </si>
  <si>
    <t>REG100587</t>
  </si>
  <si>
    <t>REG100588</t>
  </si>
  <si>
    <t>REG100589</t>
  </si>
  <si>
    <t>REG100590</t>
  </si>
  <si>
    <t>REG100591</t>
  </si>
  <si>
    <t>REG100592</t>
  </si>
  <si>
    <t>REG100593</t>
  </si>
  <si>
    <t>REG100594</t>
  </si>
  <si>
    <t>REG100595</t>
  </si>
  <si>
    <t>REG100596</t>
  </si>
  <si>
    <t>REG100597</t>
  </si>
  <si>
    <t>REG100598</t>
  </si>
  <si>
    <t>REG100599</t>
  </si>
  <si>
    <t>REG100600</t>
  </si>
  <si>
    <t>REG100601</t>
  </si>
  <si>
    <t>REG100602</t>
  </si>
  <si>
    <t>REG100603</t>
  </si>
  <si>
    <t>REG100604</t>
  </si>
  <si>
    <t>REG100605</t>
  </si>
  <si>
    <t>REG100606</t>
  </si>
  <si>
    <t>REG100607</t>
  </si>
  <si>
    <t>REG100608</t>
  </si>
  <si>
    <t>REG100609</t>
  </si>
  <si>
    <t>REG100610</t>
  </si>
  <si>
    <t>REG100611</t>
  </si>
  <si>
    <t>REG100612</t>
  </si>
  <si>
    <t>REG100613</t>
  </si>
  <si>
    <t>REG100614</t>
  </si>
  <si>
    <t>REG100615</t>
  </si>
  <si>
    <t>REG100616</t>
  </si>
  <si>
    <t>REG100617</t>
  </si>
  <si>
    <t>REG100618</t>
  </si>
  <si>
    <t>REG100619</t>
  </si>
  <si>
    <t>REG100620</t>
  </si>
  <si>
    <t>REG100621</t>
  </si>
  <si>
    <t>REG100622</t>
  </si>
  <si>
    <t>REG100623</t>
  </si>
  <si>
    <t>REG100624</t>
  </si>
  <si>
    <t>REG100625</t>
  </si>
  <si>
    <t>REG100626</t>
  </si>
  <si>
    <t>REG100627</t>
  </si>
  <si>
    <t>REG100628</t>
  </si>
  <si>
    <t>REG100629</t>
  </si>
  <si>
    <t>REG100630</t>
  </si>
  <si>
    <t>REG100631</t>
  </si>
  <si>
    <t>REG100632</t>
  </si>
  <si>
    <t>REG100633</t>
  </si>
  <si>
    <t>REG100634</t>
  </si>
  <si>
    <t>REG100635</t>
  </si>
  <si>
    <t>REG100636</t>
  </si>
  <si>
    <t>REG100637</t>
  </si>
  <si>
    <t>REG100638</t>
  </si>
  <si>
    <t>REG100639</t>
  </si>
  <si>
    <t>REG100640</t>
  </si>
  <si>
    <t>REG100641</t>
  </si>
  <si>
    <t>REG100642</t>
  </si>
  <si>
    <t>REG100643</t>
  </si>
  <si>
    <t>REG100644</t>
  </si>
  <si>
    <t>REG100645</t>
  </si>
  <si>
    <t>REG100646</t>
  </si>
  <si>
    <t>REG100647</t>
  </si>
  <si>
    <t>REG100648</t>
  </si>
  <si>
    <t>REG100649</t>
  </si>
  <si>
    <t>REG100650</t>
  </si>
  <si>
    <t>REG100651</t>
  </si>
  <si>
    <t>REG100652</t>
  </si>
  <si>
    <t>REG100653</t>
  </si>
  <si>
    <t>REG100654</t>
  </si>
  <si>
    <t>REG100655</t>
  </si>
  <si>
    <t>REG100656</t>
  </si>
  <si>
    <t>REG100657</t>
  </si>
  <si>
    <t>REG100658</t>
  </si>
  <si>
    <t>REG100659</t>
  </si>
  <si>
    <t>REG100660</t>
  </si>
  <si>
    <t>REG100661</t>
  </si>
  <si>
    <t>REG100662</t>
  </si>
  <si>
    <t>REG100663</t>
  </si>
  <si>
    <t>REG100664</t>
  </si>
  <si>
    <t>REG100665</t>
  </si>
  <si>
    <t>REG100666</t>
  </si>
  <si>
    <t>REG100667</t>
  </si>
  <si>
    <t>REG100668</t>
  </si>
  <si>
    <t>REG100669</t>
  </si>
  <si>
    <t>REG100670</t>
  </si>
  <si>
    <t>REG100671</t>
  </si>
  <si>
    <t>REG100672</t>
  </si>
  <si>
    <t>REG100673</t>
  </si>
  <si>
    <t>REG100674</t>
  </si>
  <si>
    <t>REG100675</t>
  </si>
  <si>
    <t>REG100676</t>
  </si>
  <si>
    <t>REG100677</t>
  </si>
  <si>
    <t>REG100678</t>
  </si>
  <si>
    <t>REG100679</t>
  </si>
  <si>
    <t>REG100680</t>
  </si>
  <si>
    <t>REG100681</t>
  </si>
  <si>
    <t>REG100682</t>
  </si>
  <si>
    <t>REG100683</t>
  </si>
  <si>
    <t>REG100684</t>
  </si>
  <si>
    <t>REG100685</t>
  </si>
  <si>
    <t>REG100686</t>
  </si>
  <si>
    <t>REG100687</t>
  </si>
  <si>
    <t>REG100688</t>
  </si>
  <si>
    <t>REG100689</t>
  </si>
  <si>
    <t>REG100690</t>
  </si>
  <si>
    <t>REG100691</t>
  </si>
  <si>
    <t>REG100692</t>
  </si>
  <si>
    <t>REG100693</t>
  </si>
  <si>
    <t>REG100694</t>
  </si>
  <si>
    <t>REG100695</t>
  </si>
  <si>
    <t>REG100696</t>
  </si>
  <si>
    <t>REG100697</t>
  </si>
  <si>
    <t>REG100698</t>
  </si>
  <si>
    <t>REG100699</t>
  </si>
  <si>
    <t>REG100700</t>
  </si>
  <si>
    <t>REG100701</t>
  </si>
  <si>
    <t>REG100702</t>
  </si>
  <si>
    <t>REG100703</t>
  </si>
  <si>
    <t>REG100704</t>
  </si>
  <si>
    <t>REG100705</t>
  </si>
  <si>
    <t>REG100706</t>
  </si>
  <si>
    <t>REG100707</t>
  </si>
  <si>
    <t>REG100708</t>
  </si>
  <si>
    <t>REG100709</t>
  </si>
  <si>
    <t>REG100710</t>
  </si>
  <si>
    <t>REG100711</t>
  </si>
  <si>
    <t>REG100712</t>
  </si>
  <si>
    <t>REG100713</t>
  </si>
  <si>
    <t>REG100714</t>
  </si>
  <si>
    <t>REG100715</t>
  </si>
  <si>
    <t>REG100716</t>
  </si>
  <si>
    <t>REG100717</t>
  </si>
  <si>
    <t>REG100718</t>
  </si>
  <si>
    <t>REG100719</t>
  </si>
  <si>
    <t>REG100720</t>
  </si>
  <si>
    <t>REG100721</t>
  </si>
  <si>
    <t>REG100722</t>
  </si>
  <si>
    <t>REG100723</t>
  </si>
  <si>
    <t>REG100724</t>
  </si>
  <si>
    <t>REG100725</t>
  </si>
  <si>
    <t>REG100726</t>
  </si>
  <si>
    <t>REG100727</t>
  </si>
  <si>
    <t>REG100728</t>
  </si>
  <si>
    <t>REG100729</t>
  </si>
  <si>
    <t>REG100730</t>
  </si>
  <si>
    <t>REG100731</t>
  </si>
  <si>
    <t>REG100732</t>
  </si>
  <si>
    <t>REG100733</t>
  </si>
  <si>
    <t>REG100734</t>
  </si>
  <si>
    <t>REG100735</t>
  </si>
  <si>
    <t>REG100736</t>
  </si>
  <si>
    <t>REG100737</t>
  </si>
  <si>
    <t>REG100738</t>
  </si>
  <si>
    <t>REG100739</t>
  </si>
  <si>
    <t>REG100740</t>
  </si>
  <si>
    <t>REG100741</t>
  </si>
  <si>
    <t>REG100742</t>
  </si>
  <si>
    <t>REG100743</t>
  </si>
  <si>
    <t>REG100744</t>
  </si>
  <si>
    <t>REG100745</t>
  </si>
  <si>
    <t>REG100746</t>
  </si>
  <si>
    <t>REG100747</t>
  </si>
  <si>
    <t>REG100748</t>
  </si>
  <si>
    <t>REG100749</t>
  </si>
  <si>
    <t>REG100750</t>
  </si>
  <si>
    <t>REG100751</t>
  </si>
  <si>
    <t>REG100752</t>
  </si>
  <si>
    <t>REG100753</t>
  </si>
  <si>
    <t>REG100754</t>
  </si>
  <si>
    <t>REG100755</t>
  </si>
  <si>
    <t>REG100756</t>
  </si>
  <si>
    <t>REG100757</t>
  </si>
  <si>
    <t>REG100758</t>
  </si>
  <si>
    <t>REG100759</t>
  </si>
  <si>
    <t>REG100760</t>
  </si>
  <si>
    <t>REG100761</t>
  </si>
  <si>
    <t>REG100762</t>
  </si>
  <si>
    <t>REG100763</t>
  </si>
  <si>
    <t>REG100764</t>
  </si>
  <si>
    <t>REG100765</t>
  </si>
  <si>
    <t>REG100766</t>
  </si>
  <si>
    <t>REG100767</t>
  </si>
  <si>
    <t>REG100768</t>
  </si>
  <si>
    <t>REG100769</t>
  </si>
  <si>
    <t>REG100770</t>
  </si>
  <si>
    <t>REG100771</t>
  </si>
  <si>
    <t>REG100772</t>
  </si>
  <si>
    <t>REG100773</t>
  </si>
  <si>
    <t>REG100774</t>
  </si>
  <si>
    <t>REG100775</t>
  </si>
  <si>
    <t>REG100776</t>
  </si>
  <si>
    <t>REG100777</t>
  </si>
  <si>
    <t>REG100778</t>
  </si>
  <si>
    <t>REG100779</t>
  </si>
  <si>
    <t>REG100780</t>
  </si>
  <si>
    <t>REG100781</t>
  </si>
  <si>
    <t>REG100782</t>
  </si>
  <si>
    <t>REG100783</t>
  </si>
  <si>
    <t>REG100784</t>
  </si>
  <si>
    <t>REG100785</t>
  </si>
  <si>
    <t>REG100786</t>
  </si>
  <si>
    <t>REG100787</t>
  </si>
  <si>
    <t>REG100788</t>
  </si>
  <si>
    <t>REG100789</t>
  </si>
  <si>
    <t>REG100790</t>
  </si>
  <si>
    <t>REG100791</t>
  </si>
  <si>
    <t>REG100792</t>
  </si>
  <si>
    <t>REG100793</t>
  </si>
  <si>
    <t>REG100794</t>
  </si>
  <si>
    <t>REG100795</t>
  </si>
  <si>
    <t>REG100796</t>
  </si>
  <si>
    <t>REG100797</t>
  </si>
  <si>
    <t>REG100798</t>
  </si>
  <si>
    <t>REG100799</t>
  </si>
  <si>
    <t>REG100800</t>
  </si>
  <si>
    <t>REG100801</t>
  </si>
  <si>
    <t>REG100802</t>
  </si>
  <si>
    <t>REG100803</t>
  </si>
  <si>
    <t>REG100804</t>
  </si>
  <si>
    <t>REG100805</t>
  </si>
  <si>
    <t>REG100806</t>
  </si>
  <si>
    <t>REG100807</t>
  </si>
  <si>
    <t>REG100808</t>
  </si>
  <si>
    <t>REG100809</t>
  </si>
  <si>
    <t>REG100810</t>
  </si>
  <si>
    <t>REG100811</t>
  </si>
  <si>
    <t>REG100812</t>
  </si>
  <si>
    <t>REG100813</t>
  </si>
  <si>
    <t>REG100814</t>
  </si>
  <si>
    <t>REG100815</t>
  </si>
  <si>
    <t>REG100816</t>
  </si>
  <si>
    <t>REG100817</t>
  </si>
  <si>
    <t>REG100818</t>
  </si>
  <si>
    <t>REG100819</t>
  </si>
  <si>
    <t>REG100820</t>
  </si>
  <si>
    <t>REG100821</t>
  </si>
  <si>
    <t>REG100822</t>
  </si>
  <si>
    <t>REG100823</t>
  </si>
  <si>
    <t>REG100824</t>
  </si>
  <si>
    <t>REG100825</t>
  </si>
  <si>
    <t>REG100826</t>
  </si>
  <si>
    <t>REG100827</t>
  </si>
  <si>
    <t>REG100828</t>
  </si>
  <si>
    <t>REG100829</t>
  </si>
  <si>
    <t>REG100830</t>
  </si>
  <si>
    <t>REG100831</t>
  </si>
  <si>
    <t>REG100832</t>
  </si>
  <si>
    <t>REG100833</t>
  </si>
  <si>
    <t>REG100834</t>
  </si>
  <si>
    <t>REG100835</t>
  </si>
  <si>
    <t>REG100836</t>
  </si>
  <si>
    <t>REG100837</t>
  </si>
  <si>
    <t>REG100838</t>
  </si>
  <si>
    <t>REG100839</t>
  </si>
  <si>
    <t>REG100840</t>
  </si>
  <si>
    <t>REG100841</t>
  </si>
  <si>
    <t>REG100842</t>
  </si>
  <si>
    <t>REG100843</t>
  </si>
  <si>
    <t>REG100844</t>
  </si>
  <si>
    <t>REG100845</t>
  </si>
  <si>
    <t>REG100846</t>
  </si>
  <si>
    <t>REG100847</t>
  </si>
  <si>
    <t>REG100848</t>
  </si>
  <si>
    <t>REG100849</t>
  </si>
  <si>
    <t>REG100850</t>
  </si>
  <si>
    <t>REG100851</t>
  </si>
  <si>
    <t>REG100852</t>
  </si>
  <si>
    <t>REG100853</t>
  </si>
  <si>
    <t>REG100854</t>
  </si>
  <si>
    <t>REG100855</t>
  </si>
  <si>
    <t>REG100856</t>
  </si>
  <si>
    <t>REG100857</t>
  </si>
  <si>
    <t>REG100858</t>
  </si>
  <si>
    <t>REG100859</t>
  </si>
  <si>
    <t>REG100860</t>
  </si>
  <si>
    <t>REG100861</t>
  </si>
  <si>
    <t>REG100862</t>
  </si>
  <si>
    <t>REG100863</t>
  </si>
  <si>
    <t>REG100864</t>
  </si>
  <si>
    <t>REG100865</t>
  </si>
  <si>
    <t>REG100866</t>
  </si>
  <si>
    <t>REG100867</t>
  </si>
  <si>
    <t>REG100868</t>
  </si>
  <si>
    <t>REG100869</t>
  </si>
  <si>
    <t>REG100870</t>
  </si>
  <si>
    <t>REG100871</t>
  </si>
  <si>
    <t>REG100872</t>
  </si>
  <si>
    <t>REG100873</t>
  </si>
  <si>
    <t>REG100874</t>
  </si>
  <si>
    <t>REG100875</t>
  </si>
  <si>
    <t>REG100876</t>
  </si>
  <si>
    <t>REG100877</t>
  </si>
  <si>
    <t>REG100878</t>
  </si>
  <si>
    <t>REG100879</t>
  </si>
  <si>
    <t>REG100880</t>
  </si>
  <si>
    <t>REG100881</t>
  </si>
  <si>
    <t>REG100882</t>
  </si>
  <si>
    <t>REG100883</t>
  </si>
  <si>
    <t>REG100884</t>
  </si>
  <si>
    <t>REG100885</t>
  </si>
  <si>
    <t>REG100886</t>
  </si>
  <si>
    <t>REG100887</t>
  </si>
  <si>
    <t>REG100888</t>
  </si>
  <si>
    <t>REG100889</t>
  </si>
  <si>
    <t>REG100890</t>
  </si>
  <si>
    <t>REG100891</t>
  </si>
  <si>
    <t>REG100892</t>
  </si>
  <si>
    <t>REG100893</t>
  </si>
  <si>
    <t>REG100894</t>
  </si>
  <si>
    <t>REG100895</t>
  </si>
  <si>
    <t>REG100896</t>
  </si>
  <si>
    <t>REG100897</t>
  </si>
  <si>
    <t>REG100898</t>
  </si>
  <si>
    <t>REG100899</t>
  </si>
  <si>
    <t>REG100900</t>
  </si>
  <si>
    <t>REG100901</t>
  </si>
  <si>
    <t>REG100902</t>
  </si>
  <si>
    <t>REG100903</t>
  </si>
  <si>
    <t>REG100904</t>
  </si>
  <si>
    <t>REG100905</t>
  </si>
  <si>
    <t>REG100906</t>
  </si>
  <si>
    <t>REG100907</t>
  </si>
  <si>
    <t>REG100908</t>
  </si>
  <si>
    <t>REG100909</t>
  </si>
  <si>
    <t>REG100910</t>
  </si>
  <si>
    <t>REG100911</t>
  </si>
  <si>
    <t>REG100912</t>
  </si>
  <si>
    <t>REG100913</t>
  </si>
  <si>
    <t>REG100914</t>
  </si>
  <si>
    <t>REG100915</t>
  </si>
  <si>
    <t>REG100916</t>
  </si>
  <si>
    <t>REG100917</t>
  </si>
  <si>
    <t>REG100918</t>
  </si>
  <si>
    <t>REG100919</t>
  </si>
  <si>
    <t>REG100920</t>
  </si>
  <si>
    <t>REG100921</t>
  </si>
  <si>
    <t>REG100922</t>
  </si>
  <si>
    <t>REG100923</t>
  </si>
  <si>
    <t>REG100924</t>
  </si>
  <si>
    <t>REG100925</t>
  </si>
  <si>
    <t>REG100926</t>
  </si>
  <si>
    <t>REG100927</t>
  </si>
  <si>
    <t>REG100928</t>
  </si>
  <si>
    <t>REG100929</t>
  </si>
  <si>
    <t>REG100930</t>
  </si>
  <si>
    <t>REG100931</t>
  </si>
  <si>
    <t>REG100932</t>
  </si>
  <si>
    <t>REG100933</t>
  </si>
  <si>
    <t>REG100934</t>
  </si>
  <si>
    <t>REG100935</t>
  </si>
  <si>
    <t>REG100936</t>
  </si>
  <si>
    <t>REG100937</t>
  </si>
  <si>
    <t>REG100938</t>
  </si>
  <si>
    <t>REG100939</t>
  </si>
  <si>
    <t>REG100940</t>
  </si>
  <si>
    <t>REG100941</t>
  </si>
  <si>
    <t>REG100942</t>
  </si>
  <si>
    <t>REG100943</t>
  </si>
  <si>
    <t>REG100944</t>
  </si>
  <si>
    <t>REG100945</t>
  </si>
  <si>
    <t>REG100946</t>
  </si>
  <si>
    <t>REG100947</t>
  </si>
  <si>
    <t>REG100948</t>
  </si>
  <si>
    <t>REG100949</t>
  </si>
  <si>
    <t>REG100950</t>
  </si>
  <si>
    <t>REG100951</t>
  </si>
  <si>
    <t>REG100952</t>
  </si>
  <si>
    <t>REG100953</t>
  </si>
  <si>
    <t>REG100954</t>
  </si>
  <si>
    <t>REG100955</t>
  </si>
  <si>
    <t>REG100956</t>
  </si>
  <si>
    <t>REG100957</t>
  </si>
  <si>
    <t>REG100958</t>
  </si>
  <si>
    <t>REG100959</t>
  </si>
  <si>
    <t>REG100960</t>
  </si>
  <si>
    <t>REG100961</t>
  </si>
  <si>
    <t>REG100962</t>
  </si>
  <si>
    <t>REG100963</t>
  </si>
  <si>
    <t>REG100964</t>
  </si>
  <si>
    <t>REG100965</t>
  </si>
  <si>
    <t>REG100966</t>
  </si>
  <si>
    <t>REG100967</t>
  </si>
  <si>
    <t>REG100968</t>
  </si>
  <si>
    <t>REG100969</t>
  </si>
  <si>
    <t>REG100970</t>
  </si>
  <si>
    <t>REG100971</t>
  </si>
  <si>
    <t>REG100972</t>
  </si>
  <si>
    <t>REG100973</t>
  </si>
  <si>
    <t>REG100974</t>
  </si>
  <si>
    <t>REG100975</t>
  </si>
  <si>
    <t>REG100976</t>
  </si>
  <si>
    <t>REG100977</t>
  </si>
  <si>
    <t>REG100978</t>
  </si>
  <si>
    <t>REG100979</t>
  </si>
  <si>
    <t>REG100980</t>
  </si>
  <si>
    <t>REG100981</t>
  </si>
  <si>
    <t>REG100982</t>
  </si>
  <si>
    <t>REG100983</t>
  </si>
  <si>
    <t>REG100984</t>
  </si>
  <si>
    <t>REG100985</t>
  </si>
  <si>
    <t>REG100986</t>
  </si>
  <si>
    <t>REG100987</t>
  </si>
  <si>
    <t>REG100988</t>
  </si>
  <si>
    <t>REG100989</t>
  </si>
  <si>
    <t>REG100990</t>
  </si>
  <si>
    <t>REG100991</t>
  </si>
  <si>
    <t>REG100992</t>
  </si>
  <si>
    <t>REG100993</t>
  </si>
  <si>
    <t>REG100994</t>
  </si>
  <si>
    <t>REG100995</t>
  </si>
  <si>
    <t>REG100996</t>
  </si>
  <si>
    <t>REG100997</t>
  </si>
  <si>
    <t>REG100998</t>
  </si>
  <si>
    <t>REG100999</t>
  </si>
  <si>
    <t>REG101000</t>
  </si>
  <si>
    <t>REG101001</t>
  </si>
  <si>
    <t>REG101002</t>
  </si>
  <si>
    <t>REG101003</t>
  </si>
  <si>
    <t>REG101004</t>
  </si>
  <si>
    <t>REG101005</t>
  </si>
  <si>
    <t>REG101006</t>
  </si>
  <si>
    <t>REG101007</t>
  </si>
  <si>
    <t>REG101008</t>
  </si>
  <si>
    <t>REG101009</t>
  </si>
  <si>
    <t>REG101010</t>
  </si>
  <si>
    <t>REG101011</t>
  </si>
  <si>
    <t>REG101012</t>
  </si>
  <si>
    <t>REG101013</t>
  </si>
  <si>
    <t>REG101014</t>
  </si>
  <si>
    <t>REG101015</t>
  </si>
  <si>
    <t>REG101016</t>
  </si>
  <si>
    <t>REG101017</t>
  </si>
  <si>
    <t>REG101018</t>
  </si>
  <si>
    <t>REG101019</t>
  </si>
  <si>
    <t>REG101020</t>
  </si>
  <si>
    <t>REG101021</t>
  </si>
  <si>
    <t>REG101022</t>
  </si>
  <si>
    <t>REG101023</t>
  </si>
  <si>
    <t>REG101024</t>
  </si>
  <si>
    <t>REG101025</t>
  </si>
  <si>
    <t>REG101026</t>
  </si>
  <si>
    <t>REG101027</t>
  </si>
  <si>
    <t>REG101028</t>
  </si>
  <si>
    <t>REG101029</t>
  </si>
  <si>
    <t>REG101030</t>
  </si>
  <si>
    <t>REG101031</t>
  </si>
  <si>
    <t>REG101032</t>
  </si>
  <si>
    <t>REG101033</t>
  </si>
  <si>
    <t>REG101034</t>
  </si>
  <si>
    <t>REG101035</t>
  </si>
  <si>
    <t>REG101036</t>
  </si>
  <si>
    <t>REG101037</t>
  </si>
  <si>
    <t>REG101038</t>
  </si>
  <si>
    <t>REG101039</t>
  </si>
  <si>
    <t>REG101040</t>
  </si>
  <si>
    <t>REG101041</t>
  </si>
  <si>
    <t>REG101042</t>
  </si>
  <si>
    <t>REG101043</t>
  </si>
  <si>
    <t>REG101044</t>
  </si>
  <si>
    <t>REG101045</t>
  </si>
  <si>
    <t>REG101046</t>
  </si>
  <si>
    <t>REG101047</t>
  </si>
  <si>
    <t>REG101048</t>
  </si>
  <si>
    <t>REG101049</t>
  </si>
  <si>
    <t>REG101050</t>
  </si>
  <si>
    <t>REG101051</t>
  </si>
  <si>
    <t>REG101052</t>
  </si>
  <si>
    <t>REG101053</t>
  </si>
  <si>
    <t>REG101054</t>
  </si>
  <si>
    <t>REG101055</t>
  </si>
  <si>
    <t>REG101056</t>
  </si>
  <si>
    <t>REG101057</t>
  </si>
  <si>
    <t>REG101058</t>
  </si>
  <si>
    <t>REG101059</t>
  </si>
  <si>
    <t>REG101060</t>
  </si>
  <si>
    <t>REG101061</t>
  </si>
  <si>
    <t>REG101062</t>
  </si>
  <si>
    <t>REG101063</t>
  </si>
  <si>
    <t>REG101064</t>
  </si>
  <si>
    <t>REG101065</t>
  </si>
  <si>
    <t>REG101066</t>
  </si>
  <si>
    <t>REG101067</t>
  </si>
  <si>
    <t>REG101068</t>
  </si>
  <si>
    <t>REG101069</t>
  </si>
  <si>
    <t>REG101070</t>
  </si>
  <si>
    <t>REG101071</t>
  </si>
  <si>
    <t>REG101072</t>
  </si>
  <si>
    <t>REG101073</t>
  </si>
  <si>
    <t>REG101074</t>
  </si>
  <si>
    <t>REG101075</t>
  </si>
  <si>
    <t>REG101076</t>
  </si>
  <si>
    <t>REG101077</t>
  </si>
  <si>
    <t>REG101078</t>
  </si>
  <si>
    <t>REG101079</t>
  </si>
  <si>
    <t>REG101080</t>
  </si>
  <si>
    <t>REG101081</t>
  </si>
  <si>
    <t>REG101082</t>
  </si>
  <si>
    <t>REG101083</t>
  </si>
  <si>
    <t>REG101084</t>
  </si>
  <si>
    <t>REG101085</t>
  </si>
  <si>
    <t>REG101086</t>
  </si>
  <si>
    <t>REG101087</t>
  </si>
  <si>
    <t>REG101088</t>
  </si>
  <si>
    <t>REG101089</t>
  </si>
  <si>
    <t>REG101090</t>
  </si>
  <si>
    <t>REG101091</t>
  </si>
  <si>
    <t>REG101092</t>
  </si>
  <si>
    <t>REG101093</t>
  </si>
  <si>
    <t>REG101094</t>
  </si>
  <si>
    <t>REG101095</t>
  </si>
  <si>
    <t>REG101096</t>
  </si>
  <si>
    <t>REG101097</t>
  </si>
  <si>
    <t>REG101098</t>
  </si>
  <si>
    <t>REG101099</t>
  </si>
  <si>
    <t>REG101100</t>
  </si>
  <si>
    <t>REG101101</t>
  </si>
  <si>
    <t>REG101102</t>
  </si>
  <si>
    <t>REG101103</t>
  </si>
  <si>
    <t>REG101104</t>
  </si>
  <si>
    <t>REG101105</t>
  </si>
  <si>
    <t>REG101106</t>
  </si>
  <si>
    <t>REG101107</t>
  </si>
  <si>
    <t>REG101108</t>
  </si>
  <si>
    <t>REG101109</t>
  </si>
  <si>
    <t>REG101110</t>
  </si>
  <si>
    <t>REG101111</t>
  </si>
  <si>
    <t>REG101112</t>
  </si>
  <si>
    <t>REG101113</t>
  </si>
  <si>
    <t>REG101114</t>
  </si>
  <si>
    <t>REG101115</t>
  </si>
  <si>
    <t>REG101116</t>
  </si>
  <si>
    <t>REG101117</t>
  </si>
  <si>
    <t>REG101118</t>
  </si>
  <si>
    <t>REG101119</t>
  </si>
  <si>
    <t>REG101120</t>
  </si>
  <si>
    <t>REG101121</t>
  </si>
  <si>
    <t>REG101122</t>
  </si>
  <si>
    <t>REG101123</t>
  </si>
  <si>
    <t>REG101124</t>
  </si>
  <si>
    <t>REG101125</t>
  </si>
  <si>
    <t>REG101126</t>
  </si>
  <si>
    <t>REG101127</t>
  </si>
  <si>
    <t>REG101128</t>
  </si>
  <si>
    <t>REG101129</t>
  </si>
  <si>
    <t>REG101130</t>
  </si>
  <si>
    <t>REG101131</t>
  </si>
  <si>
    <t>REG101132</t>
  </si>
  <si>
    <t>REG101133</t>
  </si>
  <si>
    <t>REG101134</t>
  </si>
  <si>
    <t>REG101135</t>
  </si>
  <si>
    <t>REG101136</t>
  </si>
  <si>
    <t>REG101137</t>
  </si>
  <si>
    <t>REG101138</t>
  </si>
  <si>
    <t>REG101139</t>
  </si>
  <si>
    <t>REG101140</t>
  </si>
  <si>
    <t>REG101141</t>
  </si>
  <si>
    <t>REG101142</t>
  </si>
  <si>
    <t>REG101143</t>
  </si>
  <si>
    <t>REG101144</t>
  </si>
  <si>
    <t>REG101145</t>
  </si>
  <si>
    <t>REG101146</t>
  </si>
  <si>
    <t>REG101147</t>
  </si>
  <si>
    <t>REG101148</t>
  </si>
  <si>
    <t>REG101149</t>
  </si>
  <si>
    <t>REG101150</t>
  </si>
  <si>
    <t>REG101151</t>
  </si>
  <si>
    <t>REG101152</t>
  </si>
  <si>
    <t>REG101153</t>
  </si>
  <si>
    <t>REG101154</t>
  </si>
  <si>
    <t>REG101155</t>
  </si>
  <si>
    <t>REG101156</t>
  </si>
  <si>
    <t>REG101157</t>
  </si>
  <si>
    <t>REG101158</t>
  </si>
  <si>
    <t>REG101159</t>
  </si>
  <si>
    <t>REG101160</t>
  </si>
  <si>
    <t>REG101161</t>
  </si>
  <si>
    <t>REG101162</t>
  </si>
  <si>
    <t>REG101163</t>
  </si>
  <si>
    <t>REG101164</t>
  </si>
  <si>
    <t>REG101165</t>
  </si>
  <si>
    <t>REG101166</t>
  </si>
  <si>
    <t>REG101167</t>
  </si>
  <si>
    <t>REG101168</t>
  </si>
  <si>
    <t>REG101169</t>
  </si>
  <si>
    <t>REG101170</t>
  </si>
  <si>
    <t>REG101171</t>
  </si>
  <si>
    <t>REG101172</t>
  </si>
  <si>
    <t>REG101173</t>
  </si>
  <si>
    <t>REG101174</t>
  </si>
  <si>
    <t>REG101175</t>
  </si>
  <si>
    <t>REG101176</t>
  </si>
  <si>
    <t>REG101177</t>
  </si>
  <si>
    <t>REG101178</t>
  </si>
  <si>
    <t>REG101179</t>
  </si>
  <si>
    <t>REG101180</t>
  </si>
  <si>
    <t>REG101181</t>
  </si>
  <si>
    <t>REG101182</t>
  </si>
  <si>
    <t>REG101183</t>
  </si>
  <si>
    <t>REG101184</t>
  </si>
  <si>
    <t>REG101185</t>
  </si>
  <si>
    <t>REG101186</t>
  </si>
  <si>
    <t>REG101187</t>
  </si>
  <si>
    <t>REG101188</t>
  </si>
  <si>
    <t>REG101189</t>
  </si>
  <si>
    <t>REG101190</t>
  </si>
  <si>
    <t>REG101191</t>
  </si>
  <si>
    <t>REG101192</t>
  </si>
  <si>
    <t>REG101193</t>
  </si>
  <si>
    <t>REG101194</t>
  </si>
  <si>
    <t>REG101195</t>
  </si>
  <si>
    <t>REG101196</t>
  </si>
  <si>
    <t>REG101197</t>
  </si>
  <si>
    <t>REG101198</t>
  </si>
  <si>
    <t>REG101199</t>
  </si>
  <si>
    <t>REG101200</t>
  </si>
  <si>
    <t>REG101201</t>
  </si>
  <si>
    <t>REG101202</t>
  </si>
  <si>
    <t>REG101203</t>
  </si>
  <si>
    <t>REG101204</t>
  </si>
  <si>
    <t>REG101205</t>
  </si>
  <si>
    <t>REG101206</t>
  </si>
  <si>
    <t>REG101207</t>
  </si>
  <si>
    <t>REG101208</t>
  </si>
  <si>
    <t>REG101209</t>
  </si>
  <si>
    <t>REG101210</t>
  </si>
  <si>
    <t>REG101211</t>
  </si>
  <si>
    <t>REG101212</t>
  </si>
  <si>
    <t>REG101213</t>
  </si>
  <si>
    <t>REG101214</t>
  </si>
  <si>
    <t>REG101215</t>
  </si>
  <si>
    <t>REG101216</t>
  </si>
  <si>
    <t>REG101217</t>
  </si>
  <si>
    <t>REG101218</t>
  </si>
  <si>
    <t>REG101219</t>
  </si>
  <si>
    <t>REG101220</t>
  </si>
  <si>
    <t>REG101221</t>
  </si>
  <si>
    <t>REG101222</t>
  </si>
  <si>
    <t>REG101223</t>
  </si>
  <si>
    <t>REG101224</t>
  </si>
  <si>
    <t>REG101225</t>
  </si>
  <si>
    <t>REG101226</t>
  </si>
  <si>
    <t>REG101227</t>
  </si>
  <si>
    <t>REG101228</t>
  </si>
  <si>
    <t>REG101229</t>
  </si>
  <si>
    <t>REG101230</t>
  </si>
  <si>
    <t>REG101231</t>
  </si>
  <si>
    <t>REG101232</t>
  </si>
  <si>
    <t>REG101233</t>
  </si>
  <si>
    <t>REG101234</t>
  </si>
  <si>
    <t>REG101235</t>
  </si>
  <si>
    <t>REG101236</t>
  </si>
  <si>
    <t>REG101237</t>
  </si>
  <si>
    <t>REG101238</t>
  </si>
  <si>
    <t>REG101239</t>
  </si>
  <si>
    <t>REG101240</t>
  </si>
  <si>
    <t>REG101241</t>
  </si>
  <si>
    <t>REG101242</t>
  </si>
  <si>
    <t>REG101243</t>
  </si>
  <si>
    <t>REG101244</t>
  </si>
  <si>
    <t>REG101245</t>
  </si>
  <si>
    <t>REG101246</t>
  </si>
  <si>
    <t>REG101247</t>
  </si>
  <si>
    <t>REG101248</t>
  </si>
  <si>
    <t>REG101249</t>
  </si>
  <si>
    <t>REG101250</t>
  </si>
  <si>
    <t>REG101251</t>
  </si>
  <si>
    <t>REG101252</t>
  </si>
  <si>
    <t>REG101253</t>
  </si>
  <si>
    <t>REG101254</t>
  </si>
  <si>
    <t>REG101255</t>
  </si>
  <si>
    <t>REG101256</t>
  </si>
  <si>
    <t>REG101257</t>
  </si>
  <si>
    <t>REG101258</t>
  </si>
  <si>
    <t>REG101259</t>
  </si>
  <si>
    <t>REG101260</t>
  </si>
  <si>
    <t>REG101261</t>
  </si>
  <si>
    <t>REG101262</t>
  </si>
  <si>
    <t>REG101263</t>
  </si>
  <si>
    <t>REG101264</t>
  </si>
  <si>
    <t>REG101265</t>
  </si>
  <si>
    <t>REG101266</t>
  </si>
  <si>
    <t>REG101267</t>
  </si>
  <si>
    <t>REG101268</t>
  </si>
  <si>
    <t>REG101269</t>
  </si>
  <si>
    <t>REG101270</t>
  </si>
  <si>
    <t>REG101271</t>
  </si>
  <si>
    <t>REG101272</t>
  </si>
  <si>
    <t>REG101273</t>
  </si>
  <si>
    <t>REG101274</t>
  </si>
  <si>
    <t>REG101275</t>
  </si>
  <si>
    <t>REG101276</t>
  </si>
  <si>
    <t>REG101277</t>
  </si>
  <si>
    <t>REG101278</t>
  </si>
  <si>
    <t>REG101279</t>
  </si>
  <si>
    <t>REG101280</t>
  </si>
  <si>
    <t>REG101281</t>
  </si>
  <si>
    <t>REG101282</t>
  </si>
  <si>
    <t>REG101283</t>
  </si>
  <si>
    <t>REG101284</t>
  </si>
  <si>
    <t>REG101285</t>
  </si>
  <si>
    <t>REG101286</t>
  </si>
  <si>
    <t>REG101287</t>
  </si>
  <si>
    <t>REG101288</t>
  </si>
  <si>
    <t>REG101289</t>
  </si>
  <si>
    <t>REG101290</t>
  </si>
  <si>
    <t>REG101291</t>
  </si>
  <si>
    <t>REG101292</t>
  </si>
  <si>
    <t>REG101293</t>
  </si>
  <si>
    <t>REG101294</t>
  </si>
  <si>
    <t>REG101295</t>
  </si>
  <si>
    <t>REG101296</t>
  </si>
  <si>
    <t>REG101297</t>
  </si>
  <si>
    <t>REG101298</t>
  </si>
  <si>
    <t>REG101299</t>
  </si>
  <si>
    <t>REG101300</t>
  </si>
  <si>
    <t>REG101301</t>
  </si>
  <si>
    <t>REG101302</t>
  </si>
  <si>
    <t>REG101303</t>
  </si>
  <si>
    <t>REG101304</t>
  </si>
  <si>
    <t>REG101305</t>
  </si>
  <si>
    <t>REG101306</t>
  </si>
  <si>
    <t>REG101307</t>
  </si>
  <si>
    <t>REG101308</t>
  </si>
  <si>
    <t>REG101309</t>
  </si>
  <si>
    <t>REG101310</t>
  </si>
  <si>
    <t>REG101311</t>
  </si>
  <si>
    <t>REG101312</t>
  </si>
  <si>
    <t>REG101313</t>
  </si>
  <si>
    <t>REG101314</t>
  </si>
  <si>
    <t>REG101315</t>
  </si>
  <si>
    <t>REG101316</t>
  </si>
  <si>
    <t>REG101317</t>
  </si>
  <si>
    <t>REG101318</t>
  </si>
  <si>
    <t>REG101319</t>
  </si>
  <si>
    <t>REG101320</t>
  </si>
  <si>
    <t>REG101321</t>
  </si>
  <si>
    <t>REG101322</t>
  </si>
  <si>
    <t>REG101323</t>
  </si>
  <si>
    <t>REG101324</t>
  </si>
  <si>
    <t>REG101325</t>
  </si>
  <si>
    <t>REG101326</t>
  </si>
  <si>
    <t>REG101327</t>
  </si>
  <si>
    <t>REG101328</t>
  </si>
  <si>
    <t>REG101329</t>
  </si>
  <si>
    <t>REG101330</t>
  </si>
  <si>
    <t>REG101331</t>
  </si>
  <si>
    <t>REG101332</t>
  </si>
  <si>
    <t>REG101333</t>
  </si>
  <si>
    <t>REG101334</t>
  </si>
  <si>
    <t>REG101335</t>
  </si>
  <si>
    <t>REG101336</t>
  </si>
  <si>
    <t>REG101337</t>
  </si>
  <si>
    <t>REG101338</t>
  </si>
  <si>
    <t>REG101339</t>
  </si>
  <si>
    <t>REG101340</t>
  </si>
  <si>
    <t>REG101341</t>
  </si>
  <si>
    <t>REG101342</t>
  </si>
  <si>
    <t>REG101343</t>
  </si>
  <si>
    <t>REG101344</t>
  </si>
  <si>
    <t>REG101345</t>
  </si>
  <si>
    <t>REG101346</t>
  </si>
  <si>
    <t>REG101347</t>
  </si>
  <si>
    <t>REG101348</t>
  </si>
  <si>
    <t>REG101349</t>
  </si>
  <si>
    <t>REG101350</t>
  </si>
  <si>
    <t>REG101351</t>
  </si>
  <si>
    <t>REG101352</t>
  </si>
  <si>
    <t>REG101353</t>
  </si>
  <si>
    <t>REG101354</t>
  </si>
  <si>
    <t>REG101355</t>
  </si>
  <si>
    <t>REG101356</t>
  </si>
  <si>
    <t>REG101357</t>
  </si>
  <si>
    <t>REG101358</t>
  </si>
  <si>
    <t>REG101359</t>
  </si>
  <si>
    <t>REG101360</t>
  </si>
  <si>
    <t>REG101361</t>
  </si>
  <si>
    <t>REG101362</t>
  </si>
  <si>
    <t>REG101363</t>
  </si>
  <si>
    <t>REG101364</t>
  </si>
  <si>
    <t>REG101365</t>
  </si>
  <si>
    <t>REG101366</t>
  </si>
  <si>
    <t>REG101367</t>
  </si>
  <si>
    <t>REG101368</t>
  </si>
  <si>
    <t>REG101369</t>
  </si>
  <si>
    <t>REG101370</t>
  </si>
  <si>
    <t>REG101371</t>
  </si>
  <si>
    <t>REG101372</t>
  </si>
  <si>
    <t>REG101373</t>
  </si>
  <si>
    <t>REG101374</t>
  </si>
  <si>
    <t>REG101375</t>
  </si>
  <si>
    <t>REG101376</t>
  </si>
  <si>
    <t>REG101377</t>
  </si>
  <si>
    <t>REG101378</t>
  </si>
  <si>
    <t>REG101379</t>
  </si>
  <si>
    <t>REG101380</t>
  </si>
  <si>
    <t>REG101381</t>
  </si>
  <si>
    <t>REG101382</t>
  </si>
  <si>
    <t>REG101383</t>
  </si>
  <si>
    <t>REG101384</t>
  </si>
  <si>
    <t>REG101385</t>
  </si>
  <si>
    <t>REG101386</t>
  </si>
  <si>
    <t>REG101387</t>
  </si>
  <si>
    <t>REG101388</t>
  </si>
  <si>
    <t>REG101389</t>
  </si>
  <si>
    <t>REG101390</t>
  </si>
  <si>
    <t>REG101391</t>
  </si>
  <si>
    <t>REG101392</t>
  </si>
  <si>
    <t>REG101393</t>
  </si>
  <si>
    <t>REG101394</t>
  </si>
  <si>
    <t>REG101395</t>
  </si>
  <si>
    <t>REG101396</t>
  </si>
  <si>
    <t>REG101397</t>
  </si>
  <si>
    <t>REG101398</t>
  </si>
  <si>
    <t>REG101399</t>
  </si>
  <si>
    <t>REG101400</t>
  </si>
  <si>
    <t>REG101401</t>
  </si>
  <si>
    <t>REG101402</t>
  </si>
  <si>
    <t>REG101403</t>
  </si>
  <si>
    <t>REG101404</t>
  </si>
  <si>
    <t>REG101405</t>
  </si>
  <si>
    <t>REG101406</t>
  </si>
  <si>
    <t>REG101407</t>
  </si>
  <si>
    <t>REG101408</t>
  </si>
  <si>
    <t>REG101409</t>
  </si>
  <si>
    <t>REG101410</t>
  </si>
  <si>
    <t>REG101411</t>
  </si>
  <si>
    <t>REG101412</t>
  </si>
  <si>
    <t>REG101413</t>
  </si>
  <si>
    <t>REG101414</t>
  </si>
  <si>
    <t>REG101415</t>
  </si>
  <si>
    <t>REG101416</t>
  </si>
  <si>
    <t>REG101417</t>
  </si>
  <si>
    <t>REG101418</t>
  </si>
  <si>
    <t>REG101419</t>
  </si>
  <si>
    <t>REG101420</t>
  </si>
  <si>
    <t>REG101421</t>
  </si>
  <si>
    <t>REG101422</t>
  </si>
  <si>
    <t>REG101423</t>
  </si>
  <si>
    <t>REG101424</t>
  </si>
  <si>
    <t>REG101425</t>
  </si>
  <si>
    <t>REG101426</t>
  </si>
  <si>
    <t>REG101427</t>
  </si>
  <si>
    <t>REG101428</t>
  </si>
  <si>
    <t>REG101429</t>
  </si>
  <si>
    <t>REG101430</t>
  </si>
  <si>
    <t>REG101431</t>
  </si>
  <si>
    <t>REG101432</t>
  </si>
  <si>
    <t>REG101433</t>
  </si>
  <si>
    <t>REG101434</t>
  </si>
  <si>
    <t>REG101435</t>
  </si>
  <si>
    <t>REG101436</t>
  </si>
  <si>
    <t>REG101437</t>
  </si>
  <si>
    <t>REG101438</t>
  </si>
  <si>
    <t>REG101439</t>
  </si>
  <si>
    <t>REG101440</t>
  </si>
  <si>
    <t>REG101441</t>
  </si>
  <si>
    <t>REG101442</t>
  </si>
  <si>
    <t>REG101443</t>
  </si>
  <si>
    <t>REG101444</t>
  </si>
  <si>
    <t>REG101445</t>
  </si>
  <si>
    <t>REG101446</t>
  </si>
  <si>
    <t>REG101447</t>
  </si>
  <si>
    <t>REG101448</t>
  </si>
  <si>
    <t>REG101449</t>
  </si>
  <si>
    <t>REG101450</t>
  </si>
  <si>
    <t>REG101451</t>
  </si>
  <si>
    <t>REG101452</t>
  </si>
  <si>
    <t>REG101453</t>
  </si>
  <si>
    <t>REG101454</t>
  </si>
  <si>
    <t>REG101455</t>
  </si>
  <si>
    <t>REG101456</t>
  </si>
  <si>
    <t>REG101457</t>
  </si>
  <si>
    <t>REG101458</t>
  </si>
  <si>
    <t>REG101459</t>
  </si>
  <si>
    <t>REG101460</t>
  </si>
  <si>
    <t>REG101461</t>
  </si>
  <si>
    <t>REG101462</t>
  </si>
  <si>
    <t>REG101463</t>
  </si>
  <si>
    <t>REG101464</t>
  </si>
  <si>
    <t>REG101465</t>
  </si>
  <si>
    <t>REG101466</t>
  </si>
  <si>
    <t>REG101467</t>
  </si>
  <si>
    <t>REG101468</t>
  </si>
  <si>
    <t>REG101469</t>
  </si>
  <si>
    <t>REG101470</t>
  </si>
  <si>
    <t>REG101471</t>
  </si>
  <si>
    <t>REG101472</t>
  </si>
  <si>
    <t>REG101473</t>
  </si>
  <si>
    <t>REG101474</t>
  </si>
  <si>
    <t>REG101475</t>
  </si>
  <si>
    <t>REG101476</t>
  </si>
  <si>
    <t>REG101477</t>
  </si>
  <si>
    <t>REG101478</t>
  </si>
  <si>
    <t>REG101479</t>
  </si>
  <si>
    <t>REG101480</t>
  </si>
  <si>
    <t>REG101481</t>
  </si>
  <si>
    <t>REG101482</t>
  </si>
  <si>
    <t>REG101483</t>
  </si>
  <si>
    <t>REG101484</t>
  </si>
  <si>
    <t>REG101485</t>
  </si>
  <si>
    <t>REG101486</t>
  </si>
  <si>
    <t>REG101487</t>
  </si>
  <si>
    <t>REG101488</t>
  </si>
  <si>
    <t>REG101489</t>
  </si>
  <si>
    <t>REG101490</t>
  </si>
  <si>
    <t>REG101491</t>
  </si>
  <si>
    <t>REG101492</t>
  </si>
  <si>
    <t>REG101493</t>
  </si>
  <si>
    <t>REG101494</t>
  </si>
  <si>
    <t>REG101495</t>
  </si>
  <si>
    <t>REG101496</t>
  </si>
  <si>
    <t>REG101497</t>
  </si>
  <si>
    <t>REG101498</t>
  </si>
  <si>
    <t>REG101499</t>
  </si>
  <si>
    <t>Cust 6583</t>
  </si>
  <si>
    <t>Cust 2144</t>
  </si>
  <si>
    <t>Cust 5998</t>
  </si>
  <si>
    <t>Cust 7136</t>
  </si>
  <si>
    <t>Cust 6506</t>
  </si>
  <si>
    <t>Cust 3909</t>
  </si>
  <si>
    <t>Cust 7887</t>
  </si>
  <si>
    <t>Cust 5301</t>
  </si>
  <si>
    <t>Cust 2284</t>
  </si>
  <si>
    <t>Cust 3732</t>
  </si>
  <si>
    <t>Cust 1462</t>
  </si>
  <si>
    <t>Cust 4330</t>
  </si>
  <si>
    <t>Cust 2372</t>
  </si>
  <si>
    <t>Cust 4672</t>
  </si>
  <si>
    <t>Cust 4548</t>
  </si>
  <si>
    <t>Cust 7037</t>
  </si>
  <si>
    <t>Cust 4975</t>
  </si>
  <si>
    <t>Cust 8014</t>
  </si>
  <si>
    <t>Cust 1228</t>
  </si>
  <si>
    <t>Cust 4247</t>
  </si>
  <si>
    <t>Cust 4199</t>
  </si>
  <si>
    <t>Cust 4186</t>
  </si>
  <si>
    <t>Cust 8137</t>
  </si>
  <si>
    <t>Cust 4638</t>
  </si>
  <si>
    <t>Cust 8538</t>
  </si>
  <si>
    <t>Cust 6322</t>
  </si>
  <si>
    <t>Cust 2609</t>
  </si>
  <si>
    <t>Cust 6880</t>
  </si>
  <si>
    <t>Cust 1997</t>
  </si>
  <si>
    <t>Cust 7072</t>
  </si>
  <si>
    <t>Cust 7201</t>
  </si>
  <si>
    <t>Cust 9923</t>
  </si>
  <si>
    <t>Cust 2205</t>
  </si>
  <si>
    <t>Cust 6403</t>
  </si>
  <si>
    <t>Cust 3953</t>
  </si>
  <si>
    <t>Cust 7902</t>
  </si>
  <si>
    <t>Cust 9968</t>
  </si>
  <si>
    <t>Cust 3787</t>
  </si>
  <si>
    <t>Cust 2469</t>
  </si>
  <si>
    <t>Cust 6468</t>
  </si>
  <si>
    <t>Cust 5312</t>
  </si>
  <si>
    <t>Cust 1482</t>
  </si>
  <si>
    <t>Cust 7903</t>
  </si>
  <si>
    <t>Cust 9605</t>
  </si>
  <si>
    <t>Cust 3298</t>
  </si>
  <si>
    <t>Cust 5533</t>
  </si>
  <si>
    <t>Cust 6362</t>
  </si>
  <si>
    <t>Cust 4826</t>
  </si>
  <si>
    <t>Cust 2171</t>
  </si>
  <si>
    <t>Cust 4005</t>
  </si>
  <si>
    <t>Cust 7032</t>
  </si>
  <si>
    <t>Cust 7167</t>
  </si>
  <si>
    <t>Cust 5702</t>
  </si>
  <si>
    <t>Cust 4944</t>
  </si>
  <si>
    <t>Cust 8149</t>
  </si>
  <si>
    <t>Cust 3638</t>
  </si>
  <si>
    <t>Cust 9973</t>
  </si>
  <si>
    <t>Cust 4214</t>
  </si>
  <si>
    <t>Cust 2647</t>
  </si>
  <si>
    <t>Cust 3552</t>
  </si>
  <si>
    <t>Cust 3354</t>
  </si>
  <si>
    <t>Cust 3903</t>
  </si>
  <si>
    <t>Cust 5358</t>
  </si>
  <si>
    <t>Cust 8144</t>
  </si>
  <si>
    <t>Cust 6747</t>
  </si>
  <si>
    <t>Cust 8330</t>
  </si>
  <si>
    <t>Cust 7186</t>
  </si>
  <si>
    <t>Cust 8287</t>
  </si>
  <si>
    <t>Cust 3986</t>
  </si>
  <si>
    <t>Cust 3213</t>
  </si>
  <si>
    <t>Cust 1907</t>
  </si>
  <si>
    <t>Cust 4639</t>
  </si>
  <si>
    <t>Cust 4153</t>
  </si>
  <si>
    <t>Cust 7096</t>
  </si>
  <si>
    <t>Cust 3806</t>
  </si>
  <si>
    <t>Cust 9345</t>
  </si>
  <si>
    <t>Cust 4456</t>
  </si>
  <si>
    <t>Cust 1089</t>
  </si>
  <si>
    <t>Cust 7230</t>
  </si>
  <si>
    <t>Cust 6597</t>
  </si>
  <si>
    <t>Cust 4108</t>
  </si>
  <si>
    <t>Cust 2883</t>
  </si>
  <si>
    <t>Cust 5018</t>
  </si>
  <si>
    <t>Cust 1231</t>
  </si>
  <si>
    <t>Cust 2209</t>
  </si>
  <si>
    <t>Cust 6684</t>
  </si>
  <si>
    <t>Cust 5289</t>
  </si>
  <si>
    <t>Cust 9159</t>
  </si>
  <si>
    <t>Cust 4844</t>
  </si>
  <si>
    <t>Cust 3273</t>
  </si>
  <si>
    <t>Cust 8160</t>
  </si>
  <si>
    <t>Cust 4439</t>
  </si>
  <si>
    <t>Cust 1127</t>
  </si>
  <si>
    <t>Cust 4696</t>
  </si>
  <si>
    <t>Cust 3014</t>
  </si>
  <si>
    <t>Cust 2539</t>
  </si>
  <si>
    <t>Cust 3916</t>
  </si>
  <si>
    <t>Cust 6329</t>
  </si>
  <si>
    <t>Cust 4384</t>
  </si>
  <si>
    <t>Cust 7756</t>
  </si>
  <si>
    <t>Cust 6086</t>
  </si>
  <si>
    <t>Cust 3845</t>
  </si>
  <si>
    <t>Cust 9996</t>
  </si>
  <si>
    <t>Cust 1711</t>
  </si>
  <si>
    <t>Cust 4522</t>
  </si>
  <si>
    <t>Cust 4233</t>
  </si>
  <si>
    <t>Cust 4121</t>
  </si>
  <si>
    <t>Cust 9092</t>
  </si>
  <si>
    <t>Cust 9090</t>
  </si>
  <si>
    <t>Cust 1983</t>
  </si>
  <si>
    <t>Cust 8834</t>
  </si>
  <si>
    <t>Cust 9780</t>
  </si>
  <si>
    <t>Cust 1293</t>
  </si>
  <si>
    <t>Cust 3173</t>
  </si>
  <si>
    <t>Cust 8641</t>
  </si>
  <si>
    <t>Cust 7656</t>
  </si>
  <si>
    <t>Cust 5523</t>
  </si>
  <si>
    <t>Cust 2015</t>
  </si>
  <si>
    <t>Cust 6895</t>
  </si>
  <si>
    <t>Cust 1797</t>
  </si>
  <si>
    <t>Cust 9969</t>
  </si>
  <si>
    <t>Cust 1815</t>
  </si>
  <si>
    <t>Cust 7773</t>
  </si>
  <si>
    <t>Cust 1499</t>
  </si>
  <si>
    <t>Cust 3809</t>
  </si>
  <si>
    <t>Cust 7824</t>
  </si>
  <si>
    <t>Cust 7258</t>
  </si>
  <si>
    <t>Cust 1151</t>
  </si>
  <si>
    <t>Cust 6486</t>
  </si>
  <si>
    <t>Cust 4034</t>
  </si>
  <si>
    <t>Cust 9794</t>
  </si>
  <si>
    <t>Cust 2414</t>
  </si>
  <si>
    <t>Cust 9024</t>
  </si>
  <si>
    <t>Cust 2663</t>
  </si>
  <si>
    <t>Cust 2293</t>
  </si>
  <si>
    <t>Cust 8963</t>
  </si>
  <si>
    <t>Cust 9238</t>
  </si>
  <si>
    <t>Cust 1390</t>
  </si>
  <si>
    <t>Cust 8548</t>
  </si>
  <si>
    <t>Cust 2919</t>
  </si>
  <si>
    <t>Cust 5847</t>
  </si>
  <si>
    <t>Cust 5711</t>
  </si>
  <si>
    <t>Cust 5461</t>
  </si>
  <si>
    <t>Cust 8905</t>
  </si>
  <si>
    <t>Cust 9618</t>
  </si>
  <si>
    <t>Cust 5203</t>
  </si>
  <si>
    <t>Cust 1732</t>
  </si>
  <si>
    <t>Cust 4734</t>
  </si>
  <si>
    <t>Cust 5895</t>
  </si>
  <si>
    <t>Cust 9691</t>
  </si>
  <si>
    <t>Cust 5406</t>
  </si>
  <si>
    <t>Cust 5750</t>
  </si>
  <si>
    <t>Cust 8280</t>
  </si>
  <si>
    <t>Cust 4358</t>
  </si>
  <si>
    <t>Cust 3588</t>
  </si>
  <si>
    <t>Cust 4539</t>
  </si>
  <si>
    <t>Cust 7067</t>
  </si>
  <si>
    <t>Cust 7720</t>
  </si>
  <si>
    <t>Cust 5668</t>
  </si>
  <si>
    <t>Cust 8367</t>
  </si>
  <si>
    <t>Cust 4438</t>
  </si>
  <si>
    <t>Cust 3481</t>
  </si>
  <si>
    <t>Cust 1489</t>
  </si>
  <si>
    <t>Cust 6649</t>
  </si>
  <si>
    <t>Cust 6114</t>
  </si>
  <si>
    <t>Cust 9589</t>
  </si>
  <si>
    <t>Cust 8184</t>
  </si>
  <si>
    <t>Cust 2490</t>
  </si>
  <si>
    <t>Cust 1647</t>
  </si>
  <si>
    <t>Cust 2017</t>
  </si>
  <si>
    <t>Cust 3446</t>
  </si>
  <si>
    <t>Cust 4877</t>
  </si>
  <si>
    <t>Cust 9112</t>
  </si>
  <si>
    <t>Cust 8172</t>
  </si>
  <si>
    <t>Cust 4597</t>
  </si>
  <si>
    <t>Cust 3690</t>
  </si>
  <si>
    <t>Cust 2893</t>
  </si>
  <si>
    <t>Cust 5602</t>
  </si>
  <si>
    <t>Cust 5616</t>
  </si>
  <si>
    <t>Cust 1312</t>
  </si>
  <si>
    <t>Cust 6315</t>
  </si>
  <si>
    <t>Cust 1224</t>
  </si>
  <si>
    <t>Cust 7182</t>
  </si>
  <si>
    <t>Cust 7901</t>
  </si>
  <si>
    <t>Cust 1736</t>
  </si>
  <si>
    <t>Cust 7795</t>
  </si>
  <si>
    <t>Cust 2471</t>
  </si>
  <si>
    <t>Cust 3068</t>
  </si>
  <si>
    <t>Cust 3848</t>
  </si>
  <si>
    <t>Cust 7777</t>
  </si>
  <si>
    <t>Cust 6613</t>
  </si>
  <si>
    <t>Cust 2326</t>
  </si>
  <si>
    <t>Cust 8304</t>
  </si>
  <si>
    <t>Cust 3630</t>
  </si>
  <si>
    <t>Cust 8617</t>
  </si>
  <si>
    <t>Cust 3530</t>
  </si>
  <si>
    <t>Cust 3884</t>
  </si>
  <si>
    <t>Cust 5739</t>
  </si>
  <si>
    <t>Cust 9707</t>
  </si>
  <si>
    <t>Cust 9288</t>
  </si>
  <si>
    <t>Cust 1216</t>
  </si>
  <si>
    <t>Cust 2489</t>
  </si>
  <si>
    <t>Cust 7171</t>
  </si>
  <si>
    <t>Cust 9125</t>
  </si>
  <si>
    <t>Cust 9697</t>
  </si>
  <si>
    <t>Cust 8171</t>
  </si>
  <si>
    <t>Cust 2004</t>
  </si>
  <si>
    <t>Cust 9837</t>
  </si>
  <si>
    <t>Cust 2082</t>
  </si>
  <si>
    <t>Cust 3001</t>
  </si>
  <si>
    <t>Cust 6161</t>
  </si>
  <si>
    <t>Cust 5220</t>
  </si>
  <si>
    <t>Cust 3386</t>
  </si>
  <si>
    <t>Cust 1591</t>
  </si>
  <si>
    <t>Cust 3434</t>
  </si>
  <si>
    <t>Cust 1501</t>
  </si>
  <si>
    <t>Cust 9683</t>
  </si>
  <si>
    <t>Cust 5416</t>
  </si>
  <si>
    <t>Cust 2153</t>
  </si>
  <si>
    <t>Cust 3572</t>
  </si>
  <si>
    <t>Cust 6372</t>
  </si>
  <si>
    <t>Cust 6109</t>
  </si>
  <si>
    <t>Cust 5234</t>
  </si>
  <si>
    <t>Cust 5530</t>
  </si>
  <si>
    <t>Cust 5398</t>
  </si>
  <si>
    <t>Cust 3247</t>
  </si>
  <si>
    <t>Cust 7137</t>
  </si>
  <si>
    <t>Cust 4627</t>
  </si>
  <si>
    <t>Cust 4878</t>
  </si>
  <si>
    <t>Cust 2779</t>
  </si>
  <si>
    <t>Cust 8606</t>
  </si>
  <si>
    <t>Cust 9599</t>
  </si>
  <si>
    <t>Cust 4500</t>
  </si>
  <si>
    <t>Cust 4173</t>
  </si>
  <si>
    <t>Cust 7607</t>
  </si>
  <si>
    <t>Cust 4768</t>
  </si>
  <si>
    <t>Cust 5746</t>
  </si>
  <si>
    <t>Cust 3002</t>
  </si>
  <si>
    <t>Cust 3237</t>
  </si>
  <si>
    <t>Cust 6437</t>
  </si>
  <si>
    <t>Cust 8806</t>
  </si>
  <si>
    <t>Cust 8678</t>
  </si>
  <si>
    <t>Cust 9649</t>
  </si>
  <si>
    <t>Cust 1960</t>
  </si>
  <si>
    <t>Cust 3910</t>
  </si>
  <si>
    <t>Cust 2279</t>
  </si>
  <si>
    <t>Cust 4689</t>
  </si>
  <si>
    <t>Cust 7381</t>
  </si>
  <si>
    <t>Cust 2724</t>
  </si>
  <si>
    <t>Cust 2823</t>
  </si>
  <si>
    <t>Cust 9402</t>
  </si>
  <si>
    <t>Cust 6561</t>
  </si>
  <si>
    <t>Cust 3116</t>
  </si>
  <si>
    <t>Cust 1015</t>
  </si>
  <si>
    <t>Cust 1207</t>
  </si>
  <si>
    <t>Cust 2501</t>
  </si>
  <si>
    <t>Cust 2330</t>
  </si>
  <si>
    <t>Cust 7436</t>
  </si>
  <si>
    <t>Cust 2762</t>
  </si>
  <si>
    <t>Cust 3599</t>
  </si>
  <si>
    <t>Cust 4127</t>
  </si>
  <si>
    <t>Cust 6855</t>
  </si>
  <si>
    <t>Cust 7017</t>
  </si>
  <si>
    <t>Cust 6957</t>
  </si>
  <si>
    <t>Cust 9822</t>
  </si>
  <si>
    <t>Cust 7425</t>
  </si>
  <si>
    <t>Cust 8897</t>
  </si>
  <si>
    <t>Cust 9816</t>
  </si>
  <si>
    <t>Cust 8227</t>
  </si>
  <si>
    <t>Cust 4990</t>
  </si>
  <si>
    <t>Cust 5834</t>
  </si>
  <si>
    <t>Cust 7330</t>
  </si>
  <si>
    <t>Cust 5273</t>
  </si>
  <si>
    <t>Cust 6138</t>
  </si>
  <si>
    <t>Cust 2084</t>
  </si>
  <si>
    <t>Cust 2799</t>
  </si>
  <si>
    <t>Cust 3051</t>
  </si>
  <si>
    <t>Cust 5456</t>
  </si>
  <si>
    <t>Cust 6029</t>
  </si>
  <si>
    <t>Cust 4002</t>
  </si>
  <si>
    <t>Cust 5830</t>
  </si>
  <si>
    <t>Cust 8088</t>
  </si>
  <si>
    <t>Cust 6455</t>
  </si>
  <si>
    <t>Cust 4117</t>
  </si>
  <si>
    <t>Cust 1385</t>
  </si>
  <si>
    <t>Cust 5185</t>
  </si>
  <si>
    <t>Cust 8704</t>
  </si>
  <si>
    <t>Cust 3528</t>
  </si>
  <si>
    <t>Cust 3907</t>
  </si>
  <si>
    <t>Cust 9005</t>
  </si>
  <si>
    <t>Cust 3635</t>
  </si>
  <si>
    <t>Cust 2122</t>
  </si>
  <si>
    <t>Cust 4467</t>
  </si>
  <si>
    <t>Cust 6146</t>
  </si>
  <si>
    <t>Cust 4001</t>
  </si>
  <si>
    <t>Cust 3365</t>
  </si>
  <si>
    <t>Cust 2194</t>
  </si>
  <si>
    <t>Cust 7942</t>
  </si>
  <si>
    <t>Cust 8451</t>
  </si>
  <si>
    <t>Cust 4238</t>
  </si>
  <si>
    <t>Cust 2529</t>
  </si>
  <si>
    <t>Cust 7057</t>
  </si>
  <si>
    <t>Cust 9069</t>
  </si>
  <si>
    <t>Cust 5858</t>
  </si>
  <si>
    <t>Cust 2712</t>
  </si>
  <si>
    <t>Cust 7052</t>
  </si>
  <si>
    <t>Cust 9397</t>
  </si>
  <si>
    <t>Cust 4614</t>
  </si>
  <si>
    <t>Cust 1573</t>
  </si>
  <si>
    <t>Cust 5660</t>
  </si>
  <si>
    <t>Cust 3952</t>
  </si>
  <si>
    <t>Cust 5407</t>
  </si>
  <si>
    <t>Cust 9595</t>
  </si>
  <si>
    <t>Cust 3245</t>
  </si>
  <si>
    <t>Cust 7180</t>
  </si>
  <si>
    <t>Cust 5973</t>
  </si>
  <si>
    <t>Cust 4310</t>
  </si>
  <si>
    <t>Cust 6243</t>
  </si>
  <si>
    <t>Cust 2448</t>
  </si>
  <si>
    <t>Cust 9386</t>
  </si>
  <si>
    <t>Cust 2227</t>
  </si>
  <si>
    <t>Cust 3803</t>
  </si>
  <si>
    <t>Cust 1236</t>
  </si>
  <si>
    <t>Cust 2669</t>
  </si>
  <si>
    <t>Cust 3746</t>
  </si>
  <si>
    <t>Cust 9694</t>
  </si>
  <si>
    <t>Cust 4993</t>
  </si>
  <si>
    <t>Cust 1271</t>
  </si>
  <si>
    <t>Cust 3042</t>
  </si>
  <si>
    <t>Cust 6424</t>
  </si>
  <si>
    <t>Cust 1422</t>
  </si>
  <si>
    <t>Cust 5857</t>
  </si>
  <si>
    <t>Cust 6953</t>
  </si>
  <si>
    <t>Cust 2916</t>
  </si>
  <si>
    <t>Cust 8464</t>
  </si>
  <si>
    <t>Cust 9700</t>
  </si>
  <si>
    <t>Cust 7765</t>
  </si>
  <si>
    <t>Cust 8246</t>
  </si>
  <si>
    <t>Cust 6500</t>
  </si>
  <si>
    <t>Cust 1150</t>
  </si>
  <si>
    <t>Cust 7449</t>
  </si>
  <si>
    <t>Cust 1957</t>
  </si>
  <si>
    <t>Cust 3467</t>
  </si>
  <si>
    <t>Cust 5212</t>
  </si>
  <si>
    <t>Cust 3509</t>
  </si>
  <si>
    <t>Cust 5316</t>
  </si>
  <si>
    <t>Cust 9919</t>
  </si>
  <si>
    <t>Cust 7129</t>
  </si>
  <si>
    <t>Cust 9841</t>
  </si>
  <si>
    <t>Cust 4142</t>
  </si>
  <si>
    <t>Cust 9584</t>
  </si>
  <si>
    <t>Cust 2553</t>
  </si>
  <si>
    <t>Cust 1347</t>
  </si>
  <si>
    <t>Cust 8305</t>
  </si>
  <si>
    <t>Cust 7015</t>
  </si>
  <si>
    <t>Cust 4394</t>
  </si>
  <si>
    <t>Cust 3323</t>
  </si>
  <si>
    <t>Cust 4029</t>
  </si>
  <si>
    <t>Cust 1400</t>
  </si>
  <si>
    <t>Cust 6361</t>
  </si>
  <si>
    <t>Cust 5267</t>
  </si>
  <si>
    <t>Cust 9354</t>
  </si>
  <si>
    <t>Cust 9443</t>
  </si>
  <si>
    <t>Cust 2252</t>
  </si>
  <si>
    <t>Cust 1031</t>
  </si>
  <si>
    <t>Cust 1672</t>
  </si>
  <si>
    <t>Cust 9313</t>
  </si>
  <si>
    <t>Cust 4405</t>
  </si>
  <si>
    <t>Cust 6453</t>
  </si>
  <si>
    <t>Cust 4772</t>
  </si>
  <si>
    <t>Cust 1762</t>
  </si>
  <si>
    <t>Cust 1865</t>
  </si>
  <si>
    <t>Cust 9552</t>
  </si>
  <si>
    <t>Cust 4273</t>
  </si>
  <si>
    <t>Cust 8712</t>
  </si>
  <si>
    <t>Cust 9048</t>
  </si>
  <si>
    <t>Cust 7714</t>
  </si>
  <si>
    <t>Cust 4770</t>
  </si>
  <si>
    <t>Cust 2007</t>
  </si>
  <si>
    <t>Cust 8909</t>
  </si>
  <si>
    <t>Cust 4196</t>
  </si>
  <si>
    <t>Cust 4189</t>
  </si>
  <si>
    <t>Cust 7226</t>
  </si>
  <si>
    <t>Cust 5015</t>
  </si>
  <si>
    <t>Cust 9904</t>
  </si>
  <si>
    <t>Cust 7687</t>
  </si>
  <si>
    <t>Cust 6511</t>
  </si>
  <si>
    <t>Cust 2412</t>
  </si>
  <si>
    <t>Cust 1664</t>
  </si>
  <si>
    <t>Cust 6033</t>
  </si>
  <si>
    <t>Cust 4019</t>
  </si>
  <si>
    <t>Cust 4515</t>
  </si>
  <si>
    <t>Cust 7532</t>
  </si>
  <si>
    <t>Cust 8756</t>
  </si>
  <si>
    <t>Cust 7620</t>
  </si>
  <si>
    <t>Cust 7368</t>
  </si>
  <si>
    <t>Cust 1319</t>
  </si>
  <si>
    <t>Cust 9597</t>
  </si>
  <si>
    <t>Cust 7369</t>
  </si>
  <si>
    <t>Cust 8592</t>
  </si>
  <si>
    <t>Cust 2337</t>
  </si>
  <si>
    <t>Cust 9097</t>
  </si>
  <si>
    <t>Cust 5938</t>
  </si>
  <si>
    <t>Cust 6928</t>
  </si>
  <si>
    <t>Cust 6223</t>
  </si>
  <si>
    <t>Cust 7614</t>
  </si>
  <si>
    <t>Cust 3231</t>
  </si>
  <si>
    <t>Cust 9123</t>
  </si>
  <si>
    <t>Cust 7054</t>
  </si>
  <si>
    <t>Cust 4240</t>
  </si>
  <si>
    <t>Cust 1237</t>
  </si>
  <si>
    <t>Cust 5513</t>
  </si>
  <si>
    <t>Cust 1835</t>
  </si>
  <si>
    <t>Cust 8492</t>
  </si>
  <si>
    <t>Cust 2451</t>
  </si>
  <si>
    <t>Cust 4509</t>
  </si>
  <si>
    <t>Cust 6643</t>
  </si>
  <si>
    <t>Cust 2559</t>
  </si>
  <si>
    <t>Cust 4423</t>
  </si>
  <si>
    <t>Cust 9139</t>
  </si>
  <si>
    <t>Cust 6668</t>
  </si>
  <si>
    <t>Cust 4315</t>
  </si>
  <si>
    <t>Cust 8000</t>
  </si>
  <si>
    <t>Cust 7585</t>
  </si>
  <si>
    <t>Cust 3127</t>
  </si>
  <si>
    <t>Cust 4130</t>
  </si>
  <si>
    <t>Cust 6956</t>
  </si>
  <si>
    <t>Cust 8155</t>
  </si>
  <si>
    <t>Cust 8852</t>
  </si>
  <si>
    <t>Cust 2850</t>
  </si>
  <si>
    <t>Cust 9572</t>
  </si>
  <si>
    <t>Cust 6253</t>
  </si>
  <si>
    <t>Cust 4154</t>
  </si>
  <si>
    <t>Cust 2137</t>
  </si>
  <si>
    <t>Cust 8157</t>
  </si>
  <si>
    <t>Cust 4861</t>
  </si>
  <si>
    <t>Cust 7493</t>
  </si>
  <si>
    <t>Cust 7073</t>
  </si>
  <si>
    <t>Cust 9085</t>
  </si>
  <si>
    <t>Cust 8504</t>
  </si>
  <si>
    <t>Cust 4164</t>
  </si>
  <si>
    <t>Cust 9592</t>
  </si>
  <si>
    <t>Cust 7450</t>
  </si>
  <si>
    <t>Cust 3305</t>
  </si>
  <si>
    <t>Cust 9768</t>
  </si>
  <si>
    <t>Cust 1179</t>
  </si>
  <si>
    <t>Cust 2546</t>
  </si>
  <si>
    <t>Cust 2672</t>
  </si>
  <si>
    <t>Cust 3394</t>
  </si>
  <si>
    <t>Cust 1649</t>
  </si>
  <si>
    <t>Cust 6994</t>
  </si>
  <si>
    <t>Cust 9879</t>
  </si>
  <si>
    <t>Cust 3712</t>
  </si>
  <si>
    <t>Cust 3829</t>
  </si>
  <si>
    <t>Cust 1623</t>
  </si>
  <si>
    <t>Cust 3532</t>
  </si>
  <si>
    <t>Cust 4712</t>
  </si>
  <si>
    <t>Cust 6211</t>
  </si>
  <si>
    <t>Cust 1222</t>
  </si>
  <si>
    <t>Cust 6208</t>
  </si>
  <si>
    <t>Cust 5942</t>
  </si>
  <si>
    <t>Cust 1745</t>
  </si>
  <si>
    <t>Cust 2679</t>
  </si>
  <si>
    <t>Cust 9907</t>
  </si>
  <si>
    <t>Cust 5717</t>
  </si>
  <si>
    <t>Cust 7995</t>
  </si>
  <si>
    <t>Cust 5572</t>
  </si>
  <si>
    <t>Cust 1721</t>
  </si>
  <si>
    <t>Cust 2641</t>
  </si>
  <si>
    <t>Cust 9769</t>
  </si>
  <si>
    <t>Cust 1718</t>
  </si>
  <si>
    <t>Cust 1210</t>
  </si>
  <si>
    <t>Cust 7710</t>
  </si>
  <si>
    <t>Cust 1428</t>
  </si>
  <si>
    <t>Cust 2810</t>
  </si>
  <si>
    <t>Cust 2234</t>
  </si>
  <si>
    <t>Cust 9602</t>
  </si>
  <si>
    <t>Cust 5032</t>
  </si>
  <si>
    <t>Cust 4297</t>
  </si>
  <si>
    <t>Cust 6944</t>
  </si>
  <si>
    <t>Cust 4136</t>
  </si>
  <si>
    <t>Cust 7460</t>
  </si>
  <si>
    <t>Cust 3960</t>
  </si>
  <si>
    <t>Cust 3160</t>
  </si>
  <si>
    <t>Cust 9641</t>
  </si>
  <si>
    <t>Cust 9742</t>
  </si>
  <si>
    <t>Cust 1144</t>
  </si>
  <si>
    <t>Cust 2936</t>
  </si>
  <si>
    <t>Cust 3035</t>
  </si>
  <si>
    <t>Cust 1717</t>
  </si>
  <si>
    <t>Cust 6435</t>
  </si>
  <si>
    <t>Cust 9352</t>
  </si>
  <si>
    <t>Cust 6746</t>
  </si>
  <si>
    <t>Cust 8189</t>
  </si>
  <si>
    <t>Cust 8470</t>
  </si>
  <si>
    <t>Cust 1044</t>
  </si>
  <si>
    <t>Cust 4010</t>
  </si>
  <si>
    <t>Cust 1904</t>
  </si>
  <si>
    <t>Cust 6034</t>
  </si>
  <si>
    <t>Cust 9239</t>
  </si>
  <si>
    <t>Cust 5678</t>
  </si>
  <si>
    <t>Cust 3696</t>
  </si>
  <si>
    <t>Cust 9025</t>
  </si>
  <si>
    <t>Cust 9924</t>
  </si>
  <si>
    <t>Cust 3887</t>
  </si>
  <si>
    <t>Cust 5302</t>
  </si>
  <si>
    <t>Cust 2290</t>
  </si>
  <si>
    <t>Cust 1726</t>
  </si>
  <si>
    <t>Cust 9874</t>
  </si>
  <si>
    <t>Cust 1774</t>
  </si>
  <si>
    <t>Cust 6534</t>
  </si>
  <si>
    <t>Cust 3170</t>
  </si>
  <si>
    <t>Cust 5438</t>
  </si>
  <si>
    <t>Cust 2670</t>
  </si>
  <si>
    <t>Cust 8949</t>
  </si>
  <si>
    <t>Cust 9748</t>
  </si>
  <si>
    <t>Cust 1220</t>
  </si>
  <si>
    <t>Cust 5645</t>
  </si>
  <si>
    <t>Cust 6577</t>
  </si>
  <si>
    <t>Cust 9506</t>
  </si>
  <si>
    <t>Cust 9302</t>
  </si>
  <si>
    <t>Cust 3030</t>
  </si>
  <si>
    <t>Cust 5896</t>
  </si>
  <si>
    <t>Cust 3763</t>
  </si>
  <si>
    <t>Cust 9510</t>
  </si>
  <si>
    <t>Cust 7637</t>
  </si>
  <si>
    <t>Cust 8382</t>
  </si>
  <si>
    <t>Cust 4015</t>
  </si>
  <si>
    <t>Cust 5172</t>
  </si>
  <si>
    <t>Cust 7584</t>
  </si>
  <si>
    <t>Cust 6809</t>
  </si>
  <si>
    <t>Cust 7540</t>
  </si>
  <si>
    <t>Cust 6888</t>
  </si>
  <si>
    <t>Cust 3304</t>
  </si>
  <si>
    <t>Cust 6596</t>
  </si>
  <si>
    <t>Cust 5588</t>
  </si>
  <si>
    <t>Cust 1518</t>
  </si>
  <si>
    <t>Cust 2819</t>
  </si>
  <si>
    <t>Cust 1947</t>
  </si>
  <si>
    <t>Cust 7332</t>
  </si>
  <si>
    <t>Cust 7314</t>
  </si>
  <si>
    <t>Cust 5296</t>
  </si>
  <si>
    <t>Cust 2964</t>
  </si>
  <si>
    <t>Cust 5381</t>
  </si>
  <si>
    <t>Cust 5436</t>
  </si>
  <si>
    <t>Cust 1494</t>
  </si>
  <si>
    <t>Cust 4380</t>
  </si>
  <si>
    <t>Cust 1375</t>
  </si>
  <si>
    <t>Cust 5698</t>
  </si>
  <si>
    <t>Cust 3259</t>
  </si>
  <si>
    <t>Cust 9295</t>
  </si>
  <si>
    <t>Cust 7035</t>
  </si>
  <si>
    <t>Cust 9049</t>
  </si>
  <si>
    <t>Cust 6173</t>
  </si>
  <si>
    <t>Cust 3447</t>
  </si>
  <si>
    <t>Cust 2218</t>
  </si>
  <si>
    <t>Cust 8882</t>
  </si>
  <si>
    <t>Cust 6709</t>
  </si>
  <si>
    <t>Cust 8727</t>
  </si>
  <si>
    <t>Cust 8359</t>
  </si>
  <si>
    <t>Cust 1514</t>
  </si>
  <si>
    <t>Cust 2774</t>
  </si>
  <si>
    <t>Cust 4270</t>
  </si>
  <si>
    <t>Cust 3123</t>
  </si>
  <si>
    <t>Cust 7414</t>
  </si>
  <si>
    <t>Cust 5051</t>
  </si>
  <si>
    <t>Cust 5975</t>
  </si>
  <si>
    <t>Cust 6948</t>
  </si>
  <si>
    <t>Cust 8253</t>
  </si>
  <si>
    <t>Cust 7238</t>
  </si>
  <si>
    <t>Cust 2219</t>
  </si>
  <si>
    <t>Cust 6665</t>
  </si>
  <si>
    <t>Cust 4252</t>
  </si>
  <si>
    <t>Cust 6104</t>
  </si>
  <si>
    <t>Cust 6407</t>
  </si>
  <si>
    <t>Cust 3573</t>
  </si>
  <si>
    <t>Cust 5280</t>
  </si>
  <si>
    <t>Cust 2365</t>
  </si>
  <si>
    <t>Cust 7130</t>
  </si>
  <si>
    <t>Cust 6539</t>
  </si>
  <si>
    <t>Cust 1656</t>
  </si>
  <si>
    <t>Cust 1932</t>
  </si>
  <si>
    <t>Cust 7367</t>
  </si>
  <si>
    <t>Cust 1116</t>
  </si>
  <si>
    <t>Cust 4464</t>
  </si>
  <si>
    <t>Cust 2543</t>
  </si>
  <si>
    <t>Cust 7948</t>
  </si>
  <si>
    <t>Cust 3199</t>
  </si>
  <si>
    <t>Cust 2800</t>
  </si>
  <si>
    <t>Cust 3863</t>
  </si>
  <si>
    <t>Cust 8391</t>
  </si>
  <si>
    <t>Cust 6711</t>
  </si>
  <si>
    <t>Cust 8653</t>
  </si>
  <si>
    <t>Cust 7937</t>
  </si>
  <si>
    <t>Cust 5972</t>
  </si>
  <si>
    <t>Cust 8597</t>
  </si>
  <si>
    <t>Cust 5382</t>
  </si>
  <si>
    <t>Cust 4323</t>
  </si>
  <si>
    <t>Cust 1767</t>
  </si>
  <si>
    <t>Cust 5912</t>
  </si>
  <si>
    <t>Cust 4446</t>
  </si>
  <si>
    <t>Cust 6107</t>
  </si>
  <si>
    <t>Cust 3330</t>
  </si>
  <si>
    <t>Cust 3604</t>
  </si>
  <si>
    <t>Cust 7412</t>
  </si>
  <si>
    <t>Cust 5183</t>
  </si>
  <si>
    <t>Cust 4825</t>
  </si>
  <si>
    <t>Cust 2123</t>
  </si>
  <si>
    <t>Cust 8684</t>
  </si>
  <si>
    <t>Cust 5964</t>
  </si>
  <si>
    <t>Cust 1810</t>
  </si>
  <si>
    <t>Cust 2685</t>
  </si>
  <si>
    <t>Cust 7855</t>
  </si>
  <si>
    <t>Cust 4101</t>
  </si>
  <si>
    <t>Cust 7964</t>
  </si>
  <si>
    <t>Cust 7010</t>
  </si>
  <si>
    <t>Cust 7917</t>
  </si>
  <si>
    <t>Cust 8111</t>
  </si>
  <si>
    <t>Cust 4715</t>
  </si>
  <si>
    <t>Cust 8720</t>
  </si>
  <si>
    <t>Cust 8216</t>
  </si>
  <si>
    <t>Cust 6946</t>
  </si>
  <si>
    <t>Cust 9888</t>
  </si>
  <si>
    <t>Cust 4009</t>
  </si>
  <si>
    <t>Cust 9489</t>
  </si>
  <si>
    <t>Cust 2446</t>
  </si>
  <si>
    <t>Cust 4150</t>
  </si>
  <si>
    <t>Cust 3569</t>
  </si>
  <si>
    <t>Cust 1023</t>
  </si>
  <si>
    <t>Cust 3748</t>
  </si>
  <si>
    <t>Cust 4798</t>
  </si>
  <si>
    <t>Cust 3864</t>
  </si>
  <si>
    <t>Cust 3459</t>
  </si>
  <si>
    <t>Cust 1187</t>
  </si>
  <si>
    <t>Cust 7509</t>
  </si>
  <si>
    <t>Cust 1869</t>
  </si>
  <si>
    <t>Cust 5943</t>
  </si>
  <si>
    <t>Cust 8364</t>
  </si>
  <si>
    <t>Cust 8401</t>
  </si>
  <si>
    <t>Cust 4047</t>
  </si>
  <si>
    <t>Cust 6019</t>
  </si>
  <si>
    <t>Cust 8750</t>
  </si>
  <si>
    <t>Cust 5782</t>
  </si>
  <si>
    <t>Cust 4090</t>
  </si>
  <si>
    <t>Cust 4730</t>
  </si>
  <si>
    <t>Cust 5648</t>
  </si>
  <si>
    <t>Cust 8933</t>
  </si>
  <si>
    <t>Cust 9280</t>
  </si>
  <si>
    <t>Cust 8696</t>
  </si>
  <si>
    <t>Cust 1944</t>
  </si>
  <si>
    <t>Cust 7780</t>
  </si>
  <si>
    <t>Cust 8055</t>
  </si>
  <si>
    <t>Cust 4707</t>
  </si>
  <si>
    <t>Cust 7806</t>
  </si>
  <si>
    <t>Cust 7033</t>
  </si>
  <si>
    <t>Cust 8372</t>
  </si>
  <si>
    <t>Cust 1935</t>
  </si>
  <si>
    <t>Cust 8417</t>
  </si>
  <si>
    <t>Cust 3370</t>
  </si>
  <si>
    <t>Cust 3664</t>
  </si>
  <si>
    <t>Cust 5760</t>
  </si>
  <si>
    <t>Cust 3037</t>
  </si>
  <si>
    <t>Cust 9828</t>
  </si>
  <si>
    <t>Cust 5297</t>
  </si>
  <si>
    <t>Cust 6785</t>
  </si>
  <si>
    <t>Cust 1344</t>
  </si>
  <si>
    <t>Cust 4023</t>
  </si>
  <si>
    <t>Cust 3721</t>
  </si>
  <si>
    <t>Cust 1486</t>
  </si>
  <si>
    <t>Cust 3958</t>
  </si>
  <si>
    <t>Cust 6914</t>
  </si>
  <si>
    <t>Cust 3287</t>
  </si>
  <si>
    <t>Cust 9072</t>
  </si>
  <si>
    <t>Cust 3098</t>
  </si>
  <si>
    <t>Cust 4307</t>
  </si>
  <si>
    <t>Cust 4618</t>
  </si>
  <si>
    <t>Cust 5322</t>
  </si>
  <si>
    <t>Cust 9873</t>
  </si>
  <si>
    <t>Cust 3652</t>
  </si>
  <si>
    <t>Cust 5569</t>
  </si>
  <si>
    <t>Cust 5369</t>
  </si>
  <si>
    <t>Cust 9044</t>
  </si>
  <si>
    <t>Cust 1887</t>
  </si>
  <si>
    <t>Cust 1559</t>
  </si>
  <si>
    <t>Cust 1722</t>
  </si>
  <si>
    <t>Cust 9029</t>
  </si>
  <si>
    <t>Cust 9555</t>
  </si>
  <si>
    <t>Cust 2484</t>
  </si>
  <si>
    <t>Cust 4763</t>
  </si>
  <si>
    <t>Cust 5016</t>
  </si>
  <si>
    <t>Cust 5528</t>
  </si>
  <si>
    <t>Cust 6922</t>
  </si>
  <si>
    <t>Cust 4807</t>
  </si>
  <si>
    <t>Cust 3368</t>
  </si>
  <si>
    <t>Cust 2871</t>
  </si>
  <si>
    <t>Cust 6229</t>
  </si>
  <si>
    <t>Cust 4560</t>
  </si>
  <si>
    <t>Cust 7099</t>
  </si>
  <si>
    <t>Cust 6333</t>
  </si>
  <si>
    <t>Cust 4678</t>
  </si>
  <si>
    <t>Cust 6657</t>
  </si>
  <si>
    <t>Cust 1267</t>
  </si>
  <si>
    <t>Cust 8150</t>
  </si>
  <si>
    <t>Cust 3668</t>
  </si>
  <si>
    <t>Cust 4803</t>
  </si>
  <si>
    <t>Cust 8633</t>
  </si>
  <si>
    <t>Cust 7235</t>
  </si>
  <si>
    <t>Cust 8992</t>
  </si>
  <si>
    <t>Cust 1889</t>
  </si>
  <si>
    <t>Cust 5411</t>
  </si>
  <si>
    <t>Cust 3411</t>
  </si>
  <si>
    <t>Cust 4788</t>
  </si>
  <si>
    <t>Cust 3564</t>
  </si>
  <si>
    <t>Cust 8018</t>
  </si>
  <si>
    <t>Cust 3045</t>
  </si>
  <si>
    <t>Cust 7020</t>
  </si>
  <si>
    <t>Cust 1905</t>
  </si>
  <si>
    <t>Cust 4592</t>
  </si>
  <si>
    <t>Cust 5482</t>
  </si>
  <si>
    <t>Cust 2801</t>
  </si>
  <si>
    <t>Cust 8206</t>
  </si>
  <si>
    <t>Cust 5277</t>
  </si>
  <si>
    <t>Cust 8900</t>
  </si>
  <si>
    <t>Cust 9387</t>
  </si>
  <si>
    <t>Cust 7013</t>
  </si>
  <si>
    <t>Cust 4868</t>
  </si>
  <si>
    <t>Cust 5239</t>
  </si>
  <si>
    <t>Cust 4703</t>
  </si>
  <si>
    <t>Cust 7224</t>
  </si>
  <si>
    <t>Cust 4751</t>
  </si>
  <si>
    <t>Cust 1201</t>
  </si>
  <si>
    <t>Cust 6980</t>
  </si>
  <si>
    <t>Cust 2835</t>
  </si>
  <si>
    <t>Cust 4286</t>
  </si>
  <si>
    <t>Cust 7876</t>
  </si>
  <si>
    <t>Cust 5926</t>
  </si>
  <si>
    <t>Cust 4478</t>
  </si>
  <si>
    <t>Cust 4711</t>
  </si>
  <si>
    <t>Cust 9227</t>
  </si>
  <si>
    <t>Cust 2830</t>
  </si>
  <si>
    <t>Cust 3767</t>
  </si>
  <si>
    <t>Cust 1561</t>
  </si>
  <si>
    <t>Cust 8569</t>
  </si>
  <si>
    <t>Cust 1254</t>
  </si>
  <si>
    <t>Cust 8556</t>
  </si>
  <si>
    <t>Cust 7204</t>
  </si>
  <si>
    <t>Cust 7725</t>
  </si>
  <si>
    <t>Cust 9210</t>
  </si>
  <si>
    <t>Cust 4937</t>
  </si>
  <si>
    <t>Cust 3606</t>
  </si>
  <si>
    <t>Cust 5865</t>
  </si>
  <si>
    <t>Cust 7195</t>
  </si>
  <si>
    <t>Cust 6113</t>
  </si>
  <si>
    <t>Cust 9878</t>
  </si>
  <si>
    <t>Cust 3936</t>
  </si>
  <si>
    <t>Cust 3937</t>
  </si>
  <si>
    <t>Cust 5262</t>
  </si>
  <si>
    <t>Cust 3892</t>
  </si>
  <si>
    <t>Cust 8826</t>
  </si>
  <si>
    <t>Cust 1119</t>
  </si>
  <si>
    <t>Cust 5939</t>
  </si>
  <si>
    <t>Cust 1791</t>
  </si>
  <si>
    <t>Cust 8530</t>
  </si>
  <si>
    <t>Cust 9619</t>
  </si>
  <si>
    <t>Cust 1637</t>
  </si>
  <si>
    <t>Cust 5737</t>
  </si>
  <si>
    <t>Cust 2524</t>
  </si>
  <si>
    <t>Cust 8480</t>
  </si>
  <si>
    <t>Cust 2595</t>
  </si>
  <si>
    <t>Cust 7132</t>
  </si>
  <si>
    <t>Cust 4644</t>
  </si>
  <si>
    <t>Cust 5133</t>
  </si>
  <si>
    <t>Cust 1731</t>
  </si>
  <si>
    <t>Cust 3739</t>
  </si>
  <si>
    <t>Cust 3853</t>
  </si>
  <si>
    <t>Cust 6830</t>
  </si>
  <si>
    <t>Cust 5351</t>
  </si>
  <si>
    <t>Cust 5845</t>
  </si>
  <si>
    <t>Cust 7004</t>
  </si>
  <si>
    <t>Cust 4095</t>
  </si>
  <si>
    <t>Cust 7833</t>
  </si>
  <si>
    <t>Cust 5826</t>
  </si>
  <si>
    <t>Cust 9410</t>
  </si>
  <si>
    <t>Cust 2590</t>
  </si>
  <si>
    <t>Cust 4599</t>
  </si>
  <si>
    <t>Cust 7166</t>
  </si>
  <si>
    <t>Cust 6177</t>
  </si>
  <si>
    <t>Cust 2899</t>
  </si>
  <si>
    <t>Cust 7063</t>
  </si>
  <si>
    <t>Cust 7487</t>
  </si>
  <si>
    <t>Cust 5481</t>
  </si>
  <si>
    <t>Cust 3150</t>
  </si>
  <si>
    <t>Cust 5099</t>
  </si>
  <si>
    <t>Cust 6615</t>
  </si>
  <si>
    <t>Cust 6924</t>
  </si>
  <si>
    <t>Cust 2411</t>
  </si>
  <si>
    <t>Cust 9648</t>
  </si>
  <si>
    <t>Cust 1974</t>
  </si>
  <si>
    <t>Cust 9452</t>
  </si>
  <si>
    <t>Cust 4558</t>
  </si>
  <si>
    <t>Cust 8811</t>
  </si>
  <si>
    <t>Cust 7788</t>
  </si>
  <si>
    <t>Cust 2788</t>
  </si>
  <si>
    <t>Cust 6621</t>
  </si>
  <si>
    <t>Cust 8575</t>
  </si>
  <si>
    <t>Cust 8799</t>
  </si>
  <si>
    <t>Cust 1699</t>
  </si>
  <si>
    <t>Cust 5606</t>
  </si>
  <si>
    <t>Cust 4933</t>
  </si>
  <si>
    <t>Cust 9517</t>
  </si>
  <si>
    <t>Cust 6740</t>
  </si>
  <si>
    <t>Cust 1301</t>
  </si>
  <si>
    <t>Cust 6864</t>
  </si>
  <si>
    <t>Cust 5207</t>
  </si>
  <si>
    <t>Cust 6525</t>
  </si>
  <si>
    <t>Cust 8298</t>
  </si>
  <si>
    <t>Cust 8204</t>
  </si>
  <si>
    <t>Cust 4035</t>
  </si>
  <si>
    <t>Cust 1654</t>
  </si>
  <si>
    <t>Cust 1823</t>
  </si>
  <si>
    <t>Cust 1423</t>
  </si>
  <si>
    <t>Cust 7282</t>
  </si>
  <si>
    <t>Cust 8437</t>
  </si>
  <si>
    <t>Cust 9508</t>
  </si>
  <si>
    <t>Cust 1186</t>
  </si>
  <si>
    <t>Cust 4362</t>
  </si>
  <si>
    <t>Cust 9388</t>
  </si>
  <si>
    <t>Cust 6428</t>
  </si>
  <si>
    <t>Cust 2570</t>
  </si>
  <si>
    <t>Cust 5132</t>
  </si>
  <si>
    <t>Cust 4929</t>
  </si>
  <si>
    <t>Cust 4018</t>
  </si>
  <si>
    <t>Cust 8069</t>
  </si>
  <si>
    <t>Cust 6741</t>
  </si>
  <si>
    <t>Cust 8050</t>
  </si>
  <si>
    <t>Cust 2434</t>
  </si>
  <si>
    <t>Cust 9089</t>
  </si>
  <si>
    <t>Cust 1091</t>
  </si>
  <si>
    <t>Cust 6326</t>
  </si>
  <si>
    <t>Cust 1327</t>
  </si>
  <si>
    <t>Cust 8602</t>
  </si>
  <si>
    <t>Cust 9131</t>
  </si>
  <si>
    <t>Cust 6716</t>
  </si>
  <si>
    <t>Cust 2071</t>
  </si>
  <si>
    <t>Cust 4472</t>
  </si>
  <si>
    <t>Cust 3899</t>
  </si>
  <si>
    <t>Cust 9467</t>
  </si>
  <si>
    <t>Cust 3824</t>
  </si>
  <si>
    <t>Cust 3511</t>
  </si>
  <si>
    <t>Cust 3356</t>
  </si>
  <si>
    <t>Cust 2840</t>
  </si>
  <si>
    <t>Cust 3811</t>
  </si>
  <si>
    <t>Cust 9960</t>
  </si>
  <si>
    <t>Cust 5906</t>
  </si>
  <si>
    <t>Cust 6579</t>
  </si>
  <si>
    <t>Cust 1756</t>
  </si>
  <si>
    <t>Cust 8999</t>
  </si>
  <si>
    <t>Cust 4277</t>
  </si>
  <si>
    <t>Cust 8751</t>
  </si>
  <si>
    <t>Cust 2482</t>
  </si>
  <si>
    <t>Cust 4078</t>
  </si>
  <si>
    <t>Cust 9091</t>
  </si>
  <si>
    <t>Cust 8706</t>
  </si>
  <si>
    <t>Cust 5042</t>
  </si>
  <si>
    <t>Cust 3319</t>
  </si>
  <si>
    <t>Cust 4139</t>
  </si>
  <si>
    <t>Cust 6993</t>
  </si>
  <si>
    <t>Cust 8397</t>
  </si>
  <si>
    <t>Cust 3082</t>
  </si>
  <si>
    <t>Cust 1156</t>
  </si>
  <si>
    <t>Cust 4720</t>
  </si>
  <si>
    <t>Cust 7034</t>
  </si>
  <si>
    <t>Cust 7218</t>
  </si>
  <si>
    <t>Cust 2651</t>
  </si>
  <si>
    <t>Cust 1252</t>
  </si>
  <si>
    <t>Cust 6679</t>
  </si>
  <si>
    <t>Cust 9361</t>
  </si>
  <si>
    <t>Cust 3049</t>
  </si>
  <si>
    <t>Cust 6415</t>
  </si>
  <si>
    <t>Cust 9856</t>
  </si>
  <si>
    <t>Cust 3106</t>
  </si>
  <si>
    <t>Cust 7107</t>
  </si>
  <si>
    <t>Cust 7542</t>
  </si>
  <si>
    <t>Cust 6330</t>
  </si>
  <si>
    <t>Cust 1469</t>
  </si>
  <si>
    <t>Cust 3698</t>
  </si>
  <si>
    <t>Cust 9833</t>
  </si>
  <si>
    <t>Cust 1074</t>
  </si>
  <si>
    <t>Cust 7891</t>
  </si>
  <si>
    <t>Cust 3373</t>
  </si>
  <si>
    <t>Cust 9045</t>
  </si>
  <si>
    <t>Cust 9197</t>
  </si>
  <si>
    <t>Cust 6920</t>
  </si>
  <si>
    <t>Cust 9652</t>
  </si>
  <si>
    <t>Cust 6267</t>
  </si>
  <si>
    <t>Cust 7753</t>
  </si>
  <si>
    <t>Cust 2789</t>
  </si>
  <si>
    <t>Cust 3527</t>
  </si>
  <si>
    <t>Cust 9538</t>
  </si>
  <si>
    <t>Cust 8929</t>
  </si>
  <si>
    <t>Cust 8931</t>
  </si>
  <si>
    <t>Cust 1424</t>
  </si>
  <si>
    <t>Cust 6723</t>
  </si>
  <si>
    <t>Cust 8850</t>
  </si>
  <si>
    <t>Cust 1211</t>
  </si>
  <si>
    <t>Cust 9384</t>
  </si>
  <si>
    <t>Cust 9338</t>
  </si>
  <si>
    <t>Cust 1822</t>
  </si>
  <si>
    <t>Cust 8260</t>
  </si>
  <si>
    <t>Cust 7088</t>
  </si>
  <si>
    <t>Cust 4969</t>
  </si>
  <si>
    <t>Cust 9046</t>
  </si>
  <si>
    <t>Cust 6859</t>
  </si>
  <si>
    <t>Cust 1146</t>
  </si>
  <si>
    <t>Cust 6447</t>
  </si>
  <si>
    <t>Cust 8519</t>
  </si>
  <si>
    <t>Cust 3422</t>
  </si>
  <si>
    <t>Cust 9638</t>
  </si>
  <si>
    <t>Cust 6438</t>
  </si>
  <si>
    <t>Cust 1724</t>
  </si>
  <si>
    <t>Cust 7808</t>
  </si>
  <si>
    <t>Cust 7348</t>
  </si>
  <si>
    <t>Cust 5666</t>
  </si>
  <si>
    <t>Cust 6675</t>
  </si>
  <si>
    <t>Cust 5462</t>
  </si>
  <si>
    <t>Cust 3471</t>
  </si>
  <si>
    <t>Cust 1603</t>
  </si>
  <si>
    <t>Cust 7758</t>
  </si>
  <si>
    <t>Cust 3396</t>
  </si>
  <si>
    <t>Cust 4797</t>
  </si>
  <si>
    <t>Cust 1113</t>
  </si>
  <si>
    <t>Cust 8843</t>
  </si>
  <si>
    <t>Cust 7505</t>
  </si>
  <si>
    <t>Cust 9490</t>
  </si>
  <si>
    <t>Cust 8631</t>
  </si>
  <si>
    <t>Cust 6986</t>
  </si>
  <si>
    <t>Cust 9636</t>
  </si>
  <si>
    <t>Cust 1943</t>
  </si>
  <si>
    <t>Cust 6368</t>
  </si>
  <si>
    <t>Cust 9724</t>
  </si>
  <si>
    <t>Cust 8723</t>
  </si>
  <si>
    <t>Cust 1901</t>
  </si>
  <si>
    <t>Cust 9682</t>
  </si>
  <si>
    <t>Cust 5413</t>
  </si>
  <si>
    <t>Cust 9590</t>
  </si>
  <si>
    <t>Cust 9379</t>
  </si>
  <si>
    <t>Cust 4722</t>
  </si>
  <si>
    <t>Cust 7152</t>
  </si>
  <si>
    <t>Cust 7255</t>
  </si>
  <si>
    <t>Cust 9593</t>
  </si>
  <si>
    <t>Cust 2561</t>
  </si>
  <si>
    <t>Cust 8387</t>
  </si>
  <si>
    <t>Cust 2860</t>
  </si>
  <si>
    <t>Cust 7794</t>
  </si>
  <si>
    <t>Cust 6075</t>
  </si>
  <si>
    <t>Cust 4337</t>
  </si>
  <si>
    <t>Cust 2540</t>
  </si>
  <si>
    <t>Cust 3944</t>
  </si>
  <si>
    <t>Cust 8876</t>
  </si>
  <si>
    <t>Cust 3286</t>
  </si>
  <si>
    <t>Cust 2608</t>
  </si>
  <si>
    <t>Cust 3290</t>
  </si>
  <si>
    <t>Cust 6979</t>
  </si>
  <si>
    <t>Cust 9375</t>
  </si>
  <si>
    <t>Cust 9311</t>
  </si>
  <si>
    <t>Cust 4097</t>
  </si>
  <si>
    <t>Cust 6145</t>
  </si>
  <si>
    <t>Cust 8124</t>
  </si>
  <si>
    <t>Cust 7826</t>
  </si>
  <si>
    <t>Cust 3472</t>
  </si>
  <si>
    <t>Cust 4266</t>
  </si>
  <si>
    <t>Cust 7354</t>
  </si>
  <si>
    <t>Cust 6672</t>
  </si>
  <si>
    <t>Cust 5589</t>
  </si>
  <si>
    <t>Cust 2770</t>
  </si>
  <si>
    <t>Cust 7206</t>
  </si>
  <si>
    <t>Cust 1580</t>
  </si>
  <si>
    <t>Cust 5313</t>
  </si>
  <si>
    <t>Cust 4209</t>
  </si>
  <si>
    <t>Cust 5861</t>
  </si>
  <si>
    <t>Cust 6348</t>
  </si>
  <si>
    <t>Cust 5210</t>
  </si>
  <si>
    <t>Cust 7325</t>
  </si>
  <si>
    <t>Cust 5818</t>
  </si>
  <si>
    <t>Cust 4496</t>
  </si>
  <si>
    <t>Cust 3875</t>
  </si>
  <si>
    <t>Cust 7232</t>
  </si>
  <si>
    <t>Cust 4537</t>
  </si>
  <si>
    <t>Cust 6274</t>
  </si>
  <si>
    <t>Cust 3810</t>
  </si>
  <si>
    <t>Cust 5002</t>
  </si>
  <si>
    <t>Cust 8551</t>
  </si>
  <si>
    <t>Cust 8837</t>
  </si>
  <si>
    <t>Cust 6523</t>
  </si>
  <si>
    <t>Cust 3440</t>
  </si>
  <si>
    <t>Cust 4102</t>
  </si>
  <si>
    <t>Cust 4145</t>
  </si>
  <si>
    <t>Cust 5206</t>
  </si>
  <si>
    <t>Cust 4022</t>
  </si>
  <si>
    <t>Cust 8676</t>
  </si>
  <si>
    <t>Cust 7492</t>
  </si>
  <si>
    <t>Cust 7872</t>
  </si>
  <si>
    <t>Cust 8762</t>
  </si>
  <si>
    <t>Cust 4004</t>
  </si>
  <si>
    <t>Cust 2781</t>
  </si>
  <si>
    <t>Cust 9982</t>
  </si>
  <si>
    <t>Cust 9561</t>
  </si>
  <si>
    <t>Cust 3496</t>
  </si>
  <si>
    <t>Cust 4085</t>
  </si>
  <si>
    <t>Cust 1921</t>
  </si>
  <si>
    <t>Cust 9053</t>
  </si>
  <si>
    <t>Cust 3559</t>
  </si>
  <si>
    <t>Cust 7060</t>
  </si>
  <si>
    <t>Cust 8796</t>
  </si>
  <si>
    <t>Cust 6055</t>
  </si>
  <si>
    <t>Cust 5779</t>
  </si>
  <si>
    <t>Cust 9330</t>
  </si>
  <si>
    <t>Cust 5374</t>
  </si>
  <si>
    <t>Cust 3321</t>
  </si>
  <si>
    <t>Cust 6554</t>
  </si>
  <si>
    <t>Cust 9955</t>
  </si>
  <si>
    <t>Cust 3320</t>
  </si>
  <si>
    <t>Cust 8177</t>
  </si>
  <si>
    <t>Cust 1743</t>
  </si>
  <si>
    <t>Cust 3719</t>
  </si>
  <si>
    <t>Cust 9323</t>
  </si>
  <si>
    <t>Cust 1914</t>
  </si>
  <si>
    <t>Cust 5928</t>
  </si>
  <si>
    <t>Cust 8062</t>
  </si>
  <si>
    <t>Cust 3275</t>
  </si>
  <si>
    <t>Cust 3854</t>
  </si>
  <si>
    <t>Cust 8398</t>
  </si>
  <si>
    <t>Cust 4026</t>
  </si>
  <si>
    <t>Cust 5794</t>
  </si>
  <si>
    <t>Cust 2917</t>
  </si>
  <si>
    <t>Cust 5659</t>
  </si>
  <si>
    <t>Cust 1857</t>
  </si>
  <si>
    <t>Cust 6718</t>
  </si>
  <si>
    <t>Cust 8378</t>
  </si>
  <si>
    <t>Cust 3069</t>
  </si>
  <si>
    <t>Cust 7619</t>
  </si>
  <si>
    <t>Cust 6167</t>
  </si>
  <si>
    <t>Cust 2453</t>
  </si>
  <si>
    <t>Cust 8896</t>
  </si>
  <si>
    <t>Cust 8800</t>
  </si>
  <si>
    <t>Cust 1819</t>
  </si>
  <si>
    <t>Cust 1300</t>
  </si>
  <si>
    <t>Cust 3807</t>
  </si>
  <si>
    <t>Cust 6633</t>
  </si>
  <si>
    <t>Cust 6573</t>
  </si>
  <si>
    <t>Cust 8600</t>
  </si>
  <si>
    <t>Cust 8654</t>
  </si>
  <si>
    <t>Cust 3708</t>
  </si>
  <si>
    <t>Cust 1268</t>
  </si>
  <si>
    <t>Cust 5600</t>
  </si>
  <si>
    <t>Cust 2438</t>
  </si>
  <si>
    <t>Cust 4293</t>
  </si>
  <si>
    <t>Cust 2616</t>
  </si>
  <si>
    <t>Cust 5362</t>
  </si>
  <si>
    <t>Cust 1670</t>
  </si>
  <si>
    <t>Cust 2254</t>
  </si>
  <si>
    <t>Cust 9521</t>
  </si>
  <si>
    <t>Cust 3921</t>
  </si>
  <si>
    <t>Cust 7628</t>
  </si>
  <si>
    <t>Cust 4210</t>
  </si>
  <si>
    <t>Cust 1951</t>
  </si>
  <si>
    <t>Cust 9405</t>
  </si>
  <si>
    <t>Cust 8769</t>
  </si>
  <si>
    <t>Cust 4068</t>
  </si>
  <si>
    <t>Cust 3523</t>
  </si>
  <si>
    <t>Cust 3377</t>
  </si>
  <si>
    <t>Cust 3125</t>
  </si>
  <si>
    <t>Cust 4623</t>
  </si>
  <si>
    <t>Cust 4571</t>
  </si>
  <si>
    <t>Cust 6982</t>
  </si>
  <si>
    <t>Cust 6824</t>
  </si>
  <si>
    <t>Cust 3172</t>
  </si>
  <si>
    <t>Cust 8146</t>
  </si>
  <si>
    <t>Cust 3299</t>
  </si>
  <si>
    <t>Cust 6476</t>
  </si>
  <si>
    <t>Cust 9835</t>
  </si>
  <si>
    <t>Cust 1003</t>
  </si>
  <si>
    <t>Cust 9705</t>
  </si>
  <si>
    <t>Cust 3421</t>
  </si>
  <si>
    <t>Cust 1690</t>
  </si>
  <si>
    <t>Cust 2507</t>
  </si>
  <si>
    <t>Cust 9880</t>
  </si>
  <si>
    <t>Cust 3972</t>
  </si>
  <si>
    <t>Cust 4205</t>
  </si>
  <si>
    <t>Cust 2579</t>
  </si>
  <si>
    <t>Cust 7265</t>
  </si>
  <si>
    <t>Cust 1199</t>
  </si>
  <si>
    <t>Cust 2928</t>
  </si>
  <si>
    <t>Cust 9447</t>
  </si>
  <si>
    <t>Cust 9095</t>
  </si>
  <si>
    <t>Cust 7587</t>
  </si>
  <si>
    <t>Cust 2611</t>
  </si>
  <si>
    <t>Cust 8284</t>
  </si>
  <si>
    <t>Cust 8154</t>
  </si>
  <si>
    <t>Cust 5215</t>
  </si>
  <si>
    <t>Cust 5309</t>
  </si>
  <si>
    <t>Cust 2016</t>
  </si>
  <si>
    <t>Cust 2676</t>
  </si>
  <si>
    <t>Cust 7529</t>
  </si>
  <si>
    <t>Cust 6172</t>
  </si>
  <si>
    <t>Cust 2527</t>
  </si>
  <si>
    <t>Cust 1970</t>
  </si>
  <si>
    <t>Cust 9543</t>
  </si>
  <si>
    <t>Cust 2957</t>
  </si>
  <si>
    <t>Cust 2852</t>
  </si>
  <si>
    <t>Cust 6365</t>
  </si>
  <si>
    <t>Cust 3252</t>
  </si>
  <si>
    <t>Cust 8679</t>
  </si>
  <si>
    <t>Cust 5547</t>
  </si>
  <si>
    <t>Cust 9438</t>
  </si>
  <si>
    <t>Cust 7007</t>
  </si>
  <si>
    <t>Cust 5771</t>
  </si>
  <si>
    <t>Cust 4317</t>
  </si>
  <si>
    <t>Cust 3627</t>
  </si>
  <si>
    <t>Cust 4433</t>
  </si>
  <si>
    <t>Cust 6231</t>
  </si>
  <si>
    <t>Cust 8987</t>
  </si>
  <si>
    <t>Cust 4510</t>
  </si>
  <si>
    <t>Cust 7003</t>
  </si>
  <si>
    <t>Cust 6546</t>
  </si>
  <si>
    <t>Cust 2951</t>
  </si>
  <si>
    <t>Cust 4673</t>
  </si>
  <si>
    <t>Cust 5988</t>
  </si>
  <si>
    <t>Cust 3922</t>
  </si>
  <si>
    <t>Cust 9853</t>
  </si>
  <si>
    <t>Cust 6168</t>
  </si>
  <si>
    <t>Cust 3175</t>
  </si>
  <si>
    <t>Cust 1813</t>
  </si>
  <si>
    <t>Cust 7749</t>
  </si>
  <si>
    <t>Cust 3416</t>
  </si>
  <si>
    <t>Cust 7066</t>
  </si>
  <si>
    <t>Cust 5180</t>
  </si>
  <si>
    <t>Cust 6246</t>
  </si>
  <si>
    <t>Cust 4182</t>
  </si>
  <si>
    <t>Cust 6843</t>
  </si>
  <si>
    <t>Cust 6844</t>
  </si>
  <si>
    <t>Cust 3248</t>
  </si>
  <si>
    <t>Cust 5226</t>
  </si>
  <si>
    <t>Cust 9804</t>
  </si>
  <si>
    <t>Cust 3990</t>
  </si>
  <si>
    <t>Cust 5106</t>
  </si>
  <si>
    <t>Cust 3448</t>
  </si>
  <si>
    <t>Cust 1439</t>
  </si>
  <si>
    <t>Cust 5342</t>
  </si>
  <si>
    <t>Cust 4564</t>
  </si>
  <si>
    <t>Cust 6441</t>
  </si>
  <si>
    <t>Cust 7591</t>
  </si>
  <si>
    <t>Cust 9778</t>
  </si>
  <si>
    <t>Cust 1195</t>
  </si>
  <si>
    <t>Cust 8126</t>
  </si>
  <si>
    <t>Cust 4609</t>
  </si>
  <si>
    <t>Cust 1449</t>
  </si>
  <si>
    <t>Cust 3508</t>
  </si>
  <si>
    <t>Cust 1232</t>
  </si>
  <si>
    <t>Cust 9675</t>
  </si>
  <si>
    <t>Cust 5153</t>
  </si>
  <si>
    <t>Cust 8277</t>
  </si>
  <si>
    <t>Cust 5884</t>
  </si>
  <si>
    <t>Cust 4061</t>
  </si>
  <si>
    <t>Cust 8095</t>
  </si>
  <si>
    <t>Cust 2435</t>
  </si>
  <si>
    <t>Cust 6485</t>
  </si>
  <si>
    <t>Cust 6960</t>
  </si>
  <si>
    <t>Cust 1135</t>
  </si>
  <si>
    <t>Cust 6186</t>
  </si>
  <si>
    <t>Cust 8828</t>
  </si>
  <si>
    <t>Cust 4744</t>
  </si>
  <si>
    <t>Cust 4287</t>
  </si>
  <si>
    <t>Cust 2236</t>
  </si>
  <si>
    <t>Cust 5096</t>
  </si>
  <si>
    <t>Cust 1162</t>
  </si>
  <si>
    <t>Cust 1669</t>
  </si>
  <si>
    <t>Cust 6213</t>
  </si>
  <si>
    <t>Cust 7659</t>
  </si>
  <si>
    <t>Cust 2894</t>
  </si>
  <si>
    <t>Cust 1457</t>
  </si>
  <si>
    <t>Cust 2410</t>
  </si>
  <si>
    <t>Cust 4723</t>
  </si>
  <si>
    <t>Cust 1586</t>
  </si>
  <si>
    <t>Cust 5049</t>
  </si>
  <si>
    <t>Cust 9534</t>
  </si>
  <si>
    <t>Cust 5693</t>
  </si>
  <si>
    <t>Cust 6950</t>
  </si>
  <si>
    <t>Cust 7098</t>
  </si>
  <si>
    <t>Cust 8300</t>
  </si>
  <si>
    <t>Cust 9557</t>
  </si>
  <si>
    <t>Cust 8787</t>
  </si>
  <si>
    <t>Cust 9717</t>
  </si>
  <si>
    <t>Cust 2719</t>
  </si>
  <si>
    <t>Cust 6203</t>
  </si>
  <si>
    <t>Cust 9151</t>
  </si>
  <si>
    <t>Cust 4250</t>
  </si>
  <si>
    <t>Cust 1276</t>
  </si>
  <si>
    <t>Cust 6063</t>
  </si>
  <si>
    <t>Cust 7604</t>
  </si>
  <si>
    <t>Cust 4398</t>
  </si>
  <si>
    <t>Cust 8770</t>
  </si>
  <si>
    <t>Cust 2148</t>
  </si>
  <si>
    <t>Cust 4107</t>
  </si>
  <si>
    <t>Cust 4450</t>
  </si>
  <si>
    <t>Cust 8233</t>
  </si>
  <si>
    <t>Cust 9012</t>
  </si>
  <si>
    <t>Cust 1496</t>
  </si>
  <si>
    <t>Cust 9365</t>
  </si>
  <si>
    <t>Cust 1392</t>
  </si>
  <si>
    <t>Cust 3474</t>
  </si>
  <si>
    <t>Cust 2111</t>
  </si>
  <si>
    <t>Cust 2341</t>
  </si>
  <si>
    <t>Cust 5935</t>
  </si>
  <si>
    <t>Cust 3291</t>
  </si>
  <si>
    <t>Cust 5258</t>
  </si>
  <si>
    <t>Cust 9606</t>
  </si>
  <si>
    <t>Cust 9182</t>
  </si>
  <si>
    <t>Cust 6299</t>
  </si>
  <si>
    <t>Cust 9628</t>
  </si>
  <si>
    <t>Cust 3831</t>
  </si>
  <si>
    <t>Cust 7955</t>
  </si>
  <si>
    <t>Cust 3939</t>
  </si>
  <si>
    <t>Cust 7916</t>
  </si>
  <si>
    <t>Cust 2477</t>
  </si>
  <si>
    <t>Cust 3781</t>
  </si>
  <si>
    <t>Cust 1969</t>
  </si>
  <si>
    <t>Cust 4494</t>
  </si>
  <si>
    <t>Cust 3061</t>
  </si>
  <si>
    <t>Cust 4732</t>
  </si>
  <si>
    <t>Cust 9889</t>
  </si>
  <si>
    <t>Cust 2165</t>
  </si>
  <si>
    <t>Cust 6121</t>
  </si>
  <si>
    <t>Cust 4071</t>
  </si>
  <si>
    <t>Cust 5249</t>
  </si>
  <si>
    <t>Cust 4262</t>
  </si>
  <si>
    <t>Cust 9314</t>
  </si>
  <si>
    <t>Cust 7703</t>
  </si>
  <si>
    <t>Cust 1007</t>
  </si>
  <si>
    <t>Cust 1946</t>
  </si>
  <si>
    <t>Cust 6347</t>
  </si>
  <si>
    <t>Cust 6499</t>
  </si>
  <si>
    <t>Cust 1420</t>
  </si>
  <si>
    <t>Cust 6744</t>
  </si>
  <si>
    <t>Cust 5690</t>
  </si>
  <si>
    <t>Cust 1265</t>
  </si>
  <si>
    <t>Cust 7676</t>
  </si>
  <si>
    <t>Cust 4442</t>
  </si>
  <si>
    <t>Cust 2975</t>
  </si>
  <si>
    <t>Cust 7832</t>
  </si>
  <si>
    <t>Cust 8639</t>
  </si>
  <si>
    <t>Cust 4389</t>
  </si>
  <si>
    <t>Cust 2008</t>
  </si>
  <si>
    <t>Cust 6509</t>
  </si>
  <si>
    <t>Cust 4414</t>
  </si>
  <si>
    <t>Cust 6409</t>
  </si>
  <si>
    <t>Cust 1621</t>
  </si>
  <si>
    <t>Cust 6790</t>
  </si>
  <si>
    <t>Cust 4045</t>
  </si>
  <si>
    <t>Cust 1258</t>
  </si>
  <si>
    <t>Cust 8051</t>
  </si>
  <si>
    <t>Cust 9371</t>
  </si>
  <si>
    <t>Cust 9881</t>
  </si>
  <si>
    <t>Cust 9189</t>
  </si>
  <si>
    <t>Cust 8802</t>
  </si>
  <si>
    <t>Cust 8707</t>
  </si>
  <si>
    <t>Cust 5638</t>
  </si>
  <si>
    <t>Cust 6036</t>
  </si>
  <si>
    <t>Cust 5504</t>
  </si>
  <si>
    <t>Cust 1161</t>
  </si>
  <si>
    <t>Cust 5420</t>
  </si>
  <si>
    <t>Cust 7745</t>
  </si>
  <si>
    <t>Cust 4365</t>
  </si>
  <si>
    <t>Cust 9020</t>
  </si>
  <si>
    <t>Cust 2667</t>
  </si>
  <si>
    <t>Cust 6158</t>
  </si>
  <si>
    <t>Cust 7404</t>
  </si>
  <si>
    <t>Cust 8572</t>
  </si>
  <si>
    <t>Cust 1043</t>
  </si>
  <si>
    <t>Cust 1766</t>
  </si>
  <si>
    <t>Cust 4461</t>
  </si>
  <si>
    <t>Cust 4390</t>
  </si>
  <si>
    <t>Cust 9451</t>
  </si>
  <si>
    <t>Cust 5335</t>
  </si>
  <si>
    <t>Cust 3487</t>
  </si>
  <si>
    <t>Cust 7613</t>
  </si>
  <si>
    <t>Cust 9436</t>
  </si>
  <si>
    <t>Cust 2197</t>
  </si>
  <si>
    <t>Cust 5620</t>
  </si>
  <si>
    <t>Cust 3187</t>
  </si>
  <si>
    <t>Cust 1081</t>
  </si>
  <si>
    <t>Cust 5409</t>
  </si>
  <si>
    <t>Cust 2741</t>
  </si>
  <si>
    <t>Cust 2571</t>
  </si>
  <si>
    <t>Cust 6301</t>
  </si>
  <si>
    <t>Cust 7918</t>
  </si>
  <si>
    <t>Cust 3456</t>
  </si>
  <si>
    <t>Cust 8272</t>
  </si>
  <si>
    <t>Cust 7302</t>
  </si>
  <si>
    <t>Cust 5484</t>
  </si>
  <si>
    <t>Cust 4652</t>
  </si>
  <si>
    <t>Cust 1287</t>
  </si>
  <si>
    <t>Cust 5444</t>
  </si>
  <si>
    <t>Cust 6355</t>
  </si>
  <si>
    <t>Cust 6620</t>
  </si>
  <si>
    <t>Cust 4092</t>
  </si>
  <si>
    <t>Cust 4812</t>
  </si>
  <si>
    <t>Cust 8389</t>
  </si>
  <si>
    <t>Cust 4529</t>
  </si>
  <si>
    <t>Cust 4228</t>
  </si>
  <si>
    <t>Cust 3940</t>
  </si>
  <si>
    <t>Cust 4392</t>
  </si>
  <si>
    <t>Cust 4404</t>
  </si>
  <si>
    <t>Cust 2981</t>
  </si>
  <si>
    <t>Cust 3571</t>
  </si>
  <si>
    <t>Cust 2592</t>
  </si>
  <si>
    <t>Cust 6209</t>
  </si>
  <si>
    <t>Cust 6600</t>
  </si>
  <si>
    <t>Cust 6899</t>
  </si>
  <si>
    <t>Cust 1563</t>
  </si>
  <si>
    <t>Cust 6733</t>
  </si>
  <si>
    <t>Cust 7635</t>
  </si>
  <si>
    <t>Cust 4354</t>
  </si>
  <si>
    <t>Cust 1376</t>
  </si>
  <si>
    <t>Cust 6542</t>
  </si>
  <si>
    <t>Cust 4386</t>
  </si>
  <si>
    <t>Cust 6708</t>
  </si>
  <si>
    <t>Cust 6354</t>
  </si>
  <si>
    <t>Cust 3477</t>
  </si>
  <si>
    <t>Cust 6646</t>
  </si>
  <si>
    <t>Cust 6284</t>
  </si>
  <si>
    <t>Cust 9099</t>
  </si>
  <si>
    <t>Cust 6124</t>
  </si>
  <si>
    <t>Cust 8533</t>
  </si>
  <si>
    <t>Cust 1333</t>
  </si>
  <si>
    <t>Cust 2394</t>
  </si>
  <si>
    <t>Cust 8495</t>
  </si>
  <si>
    <t>Cust 3988</t>
  </si>
  <si>
    <t>Cust 4664</t>
  </si>
  <si>
    <t>Cust 5086</t>
  </si>
  <si>
    <t>Cust 8858</t>
  </si>
  <si>
    <t>Cust 2496</t>
  </si>
  <si>
    <t>Cust 5465</t>
  </si>
  <si>
    <t>Cust 2311</t>
  </si>
  <si>
    <t>Cust 4575</t>
  </si>
  <si>
    <t>Cust 8054</t>
  </si>
  <si>
    <t>Cust 7547</t>
  </si>
  <si>
    <t>Cust 5635</t>
  </si>
  <si>
    <t>Cust 4360</t>
  </si>
  <si>
    <t>Cust 1624</t>
  </si>
  <si>
    <t>Cust 6593</t>
  </si>
  <si>
    <t>Cust 8458</t>
  </si>
  <si>
    <t>Cust 8847</t>
  </si>
  <si>
    <t>Cust 7857</t>
  </si>
  <si>
    <t>Cust 7810</t>
  </si>
  <si>
    <t>Cust 5665</t>
  </si>
  <si>
    <t>Cust 8015</t>
  </si>
  <si>
    <t>Cust 7211</t>
  </si>
  <si>
    <t>Cust 8705</t>
  </si>
  <si>
    <t>Cust 2905</t>
  </si>
  <si>
    <t>Cust 5777</t>
  </si>
  <si>
    <t>Cust 6695</t>
  </si>
  <si>
    <t>Cust 1977</t>
  </si>
  <si>
    <t>Cust 7979</t>
  </si>
  <si>
    <t>Cust 2437</t>
  </si>
  <si>
    <t>Cust 2516</t>
  </si>
  <si>
    <t>Cust 6791</t>
  </si>
  <si>
    <t>Cust 5227</t>
  </si>
  <si>
    <t>Cust 5559</t>
  </si>
  <si>
    <t>Cust 8981</t>
  </si>
  <si>
    <t>Cust 1824</t>
  </si>
  <si>
    <t>Eric</t>
  </si>
  <si>
    <t>Sophie</t>
  </si>
  <si>
    <t>Ryan</t>
  </si>
  <si>
    <t>Cameron</t>
  </si>
  <si>
    <t>Wendy</t>
  </si>
  <si>
    <t>Net Sales</t>
  </si>
  <si>
    <t>Profit</t>
  </si>
  <si>
    <t>Row Labels</t>
  </si>
  <si>
    <t>Grand Total</t>
  </si>
  <si>
    <t>2023</t>
  </si>
  <si>
    <t>2024</t>
  </si>
  <si>
    <t>2025</t>
  </si>
  <si>
    <t>Jan</t>
  </si>
  <si>
    <t>Feb</t>
  </si>
  <si>
    <t>Mar</t>
  </si>
  <si>
    <t>Apr</t>
  </si>
  <si>
    <t>May</t>
  </si>
  <si>
    <t>Jun</t>
  </si>
  <si>
    <t>Jul</t>
  </si>
  <si>
    <t>Aug</t>
  </si>
  <si>
    <t>Sep</t>
  </si>
  <si>
    <t>Oct</t>
  </si>
  <si>
    <t>Nov</t>
  </si>
  <si>
    <t>Dec</t>
  </si>
  <si>
    <t>Sum of Net Sales</t>
  </si>
  <si>
    <t>Count of OrderID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</si>
</sst>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12">
    <xf numFmtId="0" fontId="0" fillId="0" borderId="0" xfId="0"/>
    <xf numFmtId="0" fontId="1" fillId="0" borderId="1" xfId="0" applyFont="1" applyBorder="1" applyAlignment="1">
      <alignment horizontal="center" vertical="top"/>
    </xf>
    <xf numFmtId="10" fontId="1" fillId="0" borderId="1" xfId="0" applyNumberFormat="1" applyFont="1" applyBorder="1" applyAlignment="1">
      <alignment horizontal="center" vertical="top"/>
    </xf>
    <xf numFmtId="10" fontId="0" fillId="0" borderId="0" xfId="0" applyNumberFormat="1"/>
    <xf numFmtId="14" fontId="1" fillId="0" borderId="1" xfId="0" applyNumberFormat="1" applyFont="1" applyBorder="1" applyAlignment="1">
      <alignment horizontal="center" vertical="top"/>
    </xf>
    <xf numFmtId="14" fontId="0" fillId="0" borderId="0" xfId="0" applyNumberFormat="1"/>
    <xf numFmtId="164" fontId="1" fillId="0" borderId="1" xfId="0" applyNumberFormat="1" applyFont="1" applyBorder="1" applyAlignment="1">
      <alignment horizontal="center" vertical="top"/>
    </xf>
    <xf numFmtId="16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horizontal="center"/>
    </xf>
  </cellXfs>
  <cellStyles count="1">
    <cellStyle name="Normal" xfId="0" builtinId="0"/>
  </cellStyles>
  <dxfs count="9">
    <dxf>
      <numFmt numFmtId="19" formatCode="m/d/yyyy"/>
    </dxf>
    <dxf>
      <numFmt numFmtId="19" formatCode="m/d/yyyy"/>
    </dxf>
    <dxf>
      <numFmt numFmtId="14" formatCode="0.00%"/>
    </dxf>
    <dxf>
      <numFmt numFmtId="164" formatCode="&quot;$&quot;#,##0.00"/>
    </dxf>
    <dxf>
      <numFmt numFmtId="164" formatCode="&quot;$&quot;#,##0.00"/>
    </dxf>
    <dxf>
      <numFmt numFmtId="19" formatCode="m/d/yyyy"/>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[Sales_Dashboard_Sunny.xlsx]Sheet2!PivotTable1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Sheet2!$B$1</c:f>
              <c:strCache>
                <c:ptCount val="1"/>
                <c:pt idx="0">
                  <c:v>Total</c:v>
                </c:pt>
              </c:strCache>
            </c:strRef>
          </c:tx>
          <c:spPr>
            <a:ln w="28575" cap="rnd">
              <a:solidFill>
                <a:schemeClr val="accent1"/>
              </a:solidFill>
              <a:round/>
            </a:ln>
            <a:effectLst/>
          </c:spPr>
          <c:marker>
            <c:symbol val="none"/>
          </c:marker>
          <c:cat>
            <c:multiLvlStrRef>
              <c:f>Sheet2!$A$2:$A$35</c:f>
              <c:multiLvlStrCache>
                <c:ptCount val="30"/>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lvl>
                <c:lvl>
                  <c:pt idx="0">
                    <c:v>2023</c:v>
                  </c:pt>
                  <c:pt idx="12">
                    <c:v>2024</c:v>
                  </c:pt>
                  <c:pt idx="24">
                    <c:v>2025</c:v>
                  </c:pt>
                </c:lvl>
              </c:multiLvlStrCache>
            </c:multiLvlStrRef>
          </c:cat>
          <c:val>
            <c:numRef>
              <c:f>Sheet2!$B$2:$B$35</c:f>
              <c:numCache>
                <c:formatCode>"$"#,##0.00</c:formatCode>
                <c:ptCount val="30"/>
                <c:pt idx="0">
                  <c:v>145345.99154999998</c:v>
                </c:pt>
                <c:pt idx="1">
                  <c:v>131509.55609999999</c:v>
                </c:pt>
                <c:pt idx="2">
                  <c:v>188371.34564999992</c:v>
                </c:pt>
                <c:pt idx="3">
                  <c:v>139489.97107500004</c:v>
                </c:pt>
                <c:pt idx="4">
                  <c:v>108538.29172499999</c:v>
                </c:pt>
                <c:pt idx="5">
                  <c:v>126092.107925</c:v>
                </c:pt>
                <c:pt idx="6">
                  <c:v>131292.93309999999</c:v>
                </c:pt>
                <c:pt idx="7">
                  <c:v>149487.15747499999</c:v>
                </c:pt>
                <c:pt idx="8">
                  <c:v>141740.304175</c:v>
                </c:pt>
                <c:pt idx="9">
                  <c:v>72787.612174999987</c:v>
                </c:pt>
                <c:pt idx="10">
                  <c:v>134433.09484999996</c:v>
                </c:pt>
                <c:pt idx="11">
                  <c:v>111205.07777500003</c:v>
                </c:pt>
                <c:pt idx="12">
                  <c:v>161397.94932500002</c:v>
                </c:pt>
                <c:pt idx="13">
                  <c:v>126356.25892499997</c:v>
                </c:pt>
                <c:pt idx="14">
                  <c:v>131192.79657499999</c:v>
                </c:pt>
                <c:pt idx="15">
                  <c:v>153705.859425</c:v>
                </c:pt>
                <c:pt idx="16">
                  <c:v>123703.1088</c:v>
                </c:pt>
                <c:pt idx="17">
                  <c:v>150316.26015000002</c:v>
                </c:pt>
                <c:pt idx="18">
                  <c:v>129300.51087500004</c:v>
                </c:pt>
                <c:pt idx="19">
                  <c:v>120083.84050000001</c:v>
                </c:pt>
                <c:pt idx="20">
                  <c:v>121676.03392499997</c:v>
                </c:pt>
                <c:pt idx="21">
                  <c:v>165124.525375</c:v>
                </c:pt>
                <c:pt idx="22">
                  <c:v>130480.49039999998</c:v>
                </c:pt>
                <c:pt idx="23">
                  <c:v>134562.40502500001</c:v>
                </c:pt>
                <c:pt idx="24">
                  <c:v>161275.03110000002</c:v>
                </c:pt>
                <c:pt idx="25">
                  <c:v>125728.23625000002</c:v>
                </c:pt>
                <c:pt idx="26">
                  <c:v>170017.68324999994</c:v>
                </c:pt>
                <c:pt idx="27">
                  <c:v>120345.07712499997</c:v>
                </c:pt>
                <c:pt idx="28">
                  <c:v>139774.58215</c:v>
                </c:pt>
                <c:pt idx="29">
                  <c:v>127015.99037499998</c:v>
                </c:pt>
              </c:numCache>
            </c:numRef>
          </c:val>
          <c:smooth val="0"/>
          <c:extLst>
            <c:ext xmlns:c16="http://schemas.microsoft.com/office/drawing/2014/chart" uri="{C3380CC4-5D6E-409C-BE32-E72D297353CC}">
              <c16:uniqueId val="{00000000-E97F-4617-BD7F-2065E4F95314}"/>
            </c:ext>
          </c:extLst>
        </c:ser>
        <c:dLbls>
          <c:showLegendKey val="0"/>
          <c:showVal val="0"/>
          <c:showCatName val="0"/>
          <c:showSerName val="0"/>
          <c:showPercent val="0"/>
          <c:showBubbleSize val="0"/>
        </c:dLbls>
        <c:smooth val="0"/>
        <c:axId val="989158320"/>
        <c:axId val="989128560"/>
      </c:lineChart>
      <c:catAx>
        <c:axId val="989158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9128560"/>
        <c:crosses val="autoZero"/>
        <c:auto val="1"/>
        <c:lblAlgn val="ctr"/>
        <c:lblOffset val="100"/>
        <c:noMultiLvlLbl val="0"/>
      </c:catAx>
      <c:valAx>
        <c:axId val="98912856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91583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[Sales_Dashboard_Sunny.xlsx]Sheet3!PivotTable2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Sheet3!$B$3</c:f>
              <c:strCache>
                <c:ptCount val="1"/>
                <c:pt idx="0">
                  <c:v>Total</c:v>
                </c:pt>
              </c:strCache>
            </c:strRef>
          </c:tx>
          <c:spPr>
            <a:solidFill>
              <a:schemeClr val="accent1"/>
            </a:solidFill>
            <a:ln>
              <a:noFill/>
            </a:ln>
            <a:effectLst/>
          </c:spPr>
          <c:invertIfNegative val="0"/>
          <c:cat>
            <c:strRef>
              <c:f>Sheet3!$A$4:$A$9</c:f>
              <c:strCache>
                <c:ptCount val="5"/>
                <c:pt idx="0">
                  <c:v>Central</c:v>
                </c:pt>
                <c:pt idx="1">
                  <c:v>East</c:v>
                </c:pt>
                <c:pt idx="2">
                  <c:v>North</c:v>
                </c:pt>
                <c:pt idx="3">
                  <c:v>South</c:v>
                </c:pt>
                <c:pt idx="4">
                  <c:v>West</c:v>
                </c:pt>
              </c:strCache>
            </c:strRef>
          </c:cat>
          <c:val>
            <c:numRef>
              <c:f>Sheet3!$B$4:$B$9</c:f>
              <c:numCache>
                <c:formatCode>"$"#,##0.00</c:formatCode>
                <c:ptCount val="5"/>
                <c:pt idx="0">
                  <c:v>787211.78177500004</c:v>
                </c:pt>
                <c:pt idx="1">
                  <c:v>827104.3526500006</c:v>
                </c:pt>
                <c:pt idx="2">
                  <c:v>894607.16994999966</c:v>
                </c:pt>
                <c:pt idx="3">
                  <c:v>770077.07189999952</c:v>
                </c:pt>
                <c:pt idx="4">
                  <c:v>793349.70684999984</c:v>
                </c:pt>
              </c:numCache>
            </c:numRef>
          </c:val>
          <c:extLst>
            <c:ext xmlns:c16="http://schemas.microsoft.com/office/drawing/2014/chart" uri="{C3380CC4-5D6E-409C-BE32-E72D297353CC}">
              <c16:uniqueId val="{00000000-CEE1-4682-87AD-2EE1761DF0A8}"/>
            </c:ext>
          </c:extLst>
        </c:ser>
        <c:dLbls>
          <c:showLegendKey val="0"/>
          <c:showVal val="0"/>
          <c:showCatName val="0"/>
          <c:showSerName val="0"/>
          <c:showPercent val="0"/>
          <c:showBubbleSize val="0"/>
        </c:dLbls>
        <c:gapWidth val="182"/>
        <c:axId val="989144400"/>
        <c:axId val="989118960"/>
      </c:barChart>
      <c:catAx>
        <c:axId val="9891444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9118960"/>
        <c:crosses val="autoZero"/>
        <c:auto val="1"/>
        <c:lblAlgn val="ctr"/>
        <c:lblOffset val="100"/>
        <c:noMultiLvlLbl val="0"/>
      </c:catAx>
      <c:valAx>
        <c:axId val="989118960"/>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91444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[Sales_Dashboard_Sunny.xlsx]Sheet4!PivotTable3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c:f>
              <c:strCache>
                <c:ptCount val="1"/>
                <c:pt idx="0">
                  <c:v>Total</c:v>
                </c:pt>
              </c:strCache>
            </c:strRef>
          </c:tx>
          <c:spPr>
            <a:solidFill>
              <a:schemeClr val="accent1"/>
            </a:solidFill>
            <a:ln>
              <a:noFill/>
            </a:ln>
            <a:effectLst/>
          </c:spPr>
          <c:invertIfNegative val="0"/>
          <c:cat>
            <c:strRef>
              <c:f>Sheet4!$A$4:$A$11</c:f>
              <c:strCache>
                <c:ptCount val="7"/>
                <c:pt idx="0">
                  <c:v>Chair</c:v>
                </c:pt>
                <c:pt idx="1">
                  <c:v>Desk</c:v>
                </c:pt>
                <c:pt idx="2">
                  <c:v>Laptop</c:v>
                </c:pt>
                <c:pt idx="3">
                  <c:v>Monitor</c:v>
                </c:pt>
                <c:pt idx="4">
                  <c:v>Phone</c:v>
                </c:pt>
                <c:pt idx="5">
                  <c:v>Printer</c:v>
                </c:pt>
                <c:pt idx="6">
                  <c:v>Tablet</c:v>
                </c:pt>
              </c:strCache>
            </c:strRef>
          </c:cat>
          <c:val>
            <c:numRef>
              <c:f>Sheet4!$B$4:$B$11</c:f>
              <c:numCache>
                <c:formatCode>"$"#,##0.00</c:formatCode>
                <c:ptCount val="7"/>
                <c:pt idx="0">
                  <c:v>581415.21719999984</c:v>
                </c:pt>
                <c:pt idx="1">
                  <c:v>513801.46972499997</c:v>
                </c:pt>
                <c:pt idx="2">
                  <c:v>637647.99797499983</c:v>
                </c:pt>
                <c:pt idx="3">
                  <c:v>605608.35637499986</c:v>
                </c:pt>
                <c:pt idx="4">
                  <c:v>462306.08685000031</c:v>
                </c:pt>
                <c:pt idx="5">
                  <c:v>632393.82787500008</c:v>
                </c:pt>
                <c:pt idx="6">
                  <c:v>639177.12712500012</c:v>
                </c:pt>
              </c:numCache>
            </c:numRef>
          </c:val>
          <c:extLst>
            <c:ext xmlns:c16="http://schemas.microsoft.com/office/drawing/2014/chart" uri="{C3380CC4-5D6E-409C-BE32-E72D297353CC}">
              <c16:uniqueId val="{00000000-03E4-4020-84D0-C7991C9054FF}"/>
            </c:ext>
          </c:extLst>
        </c:ser>
        <c:dLbls>
          <c:showLegendKey val="0"/>
          <c:showVal val="0"/>
          <c:showCatName val="0"/>
          <c:showSerName val="0"/>
          <c:showPercent val="0"/>
          <c:showBubbleSize val="0"/>
        </c:dLbls>
        <c:gapWidth val="219"/>
        <c:overlap val="-27"/>
        <c:axId val="989103120"/>
        <c:axId val="989113680"/>
      </c:barChart>
      <c:catAx>
        <c:axId val="989103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9113680"/>
        <c:crosses val="autoZero"/>
        <c:auto val="1"/>
        <c:lblAlgn val="ctr"/>
        <c:lblOffset val="100"/>
        <c:noMultiLvlLbl val="0"/>
      </c:catAx>
      <c:valAx>
        <c:axId val="98911368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91031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[Sales_Dashboard_Sunny.xlsx]Sheet5!PivotTable4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Sheet5!$B$3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DEA-46E7-968E-8BC4E420B3C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DEA-46E7-968E-8BC4E420B3C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DEA-46E7-968E-8BC4E420B3C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DEA-46E7-968E-8BC4E420B3C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DEA-46E7-968E-8BC4E420B3C5}"/>
              </c:ext>
            </c:extLst>
          </c:dPt>
          <c:cat>
            <c:strRef>
              <c:f>Sheet5!$A$4:$A$9</c:f>
              <c:strCache>
                <c:ptCount val="5"/>
                <c:pt idx="0">
                  <c:v>Cash</c:v>
                </c:pt>
                <c:pt idx="1">
                  <c:v>Credit Card</c:v>
                </c:pt>
                <c:pt idx="2">
                  <c:v>Debit Card</c:v>
                </c:pt>
                <c:pt idx="3">
                  <c:v>Gift Card</c:v>
                </c:pt>
                <c:pt idx="4">
                  <c:v>Online</c:v>
                </c:pt>
              </c:strCache>
            </c:strRef>
          </c:cat>
          <c:val>
            <c:numRef>
              <c:f>Sheet5!$B$4:$B$9</c:f>
              <c:numCache>
                <c:formatCode>General</c:formatCode>
                <c:ptCount val="5"/>
                <c:pt idx="0">
                  <c:v>312</c:v>
                </c:pt>
                <c:pt idx="1">
                  <c:v>299</c:v>
                </c:pt>
                <c:pt idx="2">
                  <c:v>290</c:v>
                </c:pt>
                <c:pt idx="3">
                  <c:v>276</c:v>
                </c:pt>
                <c:pt idx="4">
                  <c:v>323</c:v>
                </c:pt>
              </c:numCache>
            </c:numRef>
          </c:val>
          <c:extLst>
            <c:ext xmlns:c16="http://schemas.microsoft.com/office/drawing/2014/chart" uri="{C3380CC4-5D6E-409C-BE32-E72D297353CC}">
              <c16:uniqueId val="{00000000-D5DE-4063-B301-C255FD1C0D24}"/>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[Sales_Dashboard_Sunny.xlsx]Sheet5!PivotTable4</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600" b="1" i="0" u="none" strike="noStrike" baseline="0">
                <a:effectLst>
                  <a:outerShdw blurRad="50800" dist="38100" dir="5400000" algn="t" rotWithShape="0">
                    <a:prstClr val="black">
                      <a:alpha val="40000"/>
                    </a:prstClr>
                  </a:outerShdw>
                </a:effectLst>
              </a:rPr>
              <a:t>Payment Method Distribution</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Sheet5!$B$3</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CD8F-401C-A739-F673FD5E5663}"/>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CD8F-401C-A739-F673FD5E5663}"/>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CD8F-401C-A739-F673FD5E5663}"/>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CD8F-401C-A739-F673FD5E5663}"/>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CD8F-401C-A739-F673FD5E5663}"/>
              </c:ext>
            </c:extLst>
          </c:dPt>
          <c:cat>
            <c:strRef>
              <c:f>Sheet5!$A$4:$A$9</c:f>
              <c:strCache>
                <c:ptCount val="5"/>
                <c:pt idx="0">
                  <c:v>Cash</c:v>
                </c:pt>
                <c:pt idx="1">
                  <c:v>Credit Card</c:v>
                </c:pt>
                <c:pt idx="2">
                  <c:v>Debit Card</c:v>
                </c:pt>
                <c:pt idx="3">
                  <c:v>Gift Card</c:v>
                </c:pt>
                <c:pt idx="4">
                  <c:v>Online</c:v>
                </c:pt>
              </c:strCache>
            </c:strRef>
          </c:cat>
          <c:val>
            <c:numRef>
              <c:f>Sheet5!$B$4:$B$9</c:f>
              <c:numCache>
                <c:formatCode>General</c:formatCode>
                <c:ptCount val="5"/>
                <c:pt idx="0">
                  <c:v>312</c:v>
                </c:pt>
                <c:pt idx="1">
                  <c:v>299</c:v>
                </c:pt>
                <c:pt idx="2">
                  <c:v>290</c:v>
                </c:pt>
                <c:pt idx="3">
                  <c:v>276</c:v>
                </c:pt>
                <c:pt idx="4">
                  <c:v>323</c:v>
                </c:pt>
              </c:numCache>
            </c:numRef>
          </c:val>
          <c:extLst>
            <c:ext xmlns:c16="http://schemas.microsoft.com/office/drawing/2014/chart" uri="{C3380CC4-5D6E-409C-BE32-E72D297353CC}">
              <c16:uniqueId val="{0000000A-CD8F-401C-A739-F673FD5E5663}"/>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[Sales_Dashboard_Sunny.xlsx]Sheet4!PivotTable3</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600" b="1" i="0" u="none" strike="noStrike" baseline="0">
                <a:effectLst>
                  <a:outerShdw blurRad="50800" dist="38100" dir="5400000" algn="t" rotWithShape="0">
                    <a:prstClr val="black">
                      <a:alpha val="40000"/>
                    </a:prstClr>
                  </a:outerShdw>
                </a:effectLst>
              </a:rPr>
              <a:t>Sales by Product</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Sheet4!$A$4:$A$11</c:f>
              <c:strCache>
                <c:ptCount val="7"/>
                <c:pt idx="0">
                  <c:v>Chair</c:v>
                </c:pt>
                <c:pt idx="1">
                  <c:v>Desk</c:v>
                </c:pt>
                <c:pt idx="2">
                  <c:v>Laptop</c:v>
                </c:pt>
                <c:pt idx="3">
                  <c:v>Monitor</c:v>
                </c:pt>
                <c:pt idx="4">
                  <c:v>Phone</c:v>
                </c:pt>
                <c:pt idx="5">
                  <c:v>Printer</c:v>
                </c:pt>
                <c:pt idx="6">
                  <c:v>Tablet</c:v>
                </c:pt>
              </c:strCache>
            </c:strRef>
          </c:cat>
          <c:val>
            <c:numRef>
              <c:f>Sheet4!$B$4:$B$11</c:f>
              <c:numCache>
                <c:formatCode>"$"#,##0.00</c:formatCode>
                <c:ptCount val="7"/>
                <c:pt idx="0">
                  <c:v>581415.21719999984</c:v>
                </c:pt>
                <c:pt idx="1">
                  <c:v>513801.46972499997</c:v>
                </c:pt>
                <c:pt idx="2">
                  <c:v>637647.99797499983</c:v>
                </c:pt>
                <c:pt idx="3">
                  <c:v>605608.35637499986</c:v>
                </c:pt>
                <c:pt idx="4">
                  <c:v>462306.08685000031</c:v>
                </c:pt>
                <c:pt idx="5">
                  <c:v>632393.82787500008</c:v>
                </c:pt>
                <c:pt idx="6">
                  <c:v>639177.12712500012</c:v>
                </c:pt>
              </c:numCache>
            </c:numRef>
          </c:val>
          <c:extLst>
            <c:ext xmlns:c16="http://schemas.microsoft.com/office/drawing/2014/chart" uri="{C3380CC4-5D6E-409C-BE32-E72D297353CC}">
              <c16:uniqueId val="{00000000-F27D-492E-96F9-1D317847EA49}"/>
            </c:ext>
          </c:extLst>
        </c:ser>
        <c:dLbls>
          <c:showLegendKey val="0"/>
          <c:showVal val="0"/>
          <c:showCatName val="0"/>
          <c:showSerName val="0"/>
          <c:showPercent val="0"/>
          <c:showBubbleSize val="0"/>
        </c:dLbls>
        <c:gapWidth val="100"/>
        <c:overlap val="-24"/>
        <c:axId val="989103120"/>
        <c:axId val="989113680"/>
      </c:barChart>
      <c:catAx>
        <c:axId val="98910312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89113680"/>
        <c:crosses val="autoZero"/>
        <c:auto val="1"/>
        <c:lblAlgn val="ctr"/>
        <c:lblOffset val="100"/>
        <c:noMultiLvlLbl val="0"/>
      </c:catAx>
      <c:valAx>
        <c:axId val="989113680"/>
        <c:scaling>
          <c:orientation val="minMax"/>
        </c:scaling>
        <c:delete val="0"/>
        <c:axPos val="l"/>
        <c:majorGridlines>
          <c:spPr>
            <a:ln w="9525" cap="flat" cmpd="sng" algn="ctr">
              <a:solidFill>
                <a:schemeClr val="lt1">
                  <a:lumMod val="95000"/>
                  <a:alpha val="10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891031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[Sales_Dashboard_Sunny.xlsx]Sheet3!PivotTable2</c:name>
    <c:fmtId val="3"/>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sz="1400" b="1" i="0" u="none" strike="noStrike" cap="none" baseline="0"/>
              <a:t>Sales by Region</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F0"/>
          </a:solidFill>
          <a:ln w="9525" cap="flat" cmpd="sng" algn="ctr">
            <a:solidFill>
              <a:srgbClr val="00B050"/>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Sheet3!$B$3</c:f>
              <c:strCache>
                <c:ptCount val="1"/>
                <c:pt idx="0">
                  <c:v>Total</c:v>
                </c:pt>
              </c:strCache>
            </c:strRef>
          </c:tx>
          <c:spPr>
            <a:solidFill>
              <a:srgbClr val="00B0F0"/>
            </a:solidFill>
            <a:ln w="9525" cap="flat" cmpd="sng" algn="ctr">
              <a:solidFill>
                <a:srgbClr val="00B050"/>
              </a:solidFill>
              <a:miter lim="800000"/>
            </a:ln>
            <a:effectLst>
              <a:glow rad="63500">
                <a:schemeClr val="accent1">
                  <a:satMod val="175000"/>
                  <a:alpha val="25000"/>
                </a:schemeClr>
              </a:glow>
            </a:effectLst>
          </c:spPr>
          <c:invertIfNegative val="0"/>
          <c:cat>
            <c:strRef>
              <c:f>Sheet3!$A$4:$A$9</c:f>
              <c:strCache>
                <c:ptCount val="5"/>
                <c:pt idx="0">
                  <c:v>Central</c:v>
                </c:pt>
                <c:pt idx="1">
                  <c:v>East</c:v>
                </c:pt>
                <c:pt idx="2">
                  <c:v>North</c:v>
                </c:pt>
                <c:pt idx="3">
                  <c:v>South</c:v>
                </c:pt>
                <c:pt idx="4">
                  <c:v>West</c:v>
                </c:pt>
              </c:strCache>
            </c:strRef>
          </c:cat>
          <c:val>
            <c:numRef>
              <c:f>Sheet3!$B$4:$B$9</c:f>
              <c:numCache>
                <c:formatCode>"$"#,##0.00</c:formatCode>
                <c:ptCount val="5"/>
                <c:pt idx="0">
                  <c:v>787211.78177500004</c:v>
                </c:pt>
                <c:pt idx="1">
                  <c:v>827104.3526500006</c:v>
                </c:pt>
                <c:pt idx="2">
                  <c:v>894607.16994999966</c:v>
                </c:pt>
                <c:pt idx="3">
                  <c:v>770077.07189999952</c:v>
                </c:pt>
                <c:pt idx="4">
                  <c:v>793349.70684999984</c:v>
                </c:pt>
              </c:numCache>
            </c:numRef>
          </c:val>
          <c:extLst>
            <c:ext xmlns:c16="http://schemas.microsoft.com/office/drawing/2014/chart" uri="{C3380CC4-5D6E-409C-BE32-E72D297353CC}">
              <c16:uniqueId val="{00000000-B19D-4B21-834E-575564C51CD2}"/>
            </c:ext>
          </c:extLst>
        </c:ser>
        <c:dLbls>
          <c:showLegendKey val="0"/>
          <c:showVal val="0"/>
          <c:showCatName val="0"/>
          <c:showSerName val="0"/>
          <c:showPercent val="0"/>
          <c:showBubbleSize val="0"/>
        </c:dLbls>
        <c:gapWidth val="182"/>
        <c:overlap val="-50"/>
        <c:axId val="989144400"/>
        <c:axId val="989118960"/>
      </c:barChart>
      <c:catAx>
        <c:axId val="989144400"/>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89118960"/>
        <c:crosses val="autoZero"/>
        <c:auto val="1"/>
        <c:lblAlgn val="ctr"/>
        <c:lblOffset val="100"/>
        <c:noMultiLvlLbl val="0"/>
      </c:catAx>
      <c:valAx>
        <c:axId val="989118960"/>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891444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[Sales_Dashboard_Sunny.xlsx]Sheet2!PivotTable1</c:name>
    <c:fmtId val="3"/>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sz="1400" b="1" i="0" u="none" strike="noStrike" cap="none" baseline="0"/>
              <a:t>Monthly Sales Trend</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Sheet2!$B$1</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multiLvlStrRef>
              <c:f>Sheet2!$A$2:$A$35</c:f>
              <c:multiLvlStrCache>
                <c:ptCount val="30"/>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lvl>
                <c:lvl>
                  <c:pt idx="0">
                    <c:v>2023</c:v>
                  </c:pt>
                  <c:pt idx="12">
                    <c:v>2024</c:v>
                  </c:pt>
                  <c:pt idx="24">
                    <c:v>2025</c:v>
                  </c:pt>
                </c:lvl>
              </c:multiLvlStrCache>
            </c:multiLvlStrRef>
          </c:cat>
          <c:val>
            <c:numRef>
              <c:f>Sheet2!$B$2:$B$35</c:f>
              <c:numCache>
                <c:formatCode>"$"#,##0.00</c:formatCode>
                <c:ptCount val="30"/>
                <c:pt idx="0">
                  <c:v>145345.99154999998</c:v>
                </c:pt>
                <c:pt idx="1">
                  <c:v>131509.55609999999</c:v>
                </c:pt>
                <c:pt idx="2">
                  <c:v>188371.34564999992</c:v>
                </c:pt>
                <c:pt idx="3">
                  <c:v>139489.97107500004</c:v>
                </c:pt>
                <c:pt idx="4">
                  <c:v>108538.29172499999</c:v>
                </c:pt>
                <c:pt idx="5">
                  <c:v>126092.107925</c:v>
                </c:pt>
                <c:pt idx="6">
                  <c:v>131292.93309999999</c:v>
                </c:pt>
                <c:pt idx="7">
                  <c:v>149487.15747499999</c:v>
                </c:pt>
                <c:pt idx="8">
                  <c:v>141740.304175</c:v>
                </c:pt>
                <c:pt idx="9">
                  <c:v>72787.612174999987</c:v>
                </c:pt>
                <c:pt idx="10">
                  <c:v>134433.09484999996</c:v>
                </c:pt>
                <c:pt idx="11">
                  <c:v>111205.07777500003</c:v>
                </c:pt>
                <c:pt idx="12">
                  <c:v>161397.94932500002</c:v>
                </c:pt>
                <c:pt idx="13">
                  <c:v>126356.25892499997</c:v>
                </c:pt>
                <c:pt idx="14">
                  <c:v>131192.79657499999</c:v>
                </c:pt>
                <c:pt idx="15">
                  <c:v>153705.859425</c:v>
                </c:pt>
                <c:pt idx="16">
                  <c:v>123703.1088</c:v>
                </c:pt>
                <c:pt idx="17">
                  <c:v>150316.26015000002</c:v>
                </c:pt>
                <c:pt idx="18">
                  <c:v>129300.51087500004</c:v>
                </c:pt>
                <c:pt idx="19">
                  <c:v>120083.84050000001</c:v>
                </c:pt>
                <c:pt idx="20">
                  <c:v>121676.03392499997</c:v>
                </c:pt>
                <c:pt idx="21">
                  <c:v>165124.525375</c:v>
                </c:pt>
                <c:pt idx="22">
                  <c:v>130480.49039999998</c:v>
                </c:pt>
                <c:pt idx="23">
                  <c:v>134562.40502500001</c:v>
                </c:pt>
                <c:pt idx="24">
                  <c:v>161275.03110000002</c:v>
                </c:pt>
                <c:pt idx="25">
                  <c:v>125728.23625000002</c:v>
                </c:pt>
                <c:pt idx="26">
                  <c:v>170017.68324999994</c:v>
                </c:pt>
                <c:pt idx="27">
                  <c:v>120345.07712499997</c:v>
                </c:pt>
                <c:pt idx="28">
                  <c:v>139774.58215</c:v>
                </c:pt>
                <c:pt idx="29">
                  <c:v>127015.99037499998</c:v>
                </c:pt>
              </c:numCache>
            </c:numRef>
          </c:val>
          <c:smooth val="0"/>
          <c:extLst>
            <c:ext xmlns:c16="http://schemas.microsoft.com/office/drawing/2014/chart" uri="{C3380CC4-5D6E-409C-BE32-E72D297353CC}">
              <c16:uniqueId val="{00000000-C9E3-4EAA-9642-764BBB57B515}"/>
            </c:ext>
          </c:extLst>
        </c:ser>
        <c:dLbls>
          <c:showLegendKey val="0"/>
          <c:showVal val="0"/>
          <c:showCatName val="0"/>
          <c:showSerName val="0"/>
          <c:showPercent val="0"/>
          <c:showBubbleSize val="0"/>
        </c:dLbls>
        <c:marker val="1"/>
        <c:smooth val="0"/>
        <c:axId val="989158320"/>
        <c:axId val="989128560"/>
      </c:lineChart>
      <c:catAx>
        <c:axId val="989158320"/>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89128560"/>
        <c:crosses val="autoZero"/>
        <c:auto val="1"/>
        <c:lblAlgn val="ctr"/>
        <c:lblOffset val="100"/>
        <c:noMultiLvlLbl val="0"/>
      </c:catAx>
      <c:valAx>
        <c:axId val="989128560"/>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891583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4</xdr:col>
      <xdr:colOff>600075</xdr:colOff>
      <xdr:row>0</xdr:row>
      <xdr:rowOff>14287</xdr:rowOff>
    </xdr:from>
    <xdr:to>
      <xdr:col>12</xdr:col>
      <xdr:colOff>295275</xdr:colOff>
      <xdr:row>14</xdr:row>
      <xdr:rowOff>90487</xdr:rowOff>
    </xdr:to>
    <xdr:graphicFrame macro="">
      <xdr:nvGraphicFramePr>
        <xdr:cNvPr id="2" name="Chart 1">
          <a:extLst>
            <a:ext uri="{FF2B5EF4-FFF2-40B4-BE49-F238E27FC236}">
              <a16:creationId xmlns:a16="http://schemas.microsoft.com/office/drawing/2014/main" id="{28DA8D42-0490-30D0-3F30-A90C80D59F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590550</xdr:colOff>
      <xdr:row>0</xdr:row>
      <xdr:rowOff>14287</xdr:rowOff>
    </xdr:from>
    <xdr:to>
      <xdr:col>13</xdr:col>
      <xdr:colOff>285750</xdr:colOff>
      <xdr:row>14</xdr:row>
      <xdr:rowOff>90487</xdr:rowOff>
    </xdr:to>
    <xdr:graphicFrame macro="">
      <xdr:nvGraphicFramePr>
        <xdr:cNvPr id="2" name="Chart 1">
          <a:extLst>
            <a:ext uri="{FF2B5EF4-FFF2-40B4-BE49-F238E27FC236}">
              <a16:creationId xmlns:a16="http://schemas.microsoft.com/office/drawing/2014/main" id="{37CA20AF-BD51-315B-8798-95ECCF1873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600075</xdr:colOff>
      <xdr:row>0</xdr:row>
      <xdr:rowOff>0</xdr:rowOff>
    </xdr:from>
    <xdr:to>
      <xdr:col>13</xdr:col>
      <xdr:colOff>295275</xdr:colOff>
      <xdr:row>14</xdr:row>
      <xdr:rowOff>76200</xdr:rowOff>
    </xdr:to>
    <xdr:graphicFrame macro="">
      <xdr:nvGraphicFramePr>
        <xdr:cNvPr id="2" name="Chart 1">
          <a:extLst>
            <a:ext uri="{FF2B5EF4-FFF2-40B4-BE49-F238E27FC236}">
              <a16:creationId xmlns:a16="http://schemas.microsoft.com/office/drawing/2014/main" id="{C75A2C9E-6404-01E9-209D-85DB123A49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7</xdr:col>
      <xdr:colOff>0</xdr:colOff>
      <xdr:row>0</xdr:row>
      <xdr:rowOff>14287</xdr:rowOff>
    </xdr:from>
    <xdr:to>
      <xdr:col>14</xdr:col>
      <xdr:colOff>304800</xdr:colOff>
      <xdr:row>14</xdr:row>
      <xdr:rowOff>90487</xdr:rowOff>
    </xdr:to>
    <xdr:graphicFrame macro="">
      <xdr:nvGraphicFramePr>
        <xdr:cNvPr id="2" name="Chart 1">
          <a:extLst>
            <a:ext uri="{FF2B5EF4-FFF2-40B4-BE49-F238E27FC236}">
              <a16:creationId xmlns:a16="http://schemas.microsoft.com/office/drawing/2014/main" id="{C398A280-2156-C9B8-3232-66D77C04FB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19050</xdr:colOff>
      <xdr:row>1</xdr:row>
      <xdr:rowOff>142875</xdr:rowOff>
    </xdr:from>
    <xdr:to>
      <xdr:col>11</xdr:col>
      <xdr:colOff>400050</xdr:colOff>
      <xdr:row>16</xdr:row>
      <xdr:rowOff>152400</xdr:rowOff>
    </xdr:to>
    <xdr:graphicFrame macro="">
      <xdr:nvGraphicFramePr>
        <xdr:cNvPr id="2" name="Chart 1">
          <a:extLst>
            <a:ext uri="{FF2B5EF4-FFF2-40B4-BE49-F238E27FC236}">
              <a16:creationId xmlns:a16="http://schemas.microsoft.com/office/drawing/2014/main" id="{40D82F87-F494-4D6C-A568-B8163E1459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428624</xdr:colOff>
      <xdr:row>1</xdr:row>
      <xdr:rowOff>133350</xdr:rowOff>
    </xdr:from>
    <xdr:to>
      <xdr:col>20</xdr:col>
      <xdr:colOff>457200</xdr:colOff>
      <xdr:row>16</xdr:row>
      <xdr:rowOff>152401</xdr:rowOff>
    </xdr:to>
    <xdr:graphicFrame macro="">
      <xdr:nvGraphicFramePr>
        <xdr:cNvPr id="3" name="Chart 2">
          <a:extLst>
            <a:ext uri="{FF2B5EF4-FFF2-40B4-BE49-F238E27FC236}">
              <a16:creationId xmlns:a16="http://schemas.microsoft.com/office/drawing/2014/main" id="{4A647485-C494-43DD-AF49-4852F34D6B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9524</xdr:colOff>
      <xdr:row>16</xdr:row>
      <xdr:rowOff>152400</xdr:rowOff>
    </xdr:from>
    <xdr:to>
      <xdr:col>11</xdr:col>
      <xdr:colOff>400050</xdr:colOff>
      <xdr:row>31</xdr:row>
      <xdr:rowOff>38100</xdr:rowOff>
    </xdr:to>
    <xdr:graphicFrame macro="">
      <xdr:nvGraphicFramePr>
        <xdr:cNvPr id="4" name="Chart 3">
          <a:extLst>
            <a:ext uri="{FF2B5EF4-FFF2-40B4-BE49-F238E27FC236}">
              <a16:creationId xmlns:a16="http://schemas.microsoft.com/office/drawing/2014/main" id="{2F8002C6-F112-4BD7-A0E7-123FDB7D79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419100</xdr:colOff>
      <xdr:row>16</xdr:row>
      <xdr:rowOff>171450</xdr:rowOff>
    </xdr:from>
    <xdr:to>
      <xdr:col>20</xdr:col>
      <xdr:colOff>457200</xdr:colOff>
      <xdr:row>31</xdr:row>
      <xdr:rowOff>28575</xdr:rowOff>
    </xdr:to>
    <xdr:graphicFrame macro="">
      <xdr:nvGraphicFramePr>
        <xdr:cNvPr id="5" name="Chart 4">
          <a:extLst>
            <a:ext uri="{FF2B5EF4-FFF2-40B4-BE49-F238E27FC236}">
              <a16:creationId xmlns:a16="http://schemas.microsoft.com/office/drawing/2014/main" id="{D73A9AFE-27C7-4268-B9B7-061672ACE2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504825</xdr:colOff>
      <xdr:row>0</xdr:row>
      <xdr:rowOff>0</xdr:rowOff>
    </xdr:from>
    <xdr:to>
      <xdr:col>19</xdr:col>
      <xdr:colOff>123825</xdr:colOff>
      <xdr:row>1</xdr:row>
      <xdr:rowOff>133351</xdr:rowOff>
    </xdr:to>
    <xdr:sp macro="" textlink="">
      <xdr:nvSpPr>
        <xdr:cNvPr id="7" name="TextBox 6">
          <a:extLst>
            <a:ext uri="{FF2B5EF4-FFF2-40B4-BE49-F238E27FC236}">
              <a16:creationId xmlns:a16="http://schemas.microsoft.com/office/drawing/2014/main" id="{A36C43B2-E3A8-B062-2566-C0602FD07654}"/>
            </a:ext>
          </a:extLst>
        </xdr:cNvPr>
        <xdr:cNvSpPr txBox="1"/>
      </xdr:nvSpPr>
      <xdr:spPr>
        <a:xfrm>
          <a:off x="4162425" y="0"/>
          <a:ext cx="7543800" cy="3238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solidFill>
                <a:schemeClr val="accent2">
                  <a:lumMod val="75000"/>
                </a:schemeClr>
              </a:solidFill>
            </a:rPr>
            <a:t>Sales Performance Dashboard</a:t>
          </a:r>
        </a:p>
      </xdr:txBody>
    </xdr:sp>
    <xdr:clientData/>
  </xdr:twoCellAnchor>
  <xdr:twoCellAnchor editAs="oneCell">
    <xdr:from>
      <xdr:col>0</xdr:col>
      <xdr:colOff>0</xdr:colOff>
      <xdr:row>16</xdr:row>
      <xdr:rowOff>171451</xdr:rowOff>
    </xdr:from>
    <xdr:to>
      <xdr:col>3</xdr:col>
      <xdr:colOff>0</xdr:colOff>
      <xdr:row>31</xdr:row>
      <xdr:rowOff>19051</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9497F5ED-A8FC-C807-EE23-A91CD4E994D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3219451"/>
              <a:ext cx="1828800" cy="2705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476250</xdr:colOff>
      <xdr:row>1</xdr:row>
      <xdr:rowOff>133350</xdr:rowOff>
    </xdr:from>
    <xdr:to>
      <xdr:col>23</xdr:col>
      <xdr:colOff>476250</xdr:colOff>
      <xdr:row>16</xdr:row>
      <xdr:rowOff>142875</xdr:rowOff>
    </xdr:to>
    <mc:AlternateContent xmlns:mc="http://schemas.openxmlformats.org/markup-compatibility/2006" xmlns:a14="http://schemas.microsoft.com/office/drawing/2010/main">
      <mc:Choice Requires="a14">
        <xdr:graphicFrame macro="">
          <xdr:nvGraphicFramePr>
            <xdr:cNvPr id="9" name="Product">
              <a:extLst>
                <a:ext uri="{FF2B5EF4-FFF2-40B4-BE49-F238E27FC236}">
                  <a16:creationId xmlns:a16="http://schemas.microsoft.com/office/drawing/2014/main" id="{C7556C65-23C3-FD9B-33DC-10C194010E39}"/>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2668250" y="419100"/>
              <a:ext cx="1828800" cy="2857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xdr:row>
      <xdr:rowOff>142876</xdr:rowOff>
    </xdr:from>
    <xdr:to>
      <xdr:col>3</xdr:col>
      <xdr:colOff>0</xdr:colOff>
      <xdr:row>16</xdr:row>
      <xdr:rowOff>133350</xdr:rowOff>
    </xdr:to>
    <mc:AlternateContent xmlns:mc="http://schemas.openxmlformats.org/markup-compatibility/2006">
      <mc:Choice xmlns:a14="http://schemas.microsoft.com/office/drawing/2010/main" Requires="a14">
        <xdr:graphicFrame macro="">
          <xdr:nvGraphicFramePr>
            <xdr:cNvPr id="10" name="CustomerType">
              <a:extLst>
                <a:ext uri="{FF2B5EF4-FFF2-40B4-BE49-F238E27FC236}">
                  <a16:creationId xmlns:a16="http://schemas.microsoft.com/office/drawing/2014/main" id="{89FA5525-0EFD-7FA8-064D-AF0474DC9AF3}"/>
                </a:ext>
              </a:extLst>
            </xdr:cNvPr>
            <xdr:cNvGraphicFramePr/>
          </xdr:nvGraphicFramePr>
          <xdr:xfrm>
            <a:off x="0" y="0"/>
            <a:ext cx="0" cy="0"/>
          </xdr:xfrm>
          <a:graphic>
            <a:graphicData uri="http://schemas.microsoft.com/office/drawing/2010/slicer">
              <sle:slicer xmlns:sle="http://schemas.microsoft.com/office/drawing/2010/slicer" name="CustomerType"/>
            </a:graphicData>
          </a:graphic>
        </xdr:graphicFrame>
      </mc:Choice>
      <mc:Fallback>
        <xdr:sp macro="" textlink="">
          <xdr:nvSpPr>
            <xdr:cNvPr id="0" name=""/>
            <xdr:cNvSpPr>
              <a:spLocks noTextEdit="1"/>
            </xdr:cNvSpPr>
          </xdr:nvSpPr>
          <xdr:spPr>
            <a:xfrm>
              <a:off x="0" y="333376"/>
              <a:ext cx="1828800" cy="28479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476250</xdr:colOff>
      <xdr:row>16</xdr:row>
      <xdr:rowOff>171450</xdr:rowOff>
    </xdr:from>
    <xdr:to>
      <xdr:col>23</xdr:col>
      <xdr:colOff>476250</xdr:colOff>
      <xdr:row>31</xdr:row>
      <xdr:rowOff>28575</xdr:rowOff>
    </xdr:to>
    <mc:AlternateContent xmlns:mc="http://schemas.openxmlformats.org/markup-compatibility/2006" xmlns:a14="http://schemas.microsoft.com/office/drawing/2010/main">
      <mc:Choice Requires="a14">
        <xdr:graphicFrame macro="">
          <xdr:nvGraphicFramePr>
            <xdr:cNvPr id="11" name="Promotion">
              <a:extLst>
                <a:ext uri="{FF2B5EF4-FFF2-40B4-BE49-F238E27FC236}">
                  <a16:creationId xmlns:a16="http://schemas.microsoft.com/office/drawing/2014/main" id="{1EB2571B-1C0D-1309-4F58-2F9519CAF2A3}"/>
                </a:ext>
              </a:extLst>
            </xdr:cNvPr>
            <xdr:cNvGraphicFramePr/>
          </xdr:nvGraphicFramePr>
          <xdr:xfrm>
            <a:off x="0" y="0"/>
            <a:ext cx="0" cy="0"/>
          </xdr:xfrm>
          <a:graphic>
            <a:graphicData uri="http://schemas.microsoft.com/office/drawing/2010/slicer">
              <sle:slicer xmlns:sle="http://schemas.microsoft.com/office/drawing/2010/slicer" name="Promotion"/>
            </a:graphicData>
          </a:graphic>
        </xdr:graphicFrame>
      </mc:Choice>
      <mc:Fallback xmlns="">
        <xdr:sp macro="" textlink="">
          <xdr:nvSpPr>
            <xdr:cNvPr id="0" name=""/>
            <xdr:cNvSpPr>
              <a:spLocks noTextEdit="1"/>
            </xdr:cNvSpPr>
          </xdr:nvSpPr>
          <xdr:spPr>
            <a:xfrm>
              <a:off x="12668250" y="3371850"/>
              <a:ext cx="1828800" cy="27241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nny Jangra" refreshedDate="46058.57187349537" createdVersion="8" refreshedVersion="8" minRefreshableVersion="3" recordCount="1500" xr:uid="{3390D452-AC0E-44AA-A973-F9DE2DD08BEB}">
  <cacheSource type="worksheet">
    <worksheetSource name="Table1"/>
  </cacheSource>
  <cacheFields count="23">
    <cacheField name="Date" numFmtId="14">
      <sharedItems containsSemiMixedTypes="0" containsNonDate="0" containsDate="1" containsString="0" minDate="2023-01-01T00:00:00" maxDate="2025-07-01T00:00:00"/>
    </cacheField>
    <cacheField name="Net Sales" numFmtId="164">
      <sharedItems containsSemiMixedTypes="0" containsString="0" containsNumber="1" minValue="5.9244999999999992" maxValue="11077"/>
    </cacheField>
    <cacheField name="Profit" numFmtId="164">
      <sharedItems containsSemiMixedTypes="0" containsString="0" containsNumber="1" minValue="1.1848999999999998" maxValue="2215.4"/>
    </cacheField>
    <cacheField name="Region" numFmtId="0">
      <sharedItems count="5">
        <s v="East"/>
        <s v="South"/>
        <s v="North"/>
        <s v="Central"/>
        <s v="West"/>
      </sharedItems>
    </cacheField>
    <cacheField name="Product" numFmtId="0">
      <sharedItems count="7">
        <s v="Laptop"/>
        <s v="Phone"/>
        <s v="Desk"/>
        <s v="Chair"/>
        <s v="Monitor"/>
        <s v="Tablet"/>
        <s v="Printer"/>
      </sharedItems>
    </cacheField>
    <cacheField name="Quantity" numFmtId="0">
      <sharedItems containsSemiMixedTypes="0" containsString="0" containsNumber="1" containsInteger="1" minValue="1" maxValue="20"/>
    </cacheField>
    <cacheField name="UnitPrice" numFmtId="0">
      <sharedItems containsSemiMixedTypes="0" containsString="0" containsNumber="1" minValue="5.52" maxValue="599.72"/>
    </cacheField>
    <cacheField name="StoreLocation" numFmtId="0">
      <sharedItems/>
    </cacheField>
    <cacheField name="CustomerType" numFmtId="0">
      <sharedItems count="2">
        <s v="Wholesale"/>
        <s v="Retail"/>
      </sharedItems>
    </cacheField>
    <cacheField name="Discount" numFmtId="10">
      <sharedItems containsSemiMixedTypes="0" containsString="0" containsNumber="1" minValue="0" maxValue="0.15"/>
    </cacheField>
    <cacheField name="Salesperson" numFmtId="0">
      <sharedItems/>
    </cacheField>
    <cacheField name="TotalPrice" numFmtId="0">
      <sharedItems containsSemiMixedTypes="0" containsString="0" containsNumber="1" minValue="6.9699999999999989" maxValue="11077"/>
    </cacheField>
    <cacheField name="PaymentMethod" numFmtId="0">
      <sharedItems count="5">
        <s v="Online"/>
        <s v="Gift Card"/>
        <s v="Credit Card"/>
        <s v="Debit Card"/>
        <s v="Cash"/>
      </sharedItems>
    </cacheField>
    <cacheField name="Promotion" numFmtId="0">
      <sharedItems containsBlank="1" count="4">
        <s v="FREESHIP"/>
        <s v="SAVE10"/>
        <s v="WINTER15"/>
        <m/>
      </sharedItems>
    </cacheField>
    <cacheField name="Returned" numFmtId="0">
      <sharedItems containsSemiMixedTypes="0" containsString="0" containsNumber="1" containsInteger="1" minValue="0" maxValue="1"/>
    </cacheField>
    <cacheField name="OrderID" numFmtId="0">
      <sharedItems/>
    </cacheField>
    <cacheField name="CustomerName" numFmtId="0">
      <sharedItems/>
    </cacheField>
    <cacheField name="ShippingCost" numFmtId="0">
      <sharedItems containsSemiMixedTypes="0" containsString="0" containsNumber="1" minValue="5.01" maxValue="49.98"/>
    </cacheField>
    <cacheField name="OrderDate" numFmtId="14">
      <sharedItems containsSemiMixedTypes="0" containsNonDate="0" containsDate="1" containsString="0" minDate="2023-01-01T00:00:00" maxDate="2025-07-01T00:00:00" count="747">
        <d v="2023-02-23T00:00:00"/>
        <d v="2024-12-19T00:00:00"/>
        <d v="2023-05-10T00:00:00"/>
        <d v="2025-02-26T00:00:00"/>
        <d v="2023-06-24T00:00:00"/>
        <d v="2024-02-20T00:00:00"/>
        <d v="2023-01-11T00:00:00"/>
        <d v="2023-01-09T00:00:00"/>
        <d v="2024-10-16T00:00:00"/>
        <d v="2025-03-05T00:00:00"/>
        <d v="2024-04-10T00:00:00"/>
        <d v="2024-07-12T00:00:00"/>
        <d v="2023-07-21T00:00:00"/>
        <d v="2025-01-18T00:00:00"/>
        <d v="2024-12-08T00:00:00"/>
        <d v="2025-05-11T00:00:00"/>
        <d v="2023-02-26T00:00:00"/>
        <d v="2024-05-28T00:00:00"/>
        <d v="2023-11-30T00:00:00"/>
        <d v="2023-06-22T00:00:00"/>
        <d v="2025-06-05T00:00:00"/>
        <d v="2023-03-03T00:00:00"/>
        <d v="2024-02-18T00:00:00"/>
        <d v="2023-08-06T00:00:00"/>
        <d v="2024-05-23T00:00:00"/>
        <d v="2023-10-23T00:00:00"/>
        <d v="2025-06-16T00:00:00"/>
        <d v="2024-11-18T00:00:00"/>
        <d v="2023-05-09T00:00:00"/>
        <d v="2024-12-07T00:00:00"/>
        <d v="2024-02-13T00:00:00"/>
        <d v="2025-03-09T00:00:00"/>
        <d v="2023-04-05T00:00:00"/>
        <d v="2025-05-08T00:00:00"/>
        <d v="2023-09-03T00:00:00"/>
        <d v="2025-03-21T00:00:00"/>
        <d v="2025-06-20T00:00:00"/>
        <d v="2024-02-15T00:00:00"/>
        <d v="2023-06-09T00:00:00"/>
        <d v="2023-08-10T00:00:00"/>
        <d v="2024-06-16T00:00:00"/>
        <d v="2023-07-23T00:00:00"/>
        <d v="2023-05-20T00:00:00"/>
        <d v="2023-06-30T00:00:00"/>
        <d v="2024-06-04T00:00:00"/>
        <d v="2025-02-03T00:00:00"/>
        <d v="2024-01-09T00:00:00"/>
        <d v="2024-03-14T00:00:00"/>
        <d v="2024-09-06T00:00:00"/>
        <d v="2023-03-17T00:00:00"/>
        <d v="2025-01-17T00:00:00"/>
        <d v="2024-09-12T00:00:00"/>
        <d v="2024-01-05T00:00:00"/>
        <d v="2024-04-19T00:00:00"/>
        <d v="2025-06-11T00:00:00"/>
        <d v="2025-03-06T00:00:00"/>
        <d v="2023-05-24T00:00:00"/>
        <d v="2023-01-27T00:00:00"/>
        <d v="2024-03-21T00:00:00"/>
        <d v="2025-01-25T00:00:00"/>
        <d v="2023-06-12T00:00:00"/>
        <d v="2025-03-22T00:00:00"/>
        <d v="2024-02-24T00:00:00"/>
        <d v="2023-12-09T00:00:00"/>
        <d v="2023-10-01T00:00:00"/>
        <d v="2023-07-31T00:00:00"/>
        <d v="2024-12-24T00:00:00"/>
        <d v="2024-11-15T00:00:00"/>
        <d v="2025-03-13T00:00:00"/>
        <d v="2024-03-03T00:00:00"/>
        <d v="2023-02-11T00:00:00"/>
        <d v="2023-10-26T00:00:00"/>
        <d v="2023-10-21T00:00:00"/>
        <d v="2024-01-14T00:00:00"/>
        <d v="2023-07-27T00:00:00"/>
        <d v="2024-10-23T00:00:00"/>
        <d v="2023-09-26T00:00:00"/>
        <d v="2023-12-16T00:00:00"/>
        <d v="2024-01-02T00:00:00"/>
        <d v="2024-02-16T00:00:00"/>
        <d v="2024-05-03T00:00:00"/>
        <d v="2023-05-27T00:00:00"/>
        <d v="2023-01-05T00:00:00"/>
        <d v="2025-05-21T00:00:00"/>
        <d v="2025-05-25T00:00:00"/>
        <d v="2024-11-16T00:00:00"/>
        <d v="2023-11-19T00:00:00"/>
        <d v="2025-01-12T00:00:00"/>
        <d v="2023-03-29T00:00:00"/>
        <d v="2025-03-01T00:00:00"/>
        <d v="2023-10-18T00:00:00"/>
        <d v="2025-04-13T00:00:00"/>
        <d v="2025-05-13T00:00:00"/>
        <d v="2024-04-21T00:00:00"/>
        <d v="2025-01-31T00:00:00"/>
        <d v="2025-03-14T00:00:00"/>
        <d v="2024-05-26T00:00:00"/>
        <d v="2023-07-22T00:00:00"/>
        <d v="2024-08-26T00:00:00"/>
        <d v="2024-07-07T00:00:00"/>
        <d v="2023-09-29T00:00:00"/>
        <d v="2023-10-04T00:00:00"/>
        <d v="2025-06-09T00:00:00"/>
        <d v="2025-06-12T00:00:00"/>
        <d v="2024-06-29T00:00:00"/>
        <d v="2024-03-23T00:00:00"/>
        <d v="2024-07-14T00:00:00"/>
        <d v="2024-03-15T00:00:00"/>
        <d v="2025-04-19T00:00:00"/>
        <d v="2024-01-25T00:00:00"/>
        <d v="2025-04-15T00:00:00"/>
        <d v="2024-08-11T00:00:00"/>
        <d v="2023-12-01T00:00:00"/>
        <d v="2024-01-24T00:00:00"/>
        <d v="2024-03-07T00:00:00"/>
        <d v="2024-01-22T00:00:00"/>
        <d v="2023-06-14T00:00:00"/>
        <d v="2024-07-30T00:00:00"/>
        <d v="2024-07-18T00:00:00"/>
        <d v="2025-06-08T00:00:00"/>
        <d v="2025-05-16T00:00:00"/>
        <d v="2023-09-17T00:00:00"/>
        <d v="2023-03-13T00:00:00"/>
        <d v="2023-07-14T00:00:00"/>
        <d v="2024-03-22T00:00:00"/>
        <d v="2024-05-14T00:00:00"/>
        <d v="2023-05-30T00:00:00"/>
        <d v="2023-03-19T00:00:00"/>
        <d v="2023-08-09T00:00:00"/>
        <d v="2024-10-13T00:00:00"/>
        <d v="2025-02-17T00:00:00"/>
        <d v="2024-04-29T00:00:00"/>
        <d v="2023-03-18T00:00:00"/>
        <d v="2024-12-21T00:00:00"/>
        <d v="2023-04-23T00:00:00"/>
        <d v="2025-01-20T00:00:00"/>
        <d v="2025-03-28T00:00:00"/>
        <d v="2024-11-08T00:00:00"/>
        <d v="2024-03-17T00:00:00"/>
        <d v="2023-08-29T00:00:00"/>
        <d v="2023-05-14T00:00:00"/>
        <d v="2023-03-11T00:00:00"/>
        <d v="2024-08-24T00:00:00"/>
        <d v="2024-02-23T00:00:00"/>
        <d v="2024-01-30T00:00:00"/>
        <d v="2024-01-23T00:00:00"/>
        <d v="2023-12-21T00:00:00"/>
        <d v="2023-05-25T00:00:00"/>
        <d v="2025-06-30T00:00:00"/>
        <d v="2025-02-12T00:00:00"/>
        <d v="2024-01-03T00:00:00"/>
        <d v="2023-02-03T00:00:00"/>
        <d v="2024-03-01T00:00:00"/>
        <d v="2025-06-22T00:00:00"/>
        <d v="2023-04-10T00:00:00"/>
        <d v="2025-03-04T00:00:00"/>
        <d v="2024-07-11T00:00:00"/>
        <d v="2024-08-17T00:00:00"/>
        <d v="2024-11-06T00:00:00"/>
        <d v="2025-04-01T00:00:00"/>
        <d v="2024-07-01T00:00:00"/>
        <d v="2023-06-27T00:00:00"/>
        <d v="2023-02-08T00:00:00"/>
        <d v="2024-06-28T00:00:00"/>
        <d v="2024-04-15T00:00:00"/>
        <d v="2023-11-27T00:00:00"/>
        <d v="2025-03-27T00:00:00"/>
        <d v="2024-12-13T00:00:00"/>
        <d v="2023-11-26T00:00:00"/>
        <d v="2023-02-14T00:00:00"/>
        <d v="2025-02-02T00:00:00"/>
        <d v="2023-04-11T00:00:00"/>
        <d v="2024-07-08T00:00:00"/>
        <d v="2024-04-09T00:00:00"/>
        <d v="2023-08-14T00:00:00"/>
        <d v="2024-09-02T00:00:00"/>
        <d v="2025-06-29T00:00:00"/>
        <d v="2025-04-02T00:00:00"/>
        <d v="2023-04-27T00:00:00"/>
        <d v="2024-08-07T00:00:00"/>
        <d v="2023-04-15T00:00:00"/>
        <d v="2023-08-12T00:00:00"/>
        <d v="2023-06-19T00:00:00"/>
        <d v="2023-12-29T00:00:00"/>
        <d v="2023-03-26T00:00:00"/>
        <d v="2023-09-01T00:00:00"/>
        <d v="2024-08-05T00:00:00"/>
        <d v="2025-01-23T00:00:00"/>
        <d v="2023-05-16T00:00:00"/>
        <d v="2024-06-03T00:00:00"/>
        <d v="2023-11-08T00:00:00"/>
        <d v="2023-01-24T00:00:00"/>
        <d v="2025-03-20T00:00:00"/>
        <d v="2024-02-22T00:00:00"/>
        <d v="2023-05-13T00:00:00"/>
        <d v="2023-03-25T00:00:00"/>
        <d v="2024-11-22T00:00:00"/>
        <d v="2023-07-07T00:00:00"/>
        <d v="2024-10-05T00:00:00"/>
        <d v="2024-03-31T00:00:00"/>
        <d v="2023-08-23T00:00:00"/>
        <d v="2024-08-14T00:00:00"/>
        <d v="2025-02-14T00:00:00"/>
        <d v="2023-11-11T00:00:00"/>
        <d v="2024-04-01T00:00:00"/>
        <d v="2024-06-13T00:00:00"/>
        <d v="2023-11-28T00:00:00"/>
        <d v="2024-11-11T00:00:00"/>
        <d v="2024-11-04T00:00:00"/>
        <d v="2023-01-01T00:00:00"/>
        <d v="2023-05-02T00:00:00"/>
        <d v="2025-05-27T00:00:00"/>
        <d v="2024-12-27T00:00:00"/>
        <d v="2025-03-18T00:00:00"/>
        <d v="2024-03-24T00:00:00"/>
        <d v="2024-12-26T00:00:00"/>
        <d v="2025-06-01T00:00:00"/>
        <d v="2024-09-26T00:00:00"/>
        <d v="2024-08-10T00:00:00"/>
        <d v="2025-03-02T00:00:00"/>
        <d v="2023-02-21T00:00:00"/>
        <d v="2024-11-20T00:00:00"/>
        <d v="2023-08-26T00:00:00"/>
        <d v="2024-01-01T00:00:00"/>
        <d v="2024-11-24T00:00:00"/>
        <d v="2024-08-25T00:00:00"/>
        <d v="2023-06-10T00:00:00"/>
        <d v="2024-12-18T00:00:00"/>
        <d v="2023-08-28T00:00:00"/>
        <d v="2023-01-22T00:00:00"/>
        <d v="2023-02-07T00:00:00"/>
        <d v="2023-11-22T00:00:00"/>
        <d v="2023-01-25T00:00:00"/>
        <d v="2023-02-02T00:00:00"/>
        <d v="2024-05-30T00:00:00"/>
        <d v="2023-02-06T00:00:00"/>
        <d v="2024-07-15T00:00:00"/>
        <d v="2023-07-29T00:00:00"/>
        <d v="2023-07-26T00:00:00"/>
        <d v="2025-01-24T00:00:00"/>
        <d v="2025-04-27T00:00:00"/>
        <d v="2025-02-20T00:00:00"/>
        <d v="2023-09-14T00:00:00"/>
        <d v="2024-04-17T00:00:00"/>
        <d v="2024-11-14T00:00:00"/>
        <d v="2024-07-25T00:00:00"/>
        <d v="2024-09-20T00:00:00"/>
        <d v="2023-09-08T00:00:00"/>
        <d v="2025-04-20T00:00:00"/>
        <d v="2024-06-20T00:00:00"/>
        <d v="2023-07-04T00:00:00"/>
        <d v="2025-03-08T00:00:00"/>
        <d v="2025-02-10T00:00:00"/>
        <d v="2025-03-17T00:00:00"/>
        <d v="2023-11-09T00:00:00"/>
        <d v="2024-08-15T00:00:00"/>
        <d v="2023-03-21T00:00:00"/>
        <d v="2023-11-03T00:00:00"/>
        <d v="2025-01-30T00:00:00"/>
        <d v="2025-03-29T00:00:00"/>
        <d v="2024-11-02T00:00:00"/>
        <d v="2024-06-30T00:00:00"/>
        <d v="2023-08-31T00:00:00"/>
        <d v="2024-10-07T00:00:00"/>
        <d v="2023-04-12T00:00:00"/>
        <d v="2023-11-06T00:00:00"/>
        <d v="2023-04-28T00:00:00"/>
        <d v="2023-12-18T00:00:00"/>
        <d v="2024-10-10T00:00:00"/>
        <d v="2023-02-05T00:00:00"/>
        <d v="2024-08-04T00:00:00"/>
        <d v="2023-04-14T00:00:00"/>
        <d v="2024-10-19T00:00:00"/>
        <d v="2023-09-19T00:00:00"/>
        <d v="2023-02-27T00:00:00"/>
        <d v="2024-01-28T00:00:00"/>
        <d v="2025-05-06T00:00:00"/>
        <d v="2024-09-13T00:00:00"/>
        <d v="2023-02-13T00:00:00"/>
        <d v="2024-02-08T00:00:00"/>
        <d v="2024-06-01T00:00:00"/>
        <d v="2024-06-25T00:00:00"/>
        <d v="2024-01-29T00:00:00"/>
        <d v="2023-11-21T00:00:00"/>
        <d v="2024-12-16T00:00:00"/>
        <d v="2023-08-05T00:00:00"/>
        <d v="2023-08-30T00:00:00"/>
        <d v="2025-03-25T00:00:00"/>
        <d v="2023-09-07T00:00:00"/>
        <d v="2023-12-12T00:00:00"/>
        <d v="2024-04-25T00:00:00"/>
        <d v="2025-05-04T00:00:00"/>
        <d v="2023-09-16T00:00:00"/>
        <d v="2023-05-03T00:00:00"/>
        <d v="2023-08-25T00:00:00"/>
        <d v="2023-07-13T00:00:00"/>
        <d v="2025-02-25T00:00:00"/>
        <d v="2025-04-14T00:00:00"/>
        <d v="2025-06-15T00:00:00"/>
        <d v="2024-10-22T00:00:00"/>
        <d v="2023-06-20T00:00:00"/>
        <d v="2023-10-28T00:00:00"/>
        <d v="2025-03-19T00:00:00"/>
        <d v="2024-09-11T00:00:00"/>
        <d v="2025-01-08T00:00:00"/>
        <d v="2024-08-12T00:00:00"/>
        <d v="2023-03-30T00:00:00"/>
        <d v="2023-02-01T00:00:00"/>
        <d v="2025-04-18T00:00:00"/>
        <d v="2024-09-22T00:00:00"/>
        <d v="2024-06-07T00:00:00"/>
        <d v="2025-05-24T00:00:00"/>
        <d v="2023-06-01T00:00:00"/>
        <d v="2025-04-17T00:00:00"/>
        <d v="2025-03-31T00:00:00"/>
        <d v="2024-08-30T00:00:00"/>
        <d v="2025-01-07T00:00:00"/>
        <d v="2025-02-05T00:00:00"/>
        <d v="2023-07-03T00:00:00"/>
        <d v="2023-04-25T00:00:00"/>
        <d v="2025-04-09T00:00:00"/>
        <d v="2023-11-05T00:00:00"/>
        <d v="2023-01-13T00:00:00"/>
        <d v="2025-02-06T00:00:00"/>
        <d v="2025-06-18T00:00:00"/>
        <d v="2024-11-09T00:00:00"/>
        <d v="2023-08-19T00:00:00"/>
        <d v="2023-11-13T00:00:00"/>
        <d v="2024-09-10T00:00:00"/>
        <d v="2024-11-10T00:00:00"/>
        <d v="2023-04-13T00:00:00"/>
        <d v="2023-11-20T00:00:00"/>
        <d v="2023-03-04T00:00:00"/>
        <d v="2024-05-25T00:00:00"/>
        <d v="2023-03-07T00:00:00"/>
        <d v="2024-10-31T00:00:00"/>
        <d v="2024-05-08T00:00:00"/>
        <d v="2024-03-05T00:00:00"/>
        <d v="2023-07-18T00:00:00"/>
        <d v="2023-09-18T00:00:00"/>
        <d v="2023-03-27T00:00:00"/>
        <d v="2023-03-08T00:00:00"/>
        <d v="2024-05-02T00:00:00"/>
        <d v="2023-06-13T00:00:00"/>
        <d v="2024-11-23T00:00:00"/>
        <d v="2024-02-09T00:00:00"/>
        <d v="2023-11-16T00:00:00"/>
        <d v="2025-05-17T00:00:00"/>
        <d v="2023-11-29T00:00:00"/>
        <d v="2023-02-24T00:00:00"/>
        <d v="2023-11-04T00:00:00"/>
        <d v="2024-06-15T00:00:00"/>
        <d v="2024-10-02T00:00:00"/>
        <d v="2023-06-03T00:00:00"/>
        <d v="2023-09-10T00:00:00"/>
        <d v="2025-05-20T00:00:00"/>
        <d v="2023-09-24T00:00:00"/>
        <d v="2023-06-17T00:00:00"/>
        <d v="2023-03-14T00:00:00"/>
        <d v="2025-01-09T00:00:00"/>
        <d v="2025-03-30T00:00:00"/>
        <d v="2024-02-26T00:00:00"/>
        <d v="2024-10-30T00:00:00"/>
        <d v="2024-08-19T00:00:00"/>
        <d v="2023-07-30T00:00:00"/>
        <d v="2024-08-13T00:00:00"/>
        <d v="2023-06-23T00:00:00"/>
        <d v="2024-09-21T00:00:00"/>
        <d v="2025-01-02T00:00:00"/>
        <d v="2024-05-04T00:00:00"/>
        <d v="2025-02-27T00:00:00"/>
        <d v="2024-11-13T00:00:00"/>
        <d v="2023-10-31T00:00:00"/>
        <d v="2023-12-19T00:00:00"/>
        <d v="2023-08-15T00:00:00"/>
        <d v="2023-01-16T00:00:00"/>
        <d v="2025-02-28T00:00:00"/>
        <d v="2023-12-04T00:00:00"/>
        <d v="2024-06-21T00:00:00"/>
        <d v="2023-08-17T00:00:00"/>
        <d v="2023-06-29T00:00:00"/>
        <d v="2023-08-13T00:00:00"/>
        <d v="2023-07-15T00:00:00"/>
        <d v="2025-02-21T00:00:00"/>
        <d v="2023-07-19T00:00:00"/>
        <d v="2024-09-29T00:00:00"/>
        <d v="2024-10-17T00:00:00"/>
        <d v="2024-01-19T00:00:00"/>
        <d v="2023-12-03T00:00:00"/>
        <d v="2024-06-19T00:00:00"/>
        <d v="2023-10-02T00:00:00"/>
        <d v="2023-06-18T00:00:00"/>
        <d v="2024-06-14T00:00:00"/>
        <d v="2024-04-05T00:00:00"/>
        <d v="2023-04-26T00:00:00"/>
        <d v="2024-10-11T00:00:00"/>
        <d v="2025-06-14T00:00:00"/>
        <d v="2024-12-22T00:00:00"/>
        <d v="2024-04-22T00:00:00"/>
        <d v="2023-03-16T00:00:00"/>
        <d v="2023-05-06T00:00:00"/>
        <d v="2024-04-30T00:00:00"/>
        <d v="2025-03-11T00:00:00"/>
        <d v="2024-06-02T00:00:00"/>
        <d v="2024-09-01T00:00:00"/>
        <d v="2025-01-11T00:00:00"/>
        <d v="2024-11-28T00:00:00"/>
        <d v="2023-07-05T00:00:00"/>
        <d v="2024-10-24T00:00:00"/>
        <d v="2025-04-08T00:00:00"/>
        <d v="2024-06-05T00:00:00"/>
        <d v="2023-01-20T00:00:00"/>
        <d v="2024-01-12T00:00:00"/>
        <d v="2024-04-08T00:00:00"/>
        <d v="2024-07-17T00:00:00"/>
        <d v="2024-02-17T00:00:00"/>
        <d v="2023-06-25T00:00:00"/>
        <d v="2023-04-17T00:00:00"/>
        <d v="2023-06-28T00:00:00"/>
        <d v="2024-04-06T00:00:00"/>
        <d v="2023-01-08T00:00:00"/>
        <d v="2024-07-13T00:00:00"/>
        <d v="2024-03-19T00:00:00"/>
        <d v="2025-01-19T00:00:00"/>
        <d v="2023-05-28T00:00:00"/>
        <d v="2023-11-25T00:00:00"/>
        <d v="2024-11-17T00:00:00"/>
        <d v="2025-01-13T00:00:00"/>
        <d v="2025-01-06T00:00:00"/>
        <d v="2023-02-22T00:00:00"/>
        <d v="2023-07-01T00:00:00"/>
        <d v="2023-04-29T00:00:00"/>
        <d v="2023-04-30T00:00:00"/>
        <d v="2023-03-23T00:00:00"/>
        <d v="2024-12-10T00:00:00"/>
        <d v="2025-01-01T00:00:00"/>
        <d v="2024-01-16T00:00:00"/>
        <d v="2023-12-08T00:00:00"/>
        <d v="2023-03-15T00:00:00"/>
        <d v="2025-02-07T00:00:00"/>
        <d v="2025-06-27T00:00:00"/>
        <d v="2024-12-17T00:00:00"/>
        <d v="2023-12-26T00:00:00"/>
        <d v="2024-05-13T00:00:00"/>
        <d v="2023-10-07T00:00:00"/>
        <d v="2023-07-11T00:00:00"/>
        <d v="2023-02-04T00:00:00"/>
        <d v="2023-09-02T00:00:00"/>
        <d v="2023-10-13T00:00:00"/>
        <d v="2024-10-03T00:00:00"/>
        <d v="2024-04-28T00:00:00"/>
        <d v="2024-02-07T00:00:00"/>
        <d v="2024-07-29T00:00:00"/>
        <d v="2024-01-18T00:00:00"/>
        <d v="2025-04-16T00:00:00"/>
        <d v="2023-01-07T00:00:00"/>
        <d v="2023-10-24T00:00:00"/>
        <d v="2024-09-17T00:00:00"/>
        <d v="2024-05-05T00:00:00"/>
        <d v="2024-02-29T00:00:00"/>
        <d v="2025-05-19T00:00:00"/>
        <d v="2024-12-02T00:00:00"/>
        <d v="2024-07-10T00:00:00"/>
        <d v="2023-01-06T00:00:00"/>
        <d v="2023-12-11T00:00:00"/>
        <d v="2025-02-19T00:00:00"/>
        <d v="2023-09-22T00:00:00"/>
        <d v="2023-12-23T00:00:00"/>
        <d v="2025-04-21T00:00:00"/>
        <d v="2023-12-13T00:00:00"/>
        <d v="2024-04-24T00:00:00"/>
        <d v="2023-09-11T00:00:00"/>
        <d v="2025-06-06T00:00:00"/>
        <d v="2024-12-23T00:00:00"/>
        <d v="2023-08-27T00:00:00"/>
        <d v="2025-04-22T00:00:00"/>
        <d v="2023-09-06T00:00:00"/>
        <d v="2023-01-21T00:00:00"/>
        <d v="2024-04-26T00:00:00"/>
        <d v="2023-12-30T00:00:00"/>
        <d v="2024-07-27T00:00:00"/>
        <d v="2024-01-15T00:00:00"/>
        <d v="2024-01-04T00:00:00"/>
        <d v="2023-02-09T00:00:00"/>
        <d v="2023-08-16T00:00:00"/>
        <d v="2024-10-08T00:00:00"/>
        <d v="2023-12-25T00:00:00"/>
        <d v="2024-05-11T00:00:00"/>
        <d v="2023-11-23T00:00:00"/>
        <d v="2023-12-10T00:00:00"/>
        <d v="2024-02-03T00:00:00"/>
        <d v="2024-03-06T00:00:00"/>
        <d v="2025-02-01T00:00:00"/>
        <d v="2023-02-15T00:00:00"/>
        <d v="2024-05-16T00:00:00"/>
        <d v="2024-04-13T00:00:00"/>
        <d v="2024-08-29T00:00:00"/>
        <d v="2023-05-17T00:00:00"/>
        <d v="2024-01-27T00:00:00"/>
        <d v="2025-05-26T00:00:00"/>
        <d v="2025-05-05T00:00:00"/>
        <d v="2024-11-01T00:00:00"/>
        <d v="2024-04-23T00:00:00"/>
        <d v="2024-06-24T00:00:00"/>
        <d v="2023-03-12T00:00:00"/>
        <d v="2023-12-28T00:00:00"/>
        <d v="2025-03-10T00:00:00"/>
        <d v="2023-09-09T00:00:00"/>
        <d v="2023-09-30T00:00:00"/>
        <d v="2023-03-05T00:00:00"/>
        <d v="2024-05-20T00:00:00"/>
        <d v="2023-01-15T00:00:00"/>
        <d v="2023-07-12T00:00:00"/>
        <d v="2025-06-21T00:00:00"/>
        <d v="2024-12-29T00:00:00"/>
        <d v="2023-05-23T00:00:00"/>
        <d v="2024-04-03T00:00:00"/>
        <d v="2024-01-17T00:00:00"/>
        <d v="2025-04-05T00:00:00"/>
        <d v="2024-10-12T00:00:00"/>
        <d v="2025-01-10T00:00:00"/>
        <d v="2024-05-22T00:00:00"/>
        <d v="2023-06-21T00:00:00"/>
        <d v="2025-01-26T00:00:00"/>
        <d v="2024-06-18T00:00:00"/>
        <d v="2024-10-29T00:00:00"/>
        <d v="2023-01-31T00:00:00"/>
        <d v="2025-03-16T00:00:00"/>
        <d v="2024-04-20T00:00:00"/>
        <d v="2024-12-20T00:00:00"/>
        <d v="2023-08-22T00:00:00"/>
        <d v="2024-12-09T00:00:00"/>
        <d v="2024-07-04T00:00:00"/>
        <d v="2025-03-12T00:00:00"/>
        <d v="2025-05-31T00:00:00"/>
        <d v="2023-10-11T00:00:00"/>
        <d v="2023-08-07T00:00:00"/>
        <d v="2024-08-01T00:00:00"/>
        <d v="2023-03-20T00:00:00"/>
        <d v="2024-05-19T00:00:00"/>
        <d v="2024-07-09T00:00:00"/>
        <d v="2025-06-28T00:00:00"/>
        <d v="2024-03-09T00:00:00"/>
        <d v="2025-06-24T00:00:00"/>
        <d v="2023-10-19T00:00:00"/>
        <d v="2024-06-17T00:00:00"/>
        <d v="2025-01-03T00:00:00"/>
        <d v="2025-04-26T00:00:00"/>
        <d v="2023-06-08T00:00:00"/>
        <d v="2025-05-23T00:00:00"/>
        <d v="2024-06-11T00:00:00"/>
        <d v="2023-05-12T00:00:00"/>
        <d v="2024-10-20T00:00:00"/>
        <d v="2024-04-04T00:00:00"/>
        <d v="2023-07-24T00:00:00"/>
        <d v="2024-07-20T00:00:00"/>
        <d v="2023-02-17T00:00:00"/>
        <d v="2024-07-02T00:00:00"/>
        <d v="2025-06-02T00:00:00"/>
        <d v="2024-11-21T00:00:00"/>
        <d v="2024-01-10T00:00:00"/>
        <d v="2024-01-06T00:00:00"/>
        <d v="2023-08-02T00:00:00"/>
        <d v="2024-05-06T00:00:00"/>
        <d v="2024-09-15T00:00:00"/>
        <d v="2023-03-01T00:00:00"/>
        <d v="2024-06-06T00:00:00"/>
        <d v="2023-09-20T00:00:00"/>
        <d v="2023-03-22T00:00:00"/>
        <d v="2023-09-05T00:00:00"/>
        <d v="2024-11-26T00:00:00"/>
        <d v="2024-10-14T00:00:00"/>
        <d v="2023-05-29T00:00:00"/>
        <d v="2023-04-22T00:00:00"/>
        <d v="2024-10-04T00:00:00"/>
        <d v="2025-04-06T00:00:00"/>
        <d v="2024-01-13T00:00:00"/>
        <d v="2025-02-23T00:00:00"/>
        <d v="2024-10-18T00:00:00"/>
        <d v="2023-01-10T00:00:00"/>
        <d v="2023-12-20T00:00:00"/>
        <d v="2024-12-03T00:00:00"/>
        <d v="2025-03-26T00:00:00"/>
        <d v="2023-05-05T00:00:00"/>
        <d v="2023-09-23T00:00:00"/>
        <d v="2023-01-17T00:00:00"/>
        <d v="2025-02-16T00:00:00"/>
        <d v="2023-06-05T00:00:00"/>
        <d v="2023-08-01T00:00:00"/>
        <d v="2025-05-09T00:00:00"/>
        <d v="2024-01-08T00:00:00"/>
        <d v="2025-04-03T00:00:00"/>
        <d v="2023-01-26T00:00:00"/>
        <d v="2025-01-15T00:00:00"/>
        <d v="2024-11-30T00:00:00"/>
        <d v="2024-06-27T00:00:00"/>
        <d v="2024-08-18T00:00:00"/>
        <d v="2023-02-20T00:00:00"/>
        <d v="2025-04-28T00:00:00"/>
        <d v="2025-02-04T00:00:00"/>
        <d v="2024-02-21T00:00:00"/>
        <d v="2023-03-24T00:00:00"/>
        <d v="2025-01-04T00:00:00"/>
        <d v="2023-01-29T00:00:00"/>
        <d v="2024-03-29T00:00:00"/>
        <d v="2025-05-28T00:00:00"/>
        <d v="2024-05-24T00:00:00"/>
        <d v="2023-07-06T00:00:00"/>
        <d v="2025-01-29T00:00:00"/>
        <d v="2025-03-23T00:00:00"/>
        <d v="2024-04-11T00:00:00"/>
        <d v="2025-04-30T00:00:00"/>
        <d v="2023-04-02T00:00:00"/>
        <d v="2023-11-10T00:00:00"/>
        <d v="2025-01-27T00:00:00"/>
        <d v="2024-03-04T00:00:00"/>
        <d v="2025-02-18T00:00:00"/>
        <d v="2024-07-16T00:00:00"/>
        <d v="2024-02-01T00:00:00"/>
        <d v="2024-01-20T00:00:00"/>
        <d v="2024-06-26T00:00:00"/>
        <d v="2024-12-12T00:00:00"/>
        <d v="2024-12-01T00:00:00"/>
        <d v="2024-09-03T00:00:00"/>
        <d v="2025-02-22T00:00:00"/>
        <d v="2023-04-18T00:00:00"/>
        <d v="2024-02-25T00:00:00"/>
        <d v="2025-04-10T00:00:00"/>
        <d v="2024-02-14T00:00:00"/>
        <d v="2023-09-12T00:00:00"/>
        <d v="2024-02-28T00:00:00"/>
        <d v="2023-05-19T00:00:00"/>
        <d v="2024-12-14T00:00:00"/>
        <d v="2023-10-25T00:00:00"/>
        <d v="2023-07-10T00:00:00"/>
        <d v="2024-08-06T00:00:00"/>
        <d v="2024-01-31T00:00:00"/>
        <d v="2023-10-29T00:00:00"/>
        <d v="2024-06-12T00:00:00"/>
        <d v="2023-05-04T00:00:00"/>
        <d v="2024-11-03T00:00:00"/>
        <d v="2023-10-16T00:00:00"/>
        <d v="2023-05-21T00:00:00"/>
        <d v="2024-03-26T00:00:00"/>
        <d v="2024-09-25T00:00:00"/>
        <d v="2023-04-06T00:00:00"/>
        <d v="2024-12-15T00:00:00"/>
        <d v="2024-08-21T00:00:00"/>
        <d v="2023-08-24T00:00:00"/>
        <d v="2024-08-09T00:00:00"/>
        <d v="2024-08-20T00:00:00"/>
        <d v="2023-06-26T00:00:00"/>
        <d v="2023-08-20T00:00:00"/>
        <d v="2024-10-28T00:00:00"/>
        <d v="2023-12-07T00:00:00"/>
        <d v="2025-06-17T00:00:00"/>
        <d v="2023-01-19T00:00:00"/>
        <d v="2023-07-09T00:00:00"/>
        <d v="2025-02-08T00:00:00"/>
        <d v="2025-04-25T00:00:00"/>
        <d v="2024-05-21T00:00:00"/>
        <d v="2023-10-22T00:00:00"/>
        <d v="2025-05-18T00:00:00"/>
        <d v="2025-02-09T00:00:00"/>
        <d v="2025-02-15T00:00:00"/>
        <d v="2023-08-08T00:00:00"/>
        <d v="2023-08-21T00:00:00"/>
        <d v="2023-12-06T00:00:00"/>
        <d v="2025-02-11T00:00:00"/>
        <d v="2024-08-08T00:00:00"/>
        <d v="2024-09-04T00:00:00"/>
        <d v="2024-12-30T00:00:00"/>
        <d v="2024-02-10T00:00:00"/>
        <d v="2023-08-11T00:00:00"/>
        <d v="2024-01-07T00:00:00"/>
        <d v="2023-01-14T00:00:00"/>
        <d v="2024-10-06T00:00:00"/>
        <d v="2023-10-06T00:00:00"/>
        <d v="2024-06-23T00:00:00"/>
        <d v="2025-01-14T00:00:00"/>
        <d v="2024-04-07T00:00:00"/>
        <d v="2024-11-25T00:00:00"/>
        <d v="2024-11-29T00:00:00"/>
        <d v="2024-04-16T00:00:00"/>
        <d v="2023-04-08T00:00:00"/>
        <d v="2023-01-30T00:00:00"/>
        <d v="2024-10-27T00:00:00"/>
        <d v="2025-03-24T00:00:00"/>
        <d v="2025-05-03T00:00:00"/>
        <d v="2025-01-05T00:00:00"/>
        <d v="2024-03-12T00:00:00"/>
        <d v="2024-07-03T00:00:00"/>
        <d v="2024-02-04T00:00:00"/>
        <d v="2025-05-02T00:00:00"/>
        <d v="2023-11-12T00:00:00"/>
        <d v="2025-05-07T00:00:00"/>
        <d v="2025-04-24T00:00:00"/>
        <d v="2024-11-07T00:00:00"/>
        <d v="2024-07-26T00:00:00"/>
        <d v="2024-03-25T00:00:00"/>
        <d v="2023-10-20T00:00:00"/>
        <d v="2024-09-19T00:00:00"/>
        <d v="2024-12-31T00:00:00"/>
        <d v="2023-11-15T00:00:00"/>
        <d v="2023-11-24T00:00:00"/>
        <d v="2025-05-15T00:00:00"/>
        <d v="2024-02-06T00:00:00"/>
        <d v="2025-05-14T00:00:00"/>
        <d v="2024-02-19T00:00:00"/>
        <d v="2023-05-07T00:00:00"/>
        <d v="2024-07-28T00:00:00"/>
        <d v="2024-07-05T00:00:00"/>
        <d v="2023-08-03T00:00:00"/>
        <d v="2024-02-05T00:00:00"/>
        <d v="2023-03-31T00:00:00"/>
        <d v="2023-08-18T00:00:00"/>
        <d v="2024-08-03T00:00:00"/>
        <d v="2023-05-26T00:00:00"/>
        <d v="2024-10-25T00:00:00"/>
        <d v="2024-03-30T00:00:00"/>
        <d v="2023-06-02T00:00:00"/>
        <d v="2024-12-06T00:00:00"/>
        <d v="2023-01-18T00:00:00"/>
        <d v="2024-05-29T00:00:00"/>
        <d v="2023-03-02T00:00:00"/>
        <d v="2023-01-04T00:00:00"/>
        <d v="2024-09-23T00:00:00"/>
        <d v="2023-09-13T00:00:00"/>
        <d v="2024-06-22T00:00:00"/>
        <d v="2025-01-22T00:00:00"/>
        <d v="2023-04-20T00:00:00"/>
        <d v="2025-06-23T00:00:00"/>
        <d v="2024-06-09T00:00:00"/>
        <d v="2024-07-24T00:00:00"/>
        <d v="2023-10-08T00:00:00"/>
        <d v="2023-01-02T00:00:00"/>
        <d v="2023-09-04T00:00:00"/>
        <d v="2023-12-17T00:00:00"/>
        <d v="2023-05-11T00:00:00"/>
        <d v="2024-08-16T00:00:00"/>
        <d v="2025-05-30T00:00:00"/>
        <d v="2025-01-28T00:00:00"/>
        <d v="2024-11-27T00:00:00"/>
        <d v="2023-10-09T00:00:00"/>
        <d v="2024-07-21T00:00:00"/>
        <d v="2024-09-24T00:00:00"/>
        <d v="2024-01-11T00:00:00"/>
      </sharedItems>
      <fieldGroup par="22"/>
    </cacheField>
    <cacheField name="DeliveryDate" numFmtId="14">
      <sharedItems containsSemiMixedTypes="0" containsNonDate="0" containsDate="1" containsString="0" minDate="2023-01-08T00:00:00" maxDate="2025-07-11T00:00:00"/>
    </cacheField>
    <cacheField name="RegionManager" numFmtId="0">
      <sharedItems/>
    </cacheField>
    <cacheField name="Months (OrderDate)" numFmtId="0" databaseField="0">
      <fieldGroup base="18">
        <rangePr groupBy="months" startDate="2023-01-01T00:00:00" endDate="2025-07-01T00:00:00"/>
        <groupItems count="14">
          <s v="&lt;1/1/2023"/>
          <s v="Jan"/>
          <s v="Feb"/>
          <s v="Mar"/>
          <s v="Apr"/>
          <s v="May"/>
          <s v="Jun"/>
          <s v="Jul"/>
          <s v="Aug"/>
          <s v="Sep"/>
          <s v="Oct"/>
          <s v="Nov"/>
          <s v="Dec"/>
          <s v="&gt;7/1/2025"/>
        </groupItems>
      </fieldGroup>
    </cacheField>
    <cacheField name="Years (OrderDate)" numFmtId="0" databaseField="0">
      <fieldGroup base="18">
        <rangePr groupBy="years" startDate="2023-01-01T00:00:00" endDate="2025-07-01T00:00:00"/>
        <groupItems count="5">
          <s v="&lt;1/1/2023"/>
          <s v="2023"/>
          <s v="2024"/>
          <s v="2025"/>
          <s v="&gt;7/1/2025"/>
        </groupItems>
      </fieldGroup>
    </cacheField>
  </cacheFields>
  <extLst>
    <ext xmlns:x14="http://schemas.microsoft.com/office/spreadsheetml/2009/9/main" uri="{725AE2AE-9491-48be-B2B4-4EB974FC3084}">
      <x14:pivotCacheDefinition pivotCacheId="44257937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0">
  <r>
    <d v="2023-02-23T00:00:00"/>
    <n v="2290.4"/>
    <n v="458.08000000000004"/>
    <x v="0"/>
    <x v="0"/>
    <n v="14"/>
    <n v="163.6"/>
    <s v="Store B"/>
    <x v="0"/>
    <n v="0"/>
    <s v="Eva"/>
    <n v="2290.4"/>
    <x v="0"/>
    <x v="0"/>
    <n v="0"/>
    <s v="REG100000"/>
    <s v="Cust 6583"/>
    <n v="43.34"/>
    <x v="0"/>
    <d v="2023-02-27T00:00:00"/>
    <s v="Eric"/>
  </r>
  <r>
    <d v="2024-12-19T00:00:00"/>
    <n v="544.01"/>
    <n v="108.80200000000001"/>
    <x v="1"/>
    <x v="1"/>
    <n v="1"/>
    <n v="544.01"/>
    <s v="Store A"/>
    <x v="1"/>
    <n v="0"/>
    <s v="Alice"/>
    <n v="544.01"/>
    <x v="1"/>
    <x v="1"/>
    <n v="0"/>
    <s v="REG100001"/>
    <s v="Cust 2144"/>
    <n v="5.3"/>
    <x v="1"/>
    <d v="2024-12-28T00:00:00"/>
    <s v="Sophie"/>
  </r>
  <r>
    <d v="2023-05-10T00:00:00"/>
    <n v="3925.6812000000004"/>
    <n v="785.13624000000016"/>
    <x v="2"/>
    <x v="2"/>
    <n v="14"/>
    <n v="346.18"/>
    <s v="Store B"/>
    <x v="0"/>
    <n v="0.1"/>
    <s v="Alice"/>
    <n v="4361.8680000000004"/>
    <x v="0"/>
    <x v="2"/>
    <n v="0"/>
    <s v="REG100002"/>
    <s v="Cust 5998"/>
    <n v="20.46"/>
    <x v="2"/>
    <d v="2023-05-19T00:00:00"/>
    <s v="Ryan"/>
  </r>
  <r>
    <d v="2025-02-26T00:00:00"/>
    <n v="5004.5841"/>
    <n v="1000.91682"/>
    <x v="3"/>
    <x v="3"/>
    <n v="18"/>
    <n v="384.82"/>
    <s v="Store A"/>
    <x v="0"/>
    <n v="0.15"/>
    <s v="Frank"/>
    <n v="5887.7460000000001"/>
    <x v="1"/>
    <x v="0"/>
    <n v="0"/>
    <s v="REG100003"/>
    <s v="Cust 7136"/>
    <n v="27.95"/>
    <x v="3"/>
    <d v="2025-03-02T00:00:00"/>
    <s v="Cameron"/>
  </r>
  <r>
    <d v="2023-06-24T00:00:00"/>
    <n v="4279.68"/>
    <n v="855.93600000000015"/>
    <x v="0"/>
    <x v="2"/>
    <n v="18"/>
    <n v="237.76"/>
    <s v="Store C"/>
    <x v="1"/>
    <n v="0"/>
    <s v="Carlos"/>
    <n v="4279.68"/>
    <x v="0"/>
    <x v="1"/>
    <n v="0"/>
    <s v="REG100004"/>
    <s v="Cust 6506"/>
    <n v="5.73"/>
    <x v="4"/>
    <d v="2023-06-27T00:00:00"/>
    <s v="Eric"/>
  </r>
  <r>
    <d v="2024-02-20T00:00:00"/>
    <n v="556.45504999999991"/>
    <n v="111.29100999999999"/>
    <x v="3"/>
    <x v="4"/>
    <n v="2"/>
    <n v="385.09"/>
    <s v="Store D"/>
    <x v="0"/>
    <n v="0.15"/>
    <s v="Diana"/>
    <n v="654.65299999999991"/>
    <x v="2"/>
    <x v="3"/>
    <n v="0"/>
    <s v="REG100005"/>
    <s v="Cust 3909"/>
    <n v="11.92"/>
    <x v="5"/>
    <d v="2024-03-01T00:00:00"/>
    <s v="Cameron"/>
  </r>
  <r>
    <d v="2023-01-11T00:00:00"/>
    <n v="99.225000000000009"/>
    <n v="19.845000000000002"/>
    <x v="1"/>
    <x v="3"/>
    <n v="7"/>
    <n v="17.5"/>
    <s v="Store C"/>
    <x v="1"/>
    <n v="0.1"/>
    <s v="Alice"/>
    <n v="110.25"/>
    <x v="3"/>
    <x v="2"/>
    <n v="0"/>
    <s v="REG100006"/>
    <s v="Cust 7887"/>
    <n v="5.0199999999999996"/>
    <x v="6"/>
    <d v="2023-01-14T00:00:00"/>
    <s v="Sophie"/>
  </r>
  <r>
    <d v="2023-01-09T00:00:00"/>
    <n v="715.75184999999999"/>
    <n v="143.15037000000001"/>
    <x v="3"/>
    <x v="3"/>
    <n v="3"/>
    <n v="330.22"/>
    <s v="Store C"/>
    <x v="0"/>
    <n v="0.15"/>
    <s v="Carlos"/>
    <n v="842.06100000000004"/>
    <x v="4"/>
    <x v="3"/>
    <n v="0"/>
    <s v="REG100007"/>
    <s v="Cust 5301"/>
    <n v="48.01"/>
    <x v="7"/>
    <d v="2023-01-11T00:00:00"/>
    <s v="Cameron"/>
  </r>
  <r>
    <d v="2024-10-16T00:00:00"/>
    <n v="1169.7483"/>
    <n v="233.94965999999999"/>
    <x v="1"/>
    <x v="3"/>
    <n v="3"/>
    <n v="432.04"/>
    <s v="Store D"/>
    <x v="0"/>
    <n v="0.05"/>
    <s v="Bob"/>
    <n v="1231.3140000000001"/>
    <x v="3"/>
    <x v="0"/>
    <n v="1"/>
    <s v="REG100008"/>
    <s v="Cust 2284"/>
    <n v="42.11"/>
    <x v="8"/>
    <d v="2024-10-18T00:00:00"/>
    <s v="Sophie"/>
  </r>
  <r>
    <d v="2025-03-05T00:00:00"/>
    <n v="1309.2840000000001"/>
    <n v="261.85680000000002"/>
    <x v="4"/>
    <x v="2"/>
    <n v="5"/>
    <n v="323.27999999999997"/>
    <s v="Store D"/>
    <x v="1"/>
    <n v="0.1"/>
    <s v="Frank"/>
    <n v="1454.76"/>
    <x v="1"/>
    <x v="1"/>
    <n v="0"/>
    <s v="REG100009"/>
    <s v="Cust 3732"/>
    <n v="41.1"/>
    <x v="9"/>
    <d v="2025-03-13T00:00:00"/>
    <s v="Wendy"/>
  </r>
  <r>
    <d v="2024-04-10T00:00:00"/>
    <n v="5671.1553749999994"/>
    <n v="1134.2310749999999"/>
    <x v="2"/>
    <x v="2"/>
    <n v="15"/>
    <n v="523.29"/>
    <s v="Store B"/>
    <x v="0"/>
    <n v="0.15"/>
    <s v="Eva"/>
    <n v="6671.9474999999993"/>
    <x v="3"/>
    <x v="3"/>
    <n v="0"/>
    <s v="REG100010"/>
    <s v="Cust 1462"/>
    <n v="12.14"/>
    <x v="10"/>
    <d v="2024-04-17T00:00:00"/>
    <s v="Ryan"/>
  </r>
  <r>
    <d v="2024-07-12T00:00:00"/>
    <n v="3191.1165000000001"/>
    <n v="638.22330000000011"/>
    <x v="0"/>
    <x v="1"/>
    <n v="19"/>
    <n v="207.35"/>
    <s v="Store D"/>
    <x v="1"/>
    <n v="0.1"/>
    <s v="Eva"/>
    <n v="3545.6849999999999"/>
    <x v="1"/>
    <x v="3"/>
    <n v="1"/>
    <s v="REG100011"/>
    <s v="Cust 4330"/>
    <n v="44.89"/>
    <x v="11"/>
    <d v="2024-07-18T00:00:00"/>
    <s v="Eric"/>
  </r>
  <r>
    <d v="2023-07-21T00:00:00"/>
    <n v="108.778325"/>
    <n v="21.755665"/>
    <x v="3"/>
    <x v="1"/>
    <n v="1"/>
    <n v="120.53"/>
    <s v="Store B"/>
    <x v="1"/>
    <n v="0.05"/>
    <s v="Diana"/>
    <n v="114.5035"/>
    <x v="4"/>
    <x v="2"/>
    <n v="0"/>
    <s v="REG100012"/>
    <s v="Cust 2372"/>
    <n v="20.350000000000001"/>
    <x v="12"/>
    <d v="2023-07-31T00:00:00"/>
    <s v="Cameron"/>
  </r>
  <r>
    <d v="2025-01-18T00:00:00"/>
    <n v="114.03217499999998"/>
    <n v="22.806434999999997"/>
    <x v="4"/>
    <x v="5"/>
    <n v="1"/>
    <n v="157.83000000000001"/>
    <s v="Store A"/>
    <x v="0"/>
    <n v="0.15"/>
    <s v="Carlos"/>
    <n v="134.15549999999999"/>
    <x v="3"/>
    <x v="3"/>
    <n v="0"/>
    <s v="REG100013"/>
    <s v="Cust 4672"/>
    <n v="42.82"/>
    <x v="13"/>
    <d v="2025-01-22T00:00:00"/>
    <s v="Wendy"/>
  </r>
  <r>
    <d v="2024-12-08T00:00:00"/>
    <n v="2387.5012499999998"/>
    <n v="477.50024999999999"/>
    <x v="2"/>
    <x v="2"/>
    <n v="15"/>
    <n v="220.3"/>
    <s v="Store B"/>
    <x v="1"/>
    <n v="0.15"/>
    <s v="Diana"/>
    <n v="2808.8249999999998"/>
    <x v="3"/>
    <x v="3"/>
    <n v="0"/>
    <s v="REG100014"/>
    <s v="Cust 4548"/>
    <n v="39.659999999999997"/>
    <x v="14"/>
    <d v="2024-12-15T00:00:00"/>
    <s v="Ryan"/>
  </r>
  <r>
    <d v="2025-05-11T00:00:00"/>
    <n v="2500.2138"/>
    <n v="500.04276000000004"/>
    <x v="4"/>
    <x v="3"/>
    <n v="17"/>
    <n v="162.96"/>
    <s v="Store A"/>
    <x v="0"/>
    <n v="0.05"/>
    <s v="Eva"/>
    <n v="2631.8040000000001"/>
    <x v="1"/>
    <x v="0"/>
    <n v="0"/>
    <s v="REG100015"/>
    <s v="Cust 7037"/>
    <n v="8.11"/>
    <x v="15"/>
    <d v="2025-05-17T00:00:00"/>
    <s v="Wendy"/>
  </r>
  <r>
    <d v="2023-02-26T00:00:00"/>
    <n v="4486.09"/>
    <n v="897.21800000000007"/>
    <x v="4"/>
    <x v="0"/>
    <n v="19"/>
    <n v="236.11"/>
    <s v="Store D"/>
    <x v="0"/>
    <n v="0"/>
    <s v="Bob"/>
    <n v="4486.09"/>
    <x v="0"/>
    <x v="2"/>
    <n v="0"/>
    <s v="REG100016"/>
    <s v="Cust 4975"/>
    <n v="34.11"/>
    <x v="16"/>
    <d v="2023-03-04T00:00:00"/>
    <s v="Wendy"/>
  </r>
  <r>
    <d v="2024-05-28T00:00:00"/>
    <n v="5689.84735"/>
    <n v="1137.96947"/>
    <x v="3"/>
    <x v="2"/>
    <n v="11"/>
    <n v="573.14"/>
    <s v="Store D"/>
    <x v="1"/>
    <n v="0.05"/>
    <s v="Diana"/>
    <n v="5989.3130000000001"/>
    <x v="4"/>
    <x v="1"/>
    <n v="0"/>
    <s v="REG100017"/>
    <s v="Cust 8014"/>
    <n v="34.71"/>
    <x v="17"/>
    <d v="2024-06-01T00:00:00"/>
    <s v="Cameron"/>
  </r>
  <r>
    <d v="2023-11-30T00:00:00"/>
    <n v="7500.1279999999988"/>
    <n v="1500.0255999999999"/>
    <x v="0"/>
    <x v="1"/>
    <n v="20"/>
    <n v="519.04"/>
    <s v="Store B"/>
    <x v="1"/>
    <n v="0.15"/>
    <s v="Carlos"/>
    <n v="8823.6799999999985"/>
    <x v="1"/>
    <x v="0"/>
    <n v="0"/>
    <s v="REG100018"/>
    <s v="Cust 1228"/>
    <n v="19.43"/>
    <x v="18"/>
    <d v="2023-12-08T00:00:00"/>
    <s v="Eric"/>
  </r>
  <r>
    <d v="2023-06-22T00:00:00"/>
    <n v="431.62"/>
    <n v="86.324000000000012"/>
    <x v="4"/>
    <x v="2"/>
    <n v="14"/>
    <n v="30.83"/>
    <s v="Store B"/>
    <x v="1"/>
    <n v="0"/>
    <s v="Carlos"/>
    <n v="431.62"/>
    <x v="0"/>
    <x v="2"/>
    <n v="1"/>
    <s v="REG100019"/>
    <s v="Cust 4247"/>
    <n v="7.1"/>
    <x v="19"/>
    <d v="2023-07-02T00:00:00"/>
    <s v="Wendy"/>
  </r>
  <r>
    <d v="2025-06-05T00:00:00"/>
    <n v="3190.5"/>
    <n v="638.1"/>
    <x v="4"/>
    <x v="1"/>
    <n v="10"/>
    <n v="319.05"/>
    <s v="Store D"/>
    <x v="0"/>
    <n v="0"/>
    <s v="Diana"/>
    <n v="3190.5"/>
    <x v="0"/>
    <x v="3"/>
    <n v="0"/>
    <s v="REG100020"/>
    <s v="Cust 4199"/>
    <n v="28.43"/>
    <x v="20"/>
    <d v="2025-06-08T00:00:00"/>
    <s v="Wendy"/>
  </r>
  <r>
    <d v="2023-03-03T00:00:00"/>
    <n v="3952.1016499999996"/>
    <n v="790.42032999999992"/>
    <x v="3"/>
    <x v="3"/>
    <n v="14"/>
    <n v="312.79000000000002"/>
    <s v="Store A"/>
    <x v="1"/>
    <n v="0.05"/>
    <s v="Bob"/>
    <n v="4160.107"/>
    <x v="0"/>
    <x v="3"/>
    <n v="1"/>
    <s v="REG100021"/>
    <s v="Cust 4186"/>
    <n v="46.83"/>
    <x v="21"/>
    <d v="2023-03-08T00:00:00"/>
    <s v="Cameron"/>
  </r>
  <r>
    <d v="2024-02-18T00:00:00"/>
    <n v="5536.3"/>
    <n v="1107.26"/>
    <x v="2"/>
    <x v="0"/>
    <n v="14"/>
    <n v="395.45"/>
    <s v="Store C"/>
    <x v="1"/>
    <n v="0"/>
    <s v="Carlos"/>
    <n v="5536.3"/>
    <x v="4"/>
    <x v="0"/>
    <n v="1"/>
    <s v="REG100022"/>
    <s v="Cust 8137"/>
    <n v="36.450000000000003"/>
    <x v="22"/>
    <d v="2024-02-22T00:00:00"/>
    <s v="Ryan"/>
  </r>
  <r>
    <d v="2023-08-06T00:00:00"/>
    <n v="4098.4824000000008"/>
    <n v="819.69648000000018"/>
    <x v="3"/>
    <x v="0"/>
    <n v="12"/>
    <n v="472.72"/>
    <s v="Store D"/>
    <x v="1"/>
    <n v="0.15"/>
    <s v="Diana"/>
    <n v="4821.7440000000006"/>
    <x v="2"/>
    <x v="3"/>
    <n v="0"/>
    <s v="REG100023"/>
    <s v="Cust 4638"/>
    <n v="27.97"/>
    <x v="23"/>
    <d v="2023-08-14T00:00:00"/>
    <s v="Cameron"/>
  </r>
  <r>
    <d v="2024-05-23T00:00:00"/>
    <n v="1440.05"/>
    <n v="288.01"/>
    <x v="2"/>
    <x v="2"/>
    <n v="5"/>
    <n v="288.01"/>
    <s v="Store A"/>
    <x v="0"/>
    <n v="0"/>
    <s v="Eva"/>
    <n v="1440.05"/>
    <x v="2"/>
    <x v="0"/>
    <n v="0"/>
    <s v="REG100024"/>
    <s v="Cust 8538"/>
    <n v="46.69"/>
    <x v="24"/>
    <d v="2024-05-30T00:00:00"/>
    <s v="Ryan"/>
  </r>
  <r>
    <d v="2023-10-23T00:00:00"/>
    <n v="7309.77"/>
    <n v="1461.9540000000002"/>
    <x v="0"/>
    <x v="1"/>
    <n v="13"/>
    <n v="562.29"/>
    <s v="Store D"/>
    <x v="1"/>
    <n v="0"/>
    <s v="Diana"/>
    <n v="7309.77"/>
    <x v="1"/>
    <x v="1"/>
    <n v="0"/>
    <s v="REG100025"/>
    <s v="Cust 6322"/>
    <n v="38.130000000000003"/>
    <x v="25"/>
    <d v="2023-10-28T00:00:00"/>
    <s v="Eric"/>
  </r>
  <r>
    <d v="2025-06-16T00:00:00"/>
    <n v="101.73"/>
    <n v="20.346000000000004"/>
    <x v="4"/>
    <x v="1"/>
    <n v="1"/>
    <n v="101.73"/>
    <s v="Store D"/>
    <x v="1"/>
    <n v="0"/>
    <s v="Frank"/>
    <n v="101.73"/>
    <x v="3"/>
    <x v="2"/>
    <n v="0"/>
    <s v="REG100026"/>
    <s v="Cust 2609"/>
    <n v="11.59"/>
    <x v="26"/>
    <d v="2025-06-25T00:00:00"/>
    <s v="Wendy"/>
  </r>
  <r>
    <d v="2023-03-03T00:00:00"/>
    <n v="1117.96"/>
    <n v="223.59200000000001"/>
    <x v="2"/>
    <x v="1"/>
    <n v="4"/>
    <n v="279.49"/>
    <s v="Store B"/>
    <x v="1"/>
    <n v="0"/>
    <s v="Diana"/>
    <n v="1117.96"/>
    <x v="2"/>
    <x v="0"/>
    <n v="0"/>
    <s v="REG100027"/>
    <s v="Cust 6880"/>
    <n v="24.78"/>
    <x v="21"/>
    <d v="2023-03-08T00:00:00"/>
    <s v="Ryan"/>
  </r>
  <r>
    <d v="2024-11-18T00:00:00"/>
    <n v="129.002375"/>
    <n v="25.800475000000002"/>
    <x v="1"/>
    <x v="0"/>
    <n v="1"/>
    <n v="178.55"/>
    <s v="Store A"/>
    <x v="1"/>
    <n v="0.15"/>
    <s v="Carlos"/>
    <n v="151.76750000000001"/>
    <x v="3"/>
    <x v="1"/>
    <n v="1"/>
    <s v="REG100028"/>
    <s v="Cust 1997"/>
    <n v="7.61"/>
    <x v="27"/>
    <d v="2024-11-21T00:00:00"/>
    <s v="Sophie"/>
  </r>
  <r>
    <d v="2023-05-09T00:00:00"/>
    <n v="382.37670000000003"/>
    <n v="76.475340000000003"/>
    <x v="3"/>
    <x v="5"/>
    <n v="1"/>
    <n v="472.07"/>
    <s v="Store A"/>
    <x v="0"/>
    <n v="0.1"/>
    <s v="Carlos"/>
    <n v="424.863"/>
    <x v="0"/>
    <x v="0"/>
    <n v="0"/>
    <s v="REG100029"/>
    <s v="Cust 7072"/>
    <n v="33.17"/>
    <x v="28"/>
    <d v="2023-05-17T00:00:00"/>
    <s v="Cameron"/>
  </r>
  <r>
    <d v="2024-12-07T00:00:00"/>
    <n v="3675.48"/>
    <n v="735.096"/>
    <x v="2"/>
    <x v="5"/>
    <n v="12"/>
    <n v="306.29000000000002"/>
    <s v="Store D"/>
    <x v="1"/>
    <n v="0"/>
    <s v="Frank"/>
    <n v="3675.48"/>
    <x v="3"/>
    <x v="1"/>
    <n v="0"/>
    <s v="REG100030"/>
    <s v="Cust 7201"/>
    <n v="37.380000000000003"/>
    <x v="29"/>
    <d v="2024-12-14T00:00:00"/>
    <s v="Ryan"/>
  </r>
  <r>
    <d v="2024-02-13T00:00:00"/>
    <n v="2198.849275"/>
    <n v="439.76985500000001"/>
    <x v="2"/>
    <x v="1"/>
    <n v="7"/>
    <n v="434.77"/>
    <s v="Store C"/>
    <x v="1"/>
    <n v="0.15"/>
    <s v="Frank"/>
    <n v="2586.8815"/>
    <x v="0"/>
    <x v="1"/>
    <n v="0"/>
    <s v="REG100031"/>
    <s v="Cust 9923"/>
    <n v="12.35"/>
    <x v="30"/>
    <d v="2024-02-15T00:00:00"/>
    <s v="Ryan"/>
  </r>
  <r>
    <d v="2025-03-09T00:00:00"/>
    <n v="389.88"/>
    <n v="77.975999999999999"/>
    <x v="1"/>
    <x v="2"/>
    <n v="6"/>
    <n v="64.98"/>
    <s v="Store C"/>
    <x v="1"/>
    <n v="0"/>
    <s v="Carlos"/>
    <n v="389.88"/>
    <x v="3"/>
    <x v="2"/>
    <n v="0"/>
    <s v="REG100032"/>
    <s v="Cust 2205"/>
    <n v="21.25"/>
    <x v="31"/>
    <d v="2025-03-15T00:00:00"/>
    <s v="Sophie"/>
  </r>
  <r>
    <d v="2023-04-05T00:00:00"/>
    <n v="8100.33"/>
    <n v="1620.066"/>
    <x v="3"/>
    <x v="2"/>
    <n v="17"/>
    <n v="476.49"/>
    <s v="Store D"/>
    <x v="1"/>
    <n v="0"/>
    <s v="Alice"/>
    <n v="8100.33"/>
    <x v="1"/>
    <x v="3"/>
    <n v="0"/>
    <s v="REG100033"/>
    <s v="Cust 6403"/>
    <n v="17.91"/>
    <x v="32"/>
    <d v="2023-04-11T00:00:00"/>
    <s v="Cameron"/>
  </r>
  <r>
    <d v="2025-05-08T00:00:00"/>
    <n v="1617.5907999999999"/>
    <n v="323.51816000000002"/>
    <x v="2"/>
    <x v="4"/>
    <n v="4"/>
    <n v="559.72"/>
    <s v="Store D"/>
    <x v="1"/>
    <n v="0.15"/>
    <s v="Diana"/>
    <n v="1903.048"/>
    <x v="0"/>
    <x v="1"/>
    <n v="0"/>
    <s v="REG100034"/>
    <s v="Cust 3953"/>
    <n v="41.91"/>
    <x v="33"/>
    <d v="2025-05-12T00:00:00"/>
    <s v="Ryan"/>
  </r>
  <r>
    <d v="2023-09-03T00:00:00"/>
    <n v="1149.96"/>
    <n v="229.99200000000002"/>
    <x v="2"/>
    <x v="5"/>
    <n v="14"/>
    <n v="82.14"/>
    <s v="Store C"/>
    <x v="1"/>
    <n v="0"/>
    <s v="Alice"/>
    <n v="1149.96"/>
    <x v="2"/>
    <x v="3"/>
    <n v="0"/>
    <s v="REG100035"/>
    <s v="Cust 7902"/>
    <n v="12.57"/>
    <x v="34"/>
    <d v="2023-09-11T00:00:00"/>
    <s v="Ryan"/>
  </r>
  <r>
    <d v="2025-03-21T00:00:00"/>
    <n v="2787.7232249999997"/>
    <n v="557.54464499999995"/>
    <x v="3"/>
    <x v="3"/>
    <n v="9"/>
    <n v="343.21"/>
    <s v="Store A"/>
    <x v="1"/>
    <n v="0.05"/>
    <s v="Carlos"/>
    <n v="2934.4454999999998"/>
    <x v="3"/>
    <x v="0"/>
    <n v="0"/>
    <s v="REG100036"/>
    <s v="Cust 9968"/>
    <n v="40.29"/>
    <x v="35"/>
    <d v="2025-03-28T00:00:00"/>
    <s v="Cameron"/>
  </r>
  <r>
    <d v="2025-06-20T00:00:00"/>
    <n v="1522.3580749999999"/>
    <n v="304.47161499999999"/>
    <x v="1"/>
    <x v="3"/>
    <n v="7"/>
    <n v="301.01"/>
    <s v="Store B"/>
    <x v="1"/>
    <n v="0.15"/>
    <s v="Diana"/>
    <n v="1791.0094999999999"/>
    <x v="4"/>
    <x v="1"/>
    <n v="1"/>
    <s v="REG100037"/>
    <s v="Cust 3787"/>
    <n v="34.97"/>
    <x v="36"/>
    <d v="2025-06-30T00:00:00"/>
    <s v="Sophie"/>
  </r>
  <r>
    <d v="2024-02-15T00:00:00"/>
    <n v="4854.9942000000001"/>
    <n v="970.99884000000009"/>
    <x v="3"/>
    <x v="6"/>
    <n v="14"/>
    <n v="428.13"/>
    <s v="Store C"/>
    <x v="1"/>
    <n v="0.1"/>
    <s v="Bob"/>
    <n v="5394.4380000000001"/>
    <x v="4"/>
    <x v="3"/>
    <n v="1"/>
    <s v="REG100038"/>
    <s v="Cust 2469"/>
    <n v="24.77"/>
    <x v="37"/>
    <d v="2024-02-25T00:00:00"/>
    <s v="Cameron"/>
  </r>
  <r>
    <d v="2023-06-09T00:00:00"/>
    <n v="727.23959999999988"/>
    <n v="145.44791999999998"/>
    <x v="3"/>
    <x v="0"/>
    <n v="2"/>
    <n v="503.28"/>
    <s v="Store D"/>
    <x v="1"/>
    <n v="0.15"/>
    <s v="Alice"/>
    <n v="855.57599999999991"/>
    <x v="1"/>
    <x v="3"/>
    <n v="0"/>
    <s v="REG100039"/>
    <s v="Cust 6468"/>
    <n v="34.79"/>
    <x v="38"/>
    <d v="2023-06-17T00:00:00"/>
    <s v="Cameron"/>
  </r>
  <r>
    <d v="2023-08-10T00:00:00"/>
    <n v="1904.796"/>
    <n v="380.95920000000001"/>
    <x v="1"/>
    <x v="6"/>
    <n v="5"/>
    <n v="470.32"/>
    <s v="Store A"/>
    <x v="1"/>
    <n v="0.1"/>
    <s v="Eva"/>
    <n v="2116.44"/>
    <x v="3"/>
    <x v="1"/>
    <n v="0"/>
    <s v="REG100040"/>
    <s v="Cust 5312"/>
    <n v="17.77"/>
    <x v="39"/>
    <d v="2023-08-14T00:00:00"/>
    <s v="Sophie"/>
  </r>
  <r>
    <d v="2024-06-16T00:00:00"/>
    <n v="1176.3184999999999"/>
    <n v="235.26369999999997"/>
    <x v="3"/>
    <x v="6"/>
    <n v="20"/>
    <n v="65.17"/>
    <s v="Store C"/>
    <x v="0"/>
    <n v="0.05"/>
    <s v="Eva"/>
    <n v="1238.23"/>
    <x v="1"/>
    <x v="0"/>
    <n v="0"/>
    <s v="REG100041"/>
    <s v="Cust 1482"/>
    <n v="21.72"/>
    <x v="40"/>
    <d v="2024-06-25T00:00:00"/>
    <s v="Cameron"/>
  </r>
  <r>
    <d v="2023-07-23T00:00:00"/>
    <n v="434.04"/>
    <n v="86.808000000000007"/>
    <x v="1"/>
    <x v="0"/>
    <n v="12"/>
    <n v="36.17"/>
    <s v="Store A"/>
    <x v="1"/>
    <n v="0"/>
    <s v="Eva"/>
    <n v="434.04"/>
    <x v="0"/>
    <x v="2"/>
    <n v="0"/>
    <s v="REG100042"/>
    <s v="Cust 7903"/>
    <n v="34.85"/>
    <x v="41"/>
    <d v="2023-07-26T00:00:00"/>
    <s v="Sophie"/>
  </r>
  <r>
    <d v="2023-05-20T00:00:00"/>
    <n v="1327.4059"/>
    <n v="265.48117999999999"/>
    <x v="3"/>
    <x v="6"/>
    <n v="4"/>
    <n v="459.31"/>
    <s v="Store D"/>
    <x v="0"/>
    <n v="0.15"/>
    <s v="Carlos"/>
    <n v="1561.654"/>
    <x v="1"/>
    <x v="2"/>
    <n v="1"/>
    <s v="REG100043"/>
    <s v="Cust 9605"/>
    <n v="27.39"/>
    <x v="42"/>
    <d v="2023-05-27T00:00:00"/>
    <s v="Cameron"/>
  </r>
  <r>
    <d v="2023-06-30T00:00:00"/>
    <n v="750.98829999999998"/>
    <n v="150.19766000000001"/>
    <x v="1"/>
    <x v="0"/>
    <n v="2"/>
    <n v="416.06"/>
    <s v="Store D"/>
    <x v="1"/>
    <n v="0.05"/>
    <s v="Eva"/>
    <n v="790.51400000000001"/>
    <x v="3"/>
    <x v="1"/>
    <n v="0"/>
    <s v="REG100044"/>
    <s v="Cust 3298"/>
    <n v="11.62"/>
    <x v="43"/>
    <d v="2023-07-04T00:00:00"/>
    <s v="Sophie"/>
  </r>
  <r>
    <d v="2024-06-04T00:00:00"/>
    <n v="4841.28"/>
    <n v="968.25599999999997"/>
    <x v="1"/>
    <x v="5"/>
    <n v="16"/>
    <n v="302.58"/>
    <s v="Store D"/>
    <x v="1"/>
    <n v="0"/>
    <s v="Alice"/>
    <n v="4841.28"/>
    <x v="0"/>
    <x v="2"/>
    <n v="1"/>
    <s v="REG100045"/>
    <s v="Cust 5533"/>
    <n v="20.76"/>
    <x v="44"/>
    <d v="2024-06-14T00:00:00"/>
    <s v="Sophie"/>
  </r>
  <r>
    <d v="2025-02-03T00:00:00"/>
    <n v="263.30067499999996"/>
    <n v="52.660134999999997"/>
    <x v="4"/>
    <x v="3"/>
    <n v="11"/>
    <n v="33.130000000000003"/>
    <s v="Store A"/>
    <x v="1"/>
    <n v="0.15"/>
    <s v="Frank"/>
    <n v="309.76549999999997"/>
    <x v="0"/>
    <x v="0"/>
    <n v="0"/>
    <s v="REG100046"/>
    <s v="Cust 6362"/>
    <n v="24.95"/>
    <x v="45"/>
    <d v="2025-02-05T00:00:00"/>
    <s v="Wendy"/>
  </r>
  <r>
    <d v="2024-01-09T00:00:00"/>
    <n v="3366.9656"/>
    <n v="673.39312000000007"/>
    <x v="0"/>
    <x v="5"/>
    <n v="8"/>
    <n v="582.52"/>
    <s v="Store D"/>
    <x v="1"/>
    <n v="0.15"/>
    <s v="Frank"/>
    <n v="3961.136"/>
    <x v="1"/>
    <x v="2"/>
    <n v="0"/>
    <s v="REG100047"/>
    <s v="Cust 4826"/>
    <n v="6.47"/>
    <x v="46"/>
    <d v="2024-01-13T00:00:00"/>
    <s v="Eric"/>
  </r>
  <r>
    <d v="2024-03-14T00:00:00"/>
    <n v="668.85750000000007"/>
    <n v="133.77150000000003"/>
    <x v="2"/>
    <x v="2"/>
    <n v="5"/>
    <n v="165.15"/>
    <s v="Store A"/>
    <x v="1"/>
    <n v="0.1"/>
    <s v="Eva"/>
    <n v="743.17500000000007"/>
    <x v="1"/>
    <x v="3"/>
    <n v="0"/>
    <s v="REG100048"/>
    <s v="Cust 2171"/>
    <n v="20.57"/>
    <x v="47"/>
    <d v="2024-03-16T00:00:00"/>
    <s v="Ryan"/>
  </r>
  <r>
    <d v="2024-09-06T00:00:00"/>
    <n v="2456.1242999999999"/>
    <n v="491.22486000000004"/>
    <x v="4"/>
    <x v="4"/>
    <n v="14"/>
    <n v="242.82"/>
    <s v="Store D"/>
    <x v="0"/>
    <n v="0.15"/>
    <s v="Alice"/>
    <n v="2889.558"/>
    <x v="4"/>
    <x v="2"/>
    <n v="1"/>
    <s v="REG100049"/>
    <s v="Cust 4005"/>
    <n v="20.71"/>
    <x v="48"/>
    <d v="2024-09-13T00:00:00"/>
    <s v="Wendy"/>
  </r>
  <r>
    <d v="2023-03-17T00:00:00"/>
    <n v="694.87469999999996"/>
    <n v="138.97494"/>
    <x v="0"/>
    <x v="4"/>
    <n v="13"/>
    <n v="65.989999999999995"/>
    <s v="Store A"/>
    <x v="0"/>
    <n v="0.1"/>
    <s v="Frank"/>
    <n v="772.08299999999997"/>
    <x v="4"/>
    <x v="2"/>
    <n v="0"/>
    <s v="REG100050"/>
    <s v="Cust 7032"/>
    <n v="12.87"/>
    <x v="49"/>
    <d v="2023-03-20T00:00:00"/>
    <s v="Eric"/>
  </r>
  <r>
    <d v="2025-01-17T00:00:00"/>
    <n v="503.38"/>
    <n v="100.676"/>
    <x v="4"/>
    <x v="3"/>
    <n v="2"/>
    <n v="251.69"/>
    <s v="Store C"/>
    <x v="0"/>
    <n v="0"/>
    <s v="Alice"/>
    <n v="503.38"/>
    <x v="3"/>
    <x v="0"/>
    <n v="0"/>
    <s v="REG100051"/>
    <s v="Cust 7167"/>
    <n v="42.49"/>
    <x v="50"/>
    <d v="2025-01-24T00:00:00"/>
    <s v="Wendy"/>
  </r>
  <r>
    <d v="2024-09-12T00:00:00"/>
    <n v="218.22210000000001"/>
    <n v="43.644420000000004"/>
    <x v="1"/>
    <x v="0"/>
    <n v="1"/>
    <n v="269.41000000000003"/>
    <s v="Store B"/>
    <x v="0"/>
    <n v="0.1"/>
    <s v="Eva"/>
    <n v="242.46899999999999"/>
    <x v="4"/>
    <x v="2"/>
    <n v="1"/>
    <s v="REG100052"/>
    <s v="Cust 5702"/>
    <n v="19.22"/>
    <x v="51"/>
    <d v="2024-09-18T00:00:00"/>
    <s v="Sophie"/>
  </r>
  <r>
    <d v="2024-01-05T00:00:00"/>
    <n v="670.19650000000001"/>
    <n v="134.0393"/>
    <x v="1"/>
    <x v="4"/>
    <n v="2"/>
    <n v="371.3"/>
    <s v="Store B"/>
    <x v="0"/>
    <n v="0.05"/>
    <s v="Bob"/>
    <n v="705.47"/>
    <x v="2"/>
    <x v="1"/>
    <n v="0"/>
    <s v="REG100053"/>
    <s v="Cust 4944"/>
    <n v="36.51"/>
    <x v="52"/>
    <d v="2024-01-15T00:00:00"/>
    <s v="Sophie"/>
  </r>
  <r>
    <d v="2024-04-19T00:00:00"/>
    <n v="2290.7873999999997"/>
    <n v="458.15747999999996"/>
    <x v="4"/>
    <x v="5"/>
    <n v="11"/>
    <n v="288.24"/>
    <s v="Store A"/>
    <x v="0"/>
    <n v="0.15"/>
    <s v="Diana"/>
    <n v="2695.0439999999999"/>
    <x v="0"/>
    <x v="3"/>
    <n v="0"/>
    <s v="REG100054"/>
    <s v="Cust 8149"/>
    <n v="37.39"/>
    <x v="53"/>
    <d v="2024-04-25T00:00:00"/>
    <s v="Wendy"/>
  </r>
  <r>
    <d v="2025-06-11T00:00:00"/>
    <n v="2310.6256250000001"/>
    <n v="462.12512500000003"/>
    <x v="3"/>
    <x v="5"/>
    <n v="11"/>
    <n v="232.75"/>
    <s v="Store D"/>
    <x v="0"/>
    <n v="0.05"/>
    <s v="Eva"/>
    <n v="2432.2375000000002"/>
    <x v="2"/>
    <x v="1"/>
    <n v="0"/>
    <s v="REG100055"/>
    <s v="Cust 3638"/>
    <n v="36.33"/>
    <x v="54"/>
    <d v="2025-06-21T00:00:00"/>
    <s v="Cameron"/>
  </r>
  <r>
    <d v="2025-03-06T00:00:00"/>
    <n v="1796.6840999999999"/>
    <n v="359.33681999999999"/>
    <x v="0"/>
    <x v="1"/>
    <n v="17"/>
    <n v="146.28"/>
    <s v="Store B"/>
    <x v="1"/>
    <n v="0.15"/>
    <s v="Carlos"/>
    <n v="2113.7460000000001"/>
    <x v="4"/>
    <x v="1"/>
    <n v="0"/>
    <s v="REG100056"/>
    <s v="Cust 9973"/>
    <n v="7.84"/>
    <x v="55"/>
    <d v="2025-03-15T00:00:00"/>
    <s v="Eric"/>
  </r>
  <r>
    <d v="2023-05-24T00:00:00"/>
    <n v="406.53899999999999"/>
    <n v="81.3078"/>
    <x v="0"/>
    <x v="3"/>
    <n v="5"/>
    <n v="100.38"/>
    <s v="Store C"/>
    <x v="1"/>
    <n v="0.1"/>
    <s v="Eva"/>
    <n v="451.71"/>
    <x v="1"/>
    <x v="2"/>
    <n v="1"/>
    <s v="REG100057"/>
    <s v="Cust 4214"/>
    <n v="18.350000000000001"/>
    <x v="56"/>
    <d v="2023-05-26T00:00:00"/>
    <s v="Eric"/>
  </r>
  <r>
    <d v="2023-01-27T00:00:00"/>
    <n v="3727.5777000000007"/>
    <n v="745.51554000000021"/>
    <x v="1"/>
    <x v="1"/>
    <n v="11"/>
    <n v="375.48"/>
    <s v="Store B"/>
    <x v="1"/>
    <n v="0.05"/>
    <s v="Bob"/>
    <n v="3923.766000000001"/>
    <x v="3"/>
    <x v="2"/>
    <n v="0"/>
    <s v="REG100058"/>
    <s v="Cust 2647"/>
    <n v="15.95"/>
    <x v="57"/>
    <d v="2023-02-03T00:00:00"/>
    <s v="Sophie"/>
  </r>
  <r>
    <d v="2024-03-21T00:00:00"/>
    <n v="5147.8780500000003"/>
    <n v="1029.5756100000001"/>
    <x v="1"/>
    <x v="0"/>
    <n v="18"/>
    <n v="316.89"/>
    <s v="Store B"/>
    <x v="0"/>
    <n v="0.05"/>
    <s v="Bob"/>
    <n v="5418.8190000000004"/>
    <x v="4"/>
    <x v="0"/>
    <n v="0"/>
    <s v="REG100059"/>
    <s v="Cust 3552"/>
    <n v="15.69"/>
    <x v="58"/>
    <d v="2024-03-27T00:00:00"/>
    <s v="Sophie"/>
  </r>
  <r>
    <d v="2025-01-25T00:00:00"/>
    <n v="4263.6170000000002"/>
    <n v="852.72340000000008"/>
    <x v="4"/>
    <x v="0"/>
    <n v="20"/>
    <n v="295.06"/>
    <s v="Store D"/>
    <x v="1"/>
    <n v="0.15"/>
    <s v="Frank"/>
    <n v="5016.0200000000004"/>
    <x v="0"/>
    <x v="1"/>
    <n v="1"/>
    <s v="REG100060"/>
    <s v="Cust 3354"/>
    <n v="13.66"/>
    <x v="59"/>
    <d v="2025-01-31T00:00:00"/>
    <s v="Wendy"/>
  </r>
  <r>
    <d v="2023-06-12T00:00:00"/>
    <n v="2413.44"/>
    <n v="482.68800000000005"/>
    <x v="3"/>
    <x v="1"/>
    <n v="8"/>
    <n v="301.68"/>
    <s v="Store D"/>
    <x v="1"/>
    <n v="0"/>
    <s v="Eva"/>
    <n v="2413.44"/>
    <x v="4"/>
    <x v="1"/>
    <n v="0"/>
    <s v="REG100061"/>
    <s v="Cust 3903"/>
    <n v="36.54"/>
    <x v="60"/>
    <d v="2023-06-21T00:00:00"/>
    <s v="Cameron"/>
  </r>
  <r>
    <d v="2025-03-22T00:00:00"/>
    <n v="1155.1977000000002"/>
    <n v="231.03954000000004"/>
    <x v="3"/>
    <x v="3"/>
    <n v="3"/>
    <n v="475.39"/>
    <s v="Store B"/>
    <x v="1"/>
    <n v="0.1"/>
    <s v="Alice"/>
    <n v="1283.5530000000001"/>
    <x v="1"/>
    <x v="3"/>
    <n v="0"/>
    <s v="REG100062"/>
    <s v="Cust 5358"/>
    <n v="15.62"/>
    <x v="61"/>
    <d v="2025-03-26T00:00:00"/>
    <s v="Cameron"/>
  </r>
  <r>
    <d v="2024-02-24T00:00:00"/>
    <n v="546.21"/>
    <n v="109.24200000000002"/>
    <x v="3"/>
    <x v="2"/>
    <n v="16"/>
    <n v="47.25"/>
    <s v="Store D"/>
    <x v="1"/>
    <n v="0.15"/>
    <s v="Bob"/>
    <n v="642.6"/>
    <x v="3"/>
    <x v="0"/>
    <n v="0"/>
    <s v="REG100063"/>
    <s v="Cust 8144"/>
    <n v="29.5"/>
    <x v="62"/>
    <d v="2024-02-27T00:00:00"/>
    <s v="Cameron"/>
  </r>
  <r>
    <d v="2023-12-09T00:00:00"/>
    <n v="7667.55"/>
    <n v="1533.5100000000002"/>
    <x v="1"/>
    <x v="3"/>
    <n v="15"/>
    <n v="511.17"/>
    <s v="Store B"/>
    <x v="0"/>
    <n v="0"/>
    <s v="Frank"/>
    <n v="7667.55"/>
    <x v="0"/>
    <x v="0"/>
    <n v="0"/>
    <s v="REG100064"/>
    <s v="Cust 6747"/>
    <n v="21.77"/>
    <x v="63"/>
    <d v="2023-12-12T00:00:00"/>
    <s v="Sophie"/>
  </r>
  <r>
    <d v="2023-10-01T00:00:00"/>
    <n v="161.7894"/>
    <n v="32.357880000000002"/>
    <x v="3"/>
    <x v="4"/>
    <n v="3"/>
    <n v="66.58"/>
    <s v="Store B"/>
    <x v="1"/>
    <n v="0.1"/>
    <s v="Frank"/>
    <n v="179.76599999999999"/>
    <x v="3"/>
    <x v="0"/>
    <n v="0"/>
    <s v="REG100065"/>
    <s v="Cust 8330"/>
    <n v="22.43"/>
    <x v="64"/>
    <d v="2023-10-05T00:00:00"/>
    <s v="Cameron"/>
  </r>
  <r>
    <d v="2023-07-31T00:00:00"/>
    <n v="2213.4714999999997"/>
    <n v="442.69429999999994"/>
    <x v="4"/>
    <x v="5"/>
    <n v="5"/>
    <n v="490.52"/>
    <s v="Store D"/>
    <x v="0"/>
    <n v="0.05"/>
    <s v="Frank"/>
    <n v="2329.9699999999998"/>
    <x v="0"/>
    <x v="3"/>
    <n v="0"/>
    <s v="REG100066"/>
    <s v="Cust 7186"/>
    <n v="12.24"/>
    <x v="65"/>
    <d v="2023-08-07T00:00:00"/>
    <s v="Wendy"/>
  </r>
  <r>
    <d v="2024-12-24T00:00:00"/>
    <n v="2931.0311999999999"/>
    <n v="586.20623999999998"/>
    <x v="1"/>
    <x v="3"/>
    <n v="8"/>
    <n v="405.96"/>
    <s v="Store A"/>
    <x v="0"/>
    <n v="0.05"/>
    <s v="Carlos"/>
    <n v="3085.2959999999998"/>
    <x v="2"/>
    <x v="2"/>
    <n v="0"/>
    <s v="REG100067"/>
    <s v="Cust 8287"/>
    <n v="41.27"/>
    <x v="66"/>
    <d v="2024-12-31T00:00:00"/>
    <s v="Sophie"/>
  </r>
  <r>
    <d v="2024-11-15T00:00:00"/>
    <n v="129.12209999999999"/>
    <n v="25.82442"/>
    <x v="2"/>
    <x v="1"/>
    <n v="1"/>
    <n v="159.41"/>
    <s v="Store B"/>
    <x v="1"/>
    <n v="0.1"/>
    <s v="Bob"/>
    <n v="143.46899999999999"/>
    <x v="2"/>
    <x v="0"/>
    <n v="0"/>
    <s v="REG100068"/>
    <s v="Cust 3986"/>
    <n v="35.14"/>
    <x v="67"/>
    <d v="2024-11-19T00:00:00"/>
    <s v="Ryan"/>
  </r>
  <r>
    <d v="2025-03-13T00:00:00"/>
    <n v="444.94440000000003"/>
    <n v="88.988880000000009"/>
    <x v="4"/>
    <x v="4"/>
    <n v="16"/>
    <n v="38.49"/>
    <s v="Store C"/>
    <x v="1"/>
    <n v="0.15"/>
    <s v="Carlos"/>
    <n v="523.46400000000006"/>
    <x v="3"/>
    <x v="1"/>
    <n v="0"/>
    <s v="REG100069"/>
    <s v="Cust 3213"/>
    <n v="8.3800000000000008"/>
    <x v="68"/>
    <d v="2025-03-22T00:00:00"/>
    <s v="Wendy"/>
  </r>
  <r>
    <d v="2024-03-03T00:00:00"/>
    <n v="3558.6015000000002"/>
    <n v="711.72030000000007"/>
    <x v="0"/>
    <x v="5"/>
    <n v="15"/>
    <n v="328.36"/>
    <s v="Store D"/>
    <x v="1"/>
    <n v="0.15"/>
    <s v="Alice"/>
    <n v="4186.59"/>
    <x v="1"/>
    <x v="2"/>
    <n v="0"/>
    <s v="REG100070"/>
    <s v="Cust 1907"/>
    <n v="15.76"/>
    <x v="69"/>
    <d v="2024-03-12T00:00:00"/>
    <s v="Eric"/>
  </r>
  <r>
    <d v="2023-02-11T00:00:00"/>
    <n v="8877.7620000000006"/>
    <n v="1775.5524000000003"/>
    <x v="3"/>
    <x v="5"/>
    <n v="20"/>
    <n v="548.01"/>
    <s v="Store A"/>
    <x v="0"/>
    <n v="0.1"/>
    <s v="Eva"/>
    <n v="9864.18"/>
    <x v="2"/>
    <x v="2"/>
    <n v="1"/>
    <s v="REG100071"/>
    <s v="Cust 4639"/>
    <n v="5.89"/>
    <x v="70"/>
    <d v="2023-02-14T00:00:00"/>
    <s v="Cameron"/>
  </r>
  <r>
    <d v="2023-10-26T00:00:00"/>
    <n v="5683.8096249999999"/>
    <n v="1136.761925"/>
    <x v="1"/>
    <x v="2"/>
    <n v="13"/>
    <n v="484.45"/>
    <s v="Store B"/>
    <x v="0"/>
    <n v="0.05"/>
    <s v="Carlos"/>
    <n v="5982.9575000000004"/>
    <x v="1"/>
    <x v="2"/>
    <n v="1"/>
    <s v="REG100072"/>
    <s v="Cust 4153"/>
    <n v="6.57"/>
    <x v="71"/>
    <d v="2023-11-05T00:00:00"/>
    <s v="Sophie"/>
  </r>
  <r>
    <d v="2023-10-21T00:00:00"/>
    <n v="2297.6927999999998"/>
    <n v="459.53855999999996"/>
    <x v="1"/>
    <x v="4"/>
    <n v="13"/>
    <n v="195.84"/>
    <s v="Store A"/>
    <x v="0"/>
    <n v="0.05"/>
    <s v="Alice"/>
    <n v="2418.6239999999998"/>
    <x v="2"/>
    <x v="3"/>
    <n v="0"/>
    <s v="REG100073"/>
    <s v="Cust 7096"/>
    <n v="33.520000000000003"/>
    <x v="72"/>
    <d v="2023-10-28T00:00:00"/>
    <s v="Sophie"/>
  </r>
  <r>
    <d v="2024-01-14T00:00:00"/>
    <n v="411.00135"/>
    <n v="82.200270000000003"/>
    <x v="3"/>
    <x v="5"/>
    <n v="19"/>
    <n v="29.94"/>
    <s v="Store D"/>
    <x v="1"/>
    <n v="0.15"/>
    <s v="Diana"/>
    <n v="483.53100000000001"/>
    <x v="3"/>
    <x v="0"/>
    <n v="0"/>
    <s v="REG100074"/>
    <s v="Cust 3806"/>
    <n v="33.590000000000003"/>
    <x v="73"/>
    <d v="2024-01-20T00:00:00"/>
    <s v="Cameron"/>
  </r>
  <r>
    <d v="2023-07-27T00:00:00"/>
    <n v="4486.6709999999994"/>
    <n v="897.3341999999999"/>
    <x v="3"/>
    <x v="2"/>
    <n v="10"/>
    <n v="553.91"/>
    <s v="Store D"/>
    <x v="0"/>
    <n v="0.1"/>
    <s v="Eva"/>
    <n v="4985.1899999999996"/>
    <x v="0"/>
    <x v="3"/>
    <n v="0"/>
    <s v="REG100075"/>
    <s v="Cust 9345"/>
    <n v="31.3"/>
    <x v="74"/>
    <d v="2023-07-31T00:00:00"/>
    <s v="Cameron"/>
  </r>
  <r>
    <d v="2024-10-23T00:00:00"/>
    <n v="5052.1967999999997"/>
    <n v="1010.43936"/>
    <x v="1"/>
    <x v="1"/>
    <n v="14"/>
    <n v="445.52"/>
    <s v="Store B"/>
    <x v="1"/>
    <n v="0.1"/>
    <s v="Bob"/>
    <n v="5613.5519999999997"/>
    <x v="0"/>
    <x v="1"/>
    <n v="0"/>
    <s v="REG100076"/>
    <s v="Cust 4456"/>
    <n v="14.41"/>
    <x v="75"/>
    <d v="2024-10-25T00:00:00"/>
    <s v="Sophie"/>
  </r>
  <r>
    <d v="2023-09-26T00:00:00"/>
    <n v="1992.58275"/>
    <n v="398.51655000000005"/>
    <x v="1"/>
    <x v="3"/>
    <n v="5"/>
    <n v="551.58000000000004"/>
    <s v="Store B"/>
    <x v="1"/>
    <n v="0.15"/>
    <s v="Alice"/>
    <n v="2344.2150000000001"/>
    <x v="0"/>
    <x v="2"/>
    <n v="1"/>
    <s v="REG100077"/>
    <s v="Cust 1089"/>
    <n v="7.87"/>
    <x v="76"/>
    <d v="2023-10-01T00:00:00"/>
    <s v="Sophie"/>
  </r>
  <r>
    <d v="2023-12-16T00:00:00"/>
    <n v="3138.2"/>
    <n v="627.64"/>
    <x v="0"/>
    <x v="1"/>
    <n v="13"/>
    <n v="241.4"/>
    <s v="Store D"/>
    <x v="1"/>
    <n v="0"/>
    <s v="Carlos"/>
    <n v="3138.2"/>
    <x v="1"/>
    <x v="1"/>
    <n v="0"/>
    <s v="REG100078"/>
    <s v="Cust 7230"/>
    <n v="49.05"/>
    <x v="77"/>
    <d v="2023-12-20T00:00:00"/>
    <s v="Eric"/>
  </r>
  <r>
    <d v="2024-01-02T00:00:00"/>
    <n v="6686.67"/>
    <n v="1337.3340000000001"/>
    <x v="3"/>
    <x v="6"/>
    <n v="19"/>
    <n v="351.93"/>
    <s v="Store A"/>
    <x v="0"/>
    <n v="0"/>
    <s v="Alice"/>
    <n v="6686.67"/>
    <x v="2"/>
    <x v="3"/>
    <n v="0"/>
    <s v="REG100079"/>
    <s v="Cust 6597"/>
    <n v="39.979999999999997"/>
    <x v="78"/>
    <d v="2024-01-05T00:00:00"/>
    <s v="Cameron"/>
  </r>
  <r>
    <d v="2024-02-16T00:00:00"/>
    <n v="302.33749999999998"/>
    <n v="60.467500000000001"/>
    <x v="2"/>
    <x v="1"/>
    <n v="4"/>
    <n v="83.75"/>
    <s v="Store A"/>
    <x v="1"/>
    <n v="0.05"/>
    <s v="Alice"/>
    <n v="318.25"/>
    <x v="3"/>
    <x v="1"/>
    <n v="1"/>
    <s v="REG100080"/>
    <s v="Cust 4108"/>
    <n v="38.82"/>
    <x v="79"/>
    <d v="2024-02-25T00:00:00"/>
    <s v="Ryan"/>
  </r>
  <r>
    <d v="2024-05-03T00:00:00"/>
    <n v="1506.2318749999999"/>
    <n v="301.246375"/>
    <x v="0"/>
    <x v="4"/>
    <n v="5"/>
    <n v="416.95"/>
    <s v="Store A"/>
    <x v="0"/>
    <n v="0.15"/>
    <s v="Frank"/>
    <n v="1772.0374999999999"/>
    <x v="0"/>
    <x v="3"/>
    <n v="1"/>
    <s v="REG100081"/>
    <s v="Cust 2883"/>
    <n v="24.03"/>
    <x v="80"/>
    <d v="2024-05-12T00:00:00"/>
    <s v="Eric"/>
  </r>
  <r>
    <d v="2023-05-27T00:00:00"/>
    <n v="2313.7753499999999"/>
    <n v="462.75506999999999"/>
    <x v="4"/>
    <x v="4"/>
    <n v="18"/>
    <n v="142.43"/>
    <s v="Store C"/>
    <x v="1"/>
    <n v="0.05"/>
    <s v="Bob"/>
    <n v="2435.5529999999999"/>
    <x v="2"/>
    <x v="1"/>
    <n v="1"/>
    <s v="REG100082"/>
    <s v="Cust 5018"/>
    <n v="12.38"/>
    <x v="81"/>
    <d v="2023-06-02T00:00:00"/>
    <s v="Wendy"/>
  </r>
  <r>
    <d v="2023-01-05T00:00:00"/>
    <n v="6990.24"/>
    <n v="1398.048"/>
    <x v="0"/>
    <x v="2"/>
    <n v="12"/>
    <n v="582.52"/>
    <s v="Store A"/>
    <x v="0"/>
    <n v="0"/>
    <s v="Bob"/>
    <n v="6990.24"/>
    <x v="2"/>
    <x v="0"/>
    <n v="0"/>
    <s v="REG100083"/>
    <s v="Cust 1231"/>
    <n v="41.16"/>
    <x v="82"/>
    <d v="2023-01-11T00:00:00"/>
    <s v="Eric"/>
  </r>
  <r>
    <d v="2025-05-21T00:00:00"/>
    <n v="1872.1419999999998"/>
    <n v="374.42840000000001"/>
    <x v="0"/>
    <x v="3"/>
    <n v="20"/>
    <n v="129.56"/>
    <s v="Store A"/>
    <x v="1"/>
    <n v="0.15"/>
    <s v="Diana"/>
    <n v="2202.52"/>
    <x v="0"/>
    <x v="2"/>
    <n v="0"/>
    <s v="REG100084"/>
    <s v="Cust 2209"/>
    <n v="40.21"/>
    <x v="83"/>
    <d v="2025-05-23T00:00:00"/>
    <s v="Eric"/>
  </r>
  <r>
    <d v="2023-07-21T00:00:00"/>
    <n v="7340.94"/>
    <n v="1468.1880000000001"/>
    <x v="3"/>
    <x v="5"/>
    <n v="17"/>
    <n v="431.82"/>
    <s v="Store B"/>
    <x v="1"/>
    <n v="0"/>
    <s v="Eva"/>
    <n v="7340.94"/>
    <x v="1"/>
    <x v="0"/>
    <n v="1"/>
    <s v="REG100085"/>
    <s v="Cust 6684"/>
    <n v="37.75"/>
    <x v="12"/>
    <d v="2023-07-25T00:00:00"/>
    <s v="Cameron"/>
  </r>
  <r>
    <d v="2025-05-25T00:00:00"/>
    <n v="237.75"/>
    <n v="47.550000000000004"/>
    <x v="0"/>
    <x v="0"/>
    <n v="15"/>
    <n v="15.85"/>
    <s v="Store C"/>
    <x v="1"/>
    <n v="0"/>
    <s v="Bob"/>
    <n v="237.75"/>
    <x v="3"/>
    <x v="2"/>
    <n v="0"/>
    <s v="REG100086"/>
    <s v="Cust 5289"/>
    <n v="23.49"/>
    <x v="84"/>
    <d v="2025-06-03T00:00:00"/>
    <s v="Eric"/>
  </r>
  <r>
    <d v="2024-11-16T00:00:00"/>
    <n v="8883.1080000000002"/>
    <n v="1776.6216000000002"/>
    <x v="1"/>
    <x v="5"/>
    <n v="20"/>
    <n v="548.34"/>
    <s v="Store B"/>
    <x v="1"/>
    <n v="0.1"/>
    <s v="Bob"/>
    <n v="9870.1200000000008"/>
    <x v="1"/>
    <x v="2"/>
    <n v="0"/>
    <s v="REG100087"/>
    <s v="Cust 9159"/>
    <n v="33.47"/>
    <x v="85"/>
    <d v="2024-11-22T00:00:00"/>
    <s v="Sophie"/>
  </r>
  <r>
    <d v="2023-11-19T00:00:00"/>
    <n v="7592.9852000000001"/>
    <n v="1518.5970400000001"/>
    <x v="2"/>
    <x v="0"/>
    <n v="16"/>
    <n v="525.83000000000004"/>
    <s v="Store C"/>
    <x v="0"/>
    <n v="0.05"/>
    <s v="Frank"/>
    <n v="7992.616"/>
    <x v="0"/>
    <x v="3"/>
    <n v="0"/>
    <s v="REG100088"/>
    <s v="Cust 4844"/>
    <n v="36.47"/>
    <x v="86"/>
    <d v="2023-11-25T00:00:00"/>
    <s v="Ryan"/>
  </r>
  <r>
    <d v="2025-01-12T00:00:00"/>
    <n v="5569.0567499999997"/>
    <n v="1113.8113499999999"/>
    <x v="3"/>
    <x v="0"/>
    <n v="15"/>
    <n v="411.38"/>
    <s v="Store A"/>
    <x v="0"/>
    <n v="0.05"/>
    <s v="Bob"/>
    <n v="5862.165"/>
    <x v="0"/>
    <x v="1"/>
    <n v="0"/>
    <s v="REG100089"/>
    <s v="Cust 3273"/>
    <n v="48.51"/>
    <x v="87"/>
    <d v="2025-01-21T00:00:00"/>
    <s v="Cameron"/>
  </r>
  <r>
    <d v="2023-03-29T00:00:00"/>
    <n v="8617.6305000000011"/>
    <n v="1723.5261000000003"/>
    <x v="2"/>
    <x v="4"/>
    <n v="19"/>
    <n v="559.95000000000005"/>
    <s v="Store A"/>
    <x v="0"/>
    <n v="0.1"/>
    <s v="Carlos"/>
    <n v="9575.1450000000004"/>
    <x v="2"/>
    <x v="2"/>
    <n v="0"/>
    <s v="REG100090"/>
    <s v="Cust 8160"/>
    <n v="18.3"/>
    <x v="88"/>
    <d v="2023-04-03T00:00:00"/>
    <s v="Ryan"/>
  </r>
  <r>
    <d v="2025-03-01T00:00:00"/>
    <n v="1298.8779999999999"/>
    <n v="259.7756"/>
    <x v="2"/>
    <x v="2"/>
    <n v="8"/>
    <n v="179.9"/>
    <s v="Store C"/>
    <x v="1"/>
    <n v="0.05"/>
    <s v="Carlos"/>
    <n v="1367.24"/>
    <x v="0"/>
    <x v="1"/>
    <n v="0"/>
    <s v="REG100091"/>
    <s v="Cust 4439"/>
    <n v="14.8"/>
    <x v="89"/>
    <d v="2025-03-05T00:00:00"/>
    <s v="Ryan"/>
  </r>
  <r>
    <d v="2023-10-18T00:00:00"/>
    <n v="4284.2804999999989"/>
    <n v="856.85609999999986"/>
    <x v="2"/>
    <x v="3"/>
    <n v="12"/>
    <n v="494.15"/>
    <s v="Store B"/>
    <x v="0"/>
    <n v="0.15"/>
    <s v="Diana"/>
    <n v="5040.329999999999"/>
    <x v="0"/>
    <x v="1"/>
    <n v="1"/>
    <s v="REG100092"/>
    <s v="Cust 1127"/>
    <n v="18.05"/>
    <x v="90"/>
    <d v="2023-10-20T00:00:00"/>
    <s v="Ryan"/>
  </r>
  <r>
    <d v="2025-04-13T00:00:00"/>
    <n v="4629.8999999999996"/>
    <n v="925.98"/>
    <x v="0"/>
    <x v="2"/>
    <n v="10"/>
    <n v="462.99"/>
    <s v="Store C"/>
    <x v="0"/>
    <n v="0"/>
    <s v="Bob"/>
    <n v="4629.8999999999996"/>
    <x v="2"/>
    <x v="2"/>
    <n v="0"/>
    <s v="REG100093"/>
    <s v="Cust 4696"/>
    <n v="5.01"/>
    <x v="91"/>
    <d v="2025-04-15T00:00:00"/>
    <s v="Eric"/>
  </r>
  <r>
    <d v="2025-05-13T00:00:00"/>
    <n v="2907.5661999999998"/>
    <n v="581.51324"/>
    <x v="3"/>
    <x v="0"/>
    <n v="7"/>
    <n v="460.24"/>
    <s v="Store A"/>
    <x v="1"/>
    <n v="0.05"/>
    <s v="Alice"/>
    <n v="3060.596"/>
    <x v="4"/>
    <x v="1"/>
    <n v="1"/>
    <s v="REG100094"/>
    <s v="Cust 3014"/>
    <n v="11.54"/>
    <x v="92"/>
    <d v="2025-05-23T00:00:00"/>
    <s v="Cameron"/>
  </r>
  <r>
    <d v="2024-04-21T00:00:00"/>
    <n v="4748.8105999999998"/>
    <n v="949.76211999999998"/>
    <x v="4"/>
    <x v="6"/>
    <n v="17"/>
    <n v="309.52"/>
    <s v="Store B"/>
    <x v="0"/>
    <n v="0.05"/>
    <s v="Eva"/>
    <n v="4998.7479999999996"/>
    <x v="0"/>
    <x v="0"/>
    <n v="0"/>
    <s v="REG100095"/>
    <s v="Cust 2539"/>
    <n v="6.11"/>
    <x v="93"/>
    <d v="2024-04-27T00:00:00"/>
    <s v="Wendy"/>
  </r>
  <r>
    <d v="2025-01-31T00:00:00"/>
    <n v="292.256575"/>
    <n v="58.451315000000001"/>
    <x v="3"/>
    <x v="4"/>
    <n v="1"/>
    <n v="323.83"/>
    <s v="Store B"/>
    <x v="0"/>
    <n v="0.05"/>
    <s v="Eva"/>
    <n v="307.63850000000002"/>
    <x v="2"/>
    <x v="2"/>
    <n v="0"/>
    <s v="REG100096"/>
    <s v="Cust 3916"/>
    <n v="27.48"/>
    <x v="94"/>
    <d v="2025-02-08T00:00:00"/>
    <s v="Cameron"/>
  </r>
  <r>
    <d v="2025-03-14T00:00:00"/>
    <n v="5030.7"/>
    <n v="1006.14"/>
    <x v="3"/>
    <x v="3"/>
    <n v="10"/>
    <n v="503.07"/>
    <s v="Store C"/>
    <x v="1"/>
    <n v="0"/>
    <s v="Bob"/>
    <n v="5030.7"/>
    <x v="2"/>
    <x v="0"/>
    <n v="0"/>
    <s v="REG100097"/>
    <s v="Cust 6329"/>
    <n v="44.61"/>
    <x v="95"/>
    <d v="2025-03-19T00:00:00"/>
    <s v="Cameron"/>
  </r>
  <r>
    <d v="2024-05-26T00:00:00"/>
    <n v="7104.7759999999989"/>
    <n v="1420.9551999999999"/>
    <x v="4"/>
    <x v="0"/>
    <n v="20"/>
    <n v="491.68"/>
    <s v="Store D"/>
    <x v="0"/>
    <n v="0.15"/>
    <s v="Alice"/>
    <n v="8358.56"/>
    <x v="0"/>
    <x v="1"/>
    <n v="1"/>
    <s v="REG100098"/>
    <s v="Cust 4384"/>
    <n v="43.46"/>
    <x v="96"/>
    <d v="2024-05-29T00:00:00"/>
    <s v="Wendy"/>
  </r>
  <r>
    <d v="2023-07-22T00:00:00"/>
    <n v="7187.1941249999991"/>
    <n v="1437.438825"/>
    <x v="2"/>
    <x v="1"/>
    <n v="17"/>
    <n v="468.45"/>
    <s v="Store A"/>
    <x v="1"/>
    <n v="0.05"/>
    <s v="Carlos"/>
    <n v="7565.4674999999997"/>
    <x v="2"/>
    <x v="0"/>
    <n v="0"/>
    <s v="REG100099"/>
    <s v="Cust 7756"/>
    <n v="17.88"/>
    <x v="97"/>
    <d v="2023-07-26T00:00:00"/>
    <s v="Ryan"/>
  </r>
  <r>
    <d v="2024-03-21T00:00:00"/>
    <n v="3192.9875999999999"/>
    <n v="638.59752000000003"/>
    <x v="2"/>
    <x v="0"/>
    <n v="11"/>
    <n v="401.76"/>
    <s v="Store D"/>
    <x v="1"/>
    <n v="0.15"/>
    <s v="Frank"/>
    <n v="3756.4560000000001"/>
    <x v="1"/>
    <x v="1"/>
    <n v="0"/>
    <s v="REG100100"/>
    <s v="Cust 6086"/>
    <n v="48.03"/>
    <x v="58"/>
    <d v="2024-03-30T00:00:00"/>
    <s v="Ryan"/>
  </r>
  <r>
    <d v="2023-04-05T00:00:00"/>
    <n v="663"/>
    <n v="132.6"/>
    <x v="4"/>
    <x v="6"/>
    <n v="3"/>
    <n v="221"/>
    <s v="Store B"/>
    <x v="0"/>
    <n v="0"/>
    <s v="Frank"/>
    <n v="663"/>
    <x v="4"/>
    <x v="0"/>
    <n v="0"/>
    <s v="REG100101"/>
    <s v="Cust 3845"/>
    <n v="32.31"/>
    <x v="32"/>
    <d v="2023-04-08T00:00:00"/>
    <s v="Wendy"/>
  </r>
  <r>
    <d v="2024-08-26T00:00:00"/>
    <n v="1020.4567499999999"/>
    <n v="204.09135000000001"/>
    <x v="0"/>
    <x v="4"/>
    <n v="6"/>
    <n v="188.45"/>
    <s v="Store C"/>
    <x v="0"/>
    <n v="0.05"/>
    <s v="Alice"/>
    <n v="1074.165"/>
    <x v="1"/>
    <x v="3"/>
    <n v="0"/>
    <s v="REG100102"/>
    <s v="Cust 9996"/>
    <n v="6.77"/>
    <x v="98"/>
    <d v="2024-09-01T00:00:00"/>
    <s v="Eric"/>
  </r>
  <r>
    <d v="2024-07-07T00:00:00"/>
    <n v="1698.6"/>
    <n v="339.72"/>
    <x v="2"/>
    <x v="2"/>
    <n v="3"/>
    <n v="566.20000000000005"/>
    <s v="Store D"/>
    <x v="1"/>
    <n v="0"/>
    <s v="Bob"/>
    <n v="1698.6"/>
    <x v="1"/>
    <x v="0"/>
    <n v="1"/>
    <s v="REG100103"/>
    <s v="Cust 1711"/>
    <n v="28.97"/>
    <x v="99"/>
    <d v="2024-07-17T00:00:00"/>
    <s v="Ryan"/>
  </r>
  <r>
    <d v="2023-09-29T00:00:00"/>
    <n v="2111.1821500000001"/>
    <n v="422.23643000000004"/>
    <x v="0"/>
    <x v="4"/>
    <n v="14"/>
    <n v="167.09"/>
    <s v="Store D"/>
    <x v="1"/>
    <n v="0.05"/>
    <s v="Alice"/>
    <n v="2222.297"/>
    <x v="1"/>
    <x v="1"/>
    <n v="1"/>
    <s v="REG100104"/>
    <s v="Cust 4522"/>
    <n v="47.05"/>
    <x v="100"/>
    <d v="2023-10-08T00:00:00"/>
    <s v="Eric"/>
  </r>
  <r>
    <d v="2023-10-04T00:00:00"/>
    <n v="468.63359999999994"/>
    <n v="93.72672"/>
    <x v="4"/>
    <x v="4"/>
    <n v="16"/>
    <n v="36.159999999999997"/>
    <s v="Store C"/>
    <x v="0"/>
    <n v="0.1"/>
    <s v="Carlos"/>
    <n v="520.70399999999995"/>
    <x v="3"/>
    <x v="0"/>
    <n v="0"/>
    <s v="REG100105"/>
    <s v="Cust 4233"/>
    <n v="26.64"/>
    <x v="101"/>
    <d v="2023-10-11T00:00:00"/>
    <s v="Wendy"/>
  </r>
  <r>
    <d v="2025-06-09T00:00:00"/>
    <n v="133.46169999999998"/>
    <n v="26.692339999999998"/>
    <x v="3"/>
    <x v="6"/>
    <n v="2"/>
    <n v="73.94"/>
    <s v="Store B"/>
    <x v="0"/>
    <n v="0.05"/>
    <s v="Carlos"/>
    <n v="140.48599999999999"/>
    <x v="3"/>
    <x v="1"/>
    <n v="0"/>
    <s v="REG100106"/>
    <s v="Cust 4121"/>
    <n v="28.05"/>
    <x v="102"/>
    <d v="2025-06-16T00:00:00"/>
    <s v="Cameron"/>
  </r>
  <r>
    <d v="2025-06-12T00:00:00"/>
    <n v="5954.9903999999997"/>
    <n v="1190.9980800000001"/>
    <x v="0"/>
    <x v="6"/>
    <n v="16"/>
    <n v="459.49"/>
    <s v="Store A"/>
    <x v="0"/>
    <n v="0.1"/>
    <s v="Eva"/>
    <n v="6616.6559999999999"/>
    <x v="0"/>
    <x v="1"/>
    <n v="0"/>
    <s v="REG100107"/>
    <s v="Cust 9092"/>
    <n v="26.99"/>
    <x v="103"/>
    <d v="2025-06-14T00:00:00"/>
    <s v="Eric"/>
  </r>
  <r>
    <d v="2024-06-29T00:00:00"/>
    <n v="504.15"/>
    <n v="100.83"/>
    <x v="0"/>
    <x v="3"/>
    <n v="3"/>
    <n v="168.05"/>
    <s v="Store A"/>
    <x v="1"/>
    <n v="0"/>
    <s v="Carlos"/>
    <n v="504.15"/>
    <x v="4"/>
    <x v="3"/>
    <n v="1"/>
    <s v="REG100108"/>
    <s v="Cust 9090"/>
    <n v="21.08"/>
    <x v="104"/>
    <d v="2024-07-06T00:00:00"/>
    <s v="Eric"/>
  </r>
  <r>
    <d v="2024-03-23T00:00:00"/>
    <n v="379.7170999999999"/>
    <n v="75.943419999999989"/>
    <x v="2"/>
    <x v="6"/>
    <n v="14"/>
    <n v="37.54"/>
    <s v="Store B"/>
    <x v="1"/>
    <n v="0.15"/>
    <s v="Alice"/>
    <n v="446.72599999999989"/>
    <x v="2"/>
    <x v="3"/>
    <n v="1"/>
    <s v="REG100109"/>
    <s v="Cust 1983"/>
    <n v="49.6"/>
    <x v="105"/>
    <d v="2024-04-02T00:00:00"/>
    <s v="Ryan"/>
  </r>
  <r>
    <d v="2024-07-14T00:00:00"/>
    <n v="604.64"/>
    <n v="120.928"/>
    <x v="1"/>
    <x v="5"/>
    <n v="4"/>
    <n v="151.16"/>
    <s v="Store B"/>
    <x v="0"/>
    <n v="0"/>
    <s v="Alice"/>
    <n v="604.64"/>
    <x v="1"/>
    <x v="1"/>
    <n v="1"/>
    <s v="REG100110"/>
    <s v="Cust 8834"/>
    <n v="41.4"/>
    <x v="106"/>
    <d v="2024-07-21T00:00:00"/>
    <s v="Sophie"/>
  </r>
  <r>
    <d v="2024-03-15T00:00:00"/>
    <n v="1082.0465999999999"/>
    <n v="216.40931999999998"/>
    <x v="1"/>
    <x v="5"/>
    <n v="17"/>
    <n v="78.58"/>
    <s v="Store A"/>
    <x v="0"/>
    <n v="0.1"/>
    <s v="Bob"/>
    <n v="1202.2739999999999"/>
    <x v="1"/>
    <x v="2"/>
    <n v="0"/>
    <s v="REG100111"/>
    <s v="Cust 9780"/>
    <n v="8.02"/>
    <x v="107"/>
    <d v="2024-03-25T00:00:00"/>
    <s v="Sophie"/>
  </r>
  <r>
    <d v="2025-04-19T00:00:00"/>
    <n v="505.35487499999988"/>
    <n v="101.07097499999998"/>
    <x v="3"/>
    <x v="3"/>
    <n v="15"/>
    <n v="37.33"/>
    <s v="Store B"/>
    <x v="1"/>
    <n v="0.05"/>
    <s v="Carlos"/>
    <n v="531.95249999999987"/>
    <x v="4"/>
    <x v="3"/>
    <n v="1"/>
    <s v="REG100112"/>
    <s v="Cust 1293"/>
    <n v="43.69"/>
    <x v="108"/>
    <d v="2025-04-24T00:00:00"/>
    <s v="Cameron"/>
  </r>
  <r>
    <d v="2024-02-15T00:00:00"/>
    <n v="6983.9451000000008"/>
    <n v="1396.7890200000002"/>
    <x v="4"/>
    <x v="5"/>
    <n v="18"/>
    <n v="537.02"/>
    <s v="Store A"/>
    <x v="0"/>
    <n v="0.15"/>
    <s v="Carlos"/>
    <n v="8216.4060000000009"/>
    <x v="3"/>
    <x v="1"/>
    <n v="0"/>
    <s v="REG100113"/>
    <s v="Cust 3173"/>
    <n v="23.94"/>
    <x v="37"/>
    <d v="2024-02-20T00:00:00"/>
    <s v="Wendy"/>
  </r>
  <r>
    <d v="2024-01-25T00:00:00"/>
    <n v="1078"/>
    <n v="215.60000000000002"/>
    <x v="0"/>
    <x v="2"/>
    <n v="5"/>
    <n v="215.6"/>
    <s v="Store C"/>
    <x v="0"/>
    <n v="0"/>
    <s v="Frank"/>
    <n v="1078"/>
    <x v="0"/>
    <x v="2"/>
    <n v="0"/>
    <s v="REG100114"/>
    <s v="Cust 8641"/>
    <n v="28.36"/>
    <x v="109"/>
    <d v="2024-02-04T00:00:00"/>
    <s v="Eric"/>
  </r>
  <r>
    <d v="2025-04-15T00:00:00"/>
    <n v="3771"/>
    <n v="754.2"/>
    <x v="3"/>
    <x v="0"/>
    <n v="18"/>
    <n v="209.5"/>
    <s v="Store D"/>
    <x v="0"/>
    <n v="0"/>
    <s v="Carlos"/>
    <n v="3771"/>
    <x v="2"/>
    <x v="0"/>
    <n v="0"/>
    <s v="REG100115"/>
    <s v="Cust 7656"/>
    <n v="38.229999999999997"/>
    <x v="110"/>
    <d v="2025-04-23T00:00:00"/>
    <s v="Cameron"/>
  </r>
  <r>
    <d v="2025-04-15T00:00:00"/>
    <n v="2261.3904000000002"/>
    <n v="452.27808000000005"/>
    <x v="3"/>
    <x v="3"/>
    <n v="8"/>
    <n v="348.98"/>
    <s v="Store A"/>
    <x v="1"/>
    <n v="0.1"/>
    <s v="Frank"/>
    <n v="2512.6559999999999"/>
    <x v="0"/>
    <x v="0"/>
    <n v="0"/>
    <s v="REG100116"/>
    <s v="Cust 5523"/>
    <n v="19.170000000000002"/>
    <x v="110"/>
    <d v="2025-04-20T00:00:00"/>
    <s v="Cameron"/>
  </r>
  <r>
    <d v="2024-08-11T00:00:00"/>
    <n v="521.89769999999999"/>
    <n v="104.37954000000001"/>
    <x v="4"/>
    <x v="6"/>
    <n v="2"/>
    <n v="289.14"/>
    <s v="Store C"/>
    <x v="1"/>
    <n v="0.05"/>
    <s v="Diana"/>
    <n v="549.36599999999999"/>
    <x v="0"/>
    <x v="1"/>
    <n v="0"/>
    <s v="REG100117"/>
    <s v="Cust 2015"/>
    <n v="5.13"/>
    <x v="111"/>
    <d v="2024-08-13T00:00:00"/>
    <s v="Wendy"/>
  </r>
  <r>
    <d v="2023-12-01T00:00:00"/>
    <n v="1984.65"/>
    <n v="396.93000000000006"/>
    <x v="1"/>
    <x v="2"/>
    <n v="5"/>
    <n v="396.93"/>
    <s v="Store B"/>
    <x v="0"/>
    <n v="0"/>
    <s v="Diana"/>
    <n v="1984.65"/>
    <x v="2"/>
    <x v="0"/>
    <n v="0"/>
    <s v="REG100118"/>
    <s v="Cust 6895"/>
    <n v="48.63"/>
    <x v="112"/>
    <d v="2023-12-08T00:00:00"/>
    <s v="Sophie"/>
  </r>
  <r>
    <d v="2023-08-06T00:00:00"/>
    <n v="4589.8442500000001"/>
    <n v="917.96885000000009"/>
    <x v="3"/>
    <x v="0"/>
    <n v="10"/>
    <n v="508.57"/>
    <s v="Store D"/>
    <x v="1"/>
    <n v="0.05"/>
    <s v="Bob"/>
    <n v="4831.415"/>
    <x v="0"/>
    <x v="1"/>
    <n v="0"/>
    <s v="REG100119"/>
    <s v="Cust 1797"/>
    <n v="9.35"/>
    <x v="23"/>
    <d v="2023-08-11T00:00:00"/>
    <s v="Cameron"/>
  </r>
  <r>
    <d v="2024-01-24T00:00:00"/>
    <n v="2313.1251000000002"/>
    <n v="462.62502000000006"/>
    <x v="3"/>
    <x v="0"/>
    <n v="11"/>
    <n v="259.61"/>
    <s v="Store C"/>
    <x v="0"/>
    <n v="0.1"/>
    <s v="Carlos"/>
    <n v="2570.1390000000001"/>
    <x v="4"/>
    <x v="0"/>
    <n v="0"/>
    <s v="REG100120"/>
    <s v="Cust 9969"/>
    <n v="13.73"/>
    <x v="113"/>
    <d v="2024-01-31T00:00:00"/>
    <s v="Cameron"/>
  </r>
  <r>
    <d v="2024-03-07T00:00:00"/>
    <n v="2819.61"/>
    <n v="563.92200000000003"/>
    <x v="3"/>
    <x v="3"/>
    <n v="9"/>
    <n v="313.29000000000002"/>
    <s v="Store D"/>
    <x v="1"/>
    <n v="0"/>
    <s v="Carlos"/>
    <n v="2819.61"/>
    <x v="0"/>
    <x v="0"/>
    <n v="0"/>
    <s v="REG100121"/>
    <s v="Cust 1815"/>
    <n v="14.04"/>
    <x v="114"/>
    <d v="2024-03-13T00:00:00"/>
    <s v="Cameron"/>
  </r>
  <r>
    <d v="2024-01-22T00:00:00"/>
    <n v="431.60849999999988"/>
    <n v="86.321699999999979"/>
    <x v="1"/>
    <x v="5"/>
    <n v="5"/>
    <n v="106.57"/>
    <s v="Store C"/>
    <x v="0"/>
    <n v="0.1"/>
    <s v="Carlos"/>
    <n v="479.56499999999988"/>
    <x v="3"/>
    <x v="1"/>
    <n v="1"/>
    <s v="REG100122"/>
    <s v="Cust 7773"/>
    <n v="25.24"/>
    <x v="115"/>
    <d v="2024-01-28T00:00:00"/>
    <s v="Sophie"/>
  </r>
  <r>
    <d v="2023-02-23T00:00:00"/>
    <n v="78.752499999999998"/>
    <n v="15.750500000000001"/>
    <x v="0"/>
    <x v="6"/>
    <n v="1"/>
    <n v="109"/>
    <s v="Store B"/>
    <x v="1"/>
    <n v="0.15"/>
    <s v="Frank"/>
    <n v="92.649999999999991"/>
    <x v="4"/>
    <x v="2"/>
    <n v="1"/>
    <s v="REG100123"/>
    <s v="Cust 1499"/>
    <n v="8.0299999999999994"/>
    <x v="0"/>
    <d v="2023-02-27T00:00:00"/>
    <s v="Eric"/>
  </r>
  <r>
    <d v="2023-06-14T00:00:00"/>
    <n v="2590.4"/>
    <n v="518.08000000000004"/>
    <x v="2"/>
    <x v="5"/>
    <n v="8"/>
    <n v="323.8"/>
    <s v="Store B"/>
    <x v="1"/>
    <n v="0"/>
    <s v="Diana"/>
    <n v="2590.4"/>
    <x v="4"/>
    <x v="1"/>
    <n v="1"/>
    <s v="REG100124"/>
    <s v="Cust 3809"/>
    <n v="35.229999999999997"/>
    <x v="116"/>
    <d v="2023-06-22T00:00:00"/>
    <s v="Ryan"/>
  </r>
  <r>
    <d v="2025-05-13T00:00:00"/>
    <n v="5549.5807999999997"/>
    <n v="1109.91616"/>
    <x v="2"/>
    <x v="0"/>
    <n v="16"/>
    <n v="384.32"/>
    <s v="Store A"/>
    <x v="1"/>
    <n v="0.05"/>
    <s v="Frank"/>
    <n v="5841.6639999999998"/>
    <x v="4"/>
    <x v="0"/>
    <n v="0"/>
    <s v="REG100125"/>
    <s v="Cust 7824"/>
    <n v="21.5"/>
    <x v="92"/>
    <d v="2025-05-15T00:00:00"/>
    <s v="Ryan"/>
  </r>
  <r>
    <d v="2024-07-30T00:00:00"/>
    <n v="1894.2216000000001"/>
    <n v="378.84432000000004"/>
    <x v="3"/>
    <x v="6"/>
    <n v="16"/>
    <n v="163.86"/>
    <s v="Store C"/>
    <x v="1"/>
    <n v="0.15"/>
    <s v="Diana"/>
    <n v="2228.4960000000001"/>
    <x v="1"/>
    <x v="0"/>
    <n v="0"/>
    <s v="REG100126"/>
    <s v="Cust 7258"/>
    <n v="37.950000000000003"/>
    <x v="117"/>
    <d v="2024-08-06T00:00:00"/>
    <s v="Cameron"/>
  </r>
  <r>
    <d v="2024-07-18T00:00:00"/>
    <n v="117.05"/>
    <n v="23.41"/>
    <x v="0"/>
    <x v="5"/>
    <n v="5"/>
    <n v="23.41"/>
    <s v="Store B"/>
    <x v="0"/>
    <n v="0"/>
    <s v="Frank"/>
    <n v="117.05"/>
    <x v="2"/>
    <x v="2"/>
    <n v="0"/>
    <s v="REG100127"/>
    <s v="Cust 1151"/>
    <n v="26.44"/>
    <x v="118"/>
    <d v="2024-07-27T00:00:00"/>
    <s v="Eric"/>
  </r>
  <r>
    <d v="2024-08-26T00:00:00"/>
    <n v="7064.6049999999996"/>
    <n v="1412.921"/>
    <x v="0"/>
    <x v="6"/>
    <n v="20"/>
    <n v="488.9"/>
    <s v="Store C"/>
    <x v="0"/>
    <n v="0.15"/>
    <s v="Eva"/>
    <n v="8311.2999999999993"/>
    <x v="1"/>
    <x v="0"/>
    <n v="0"/>
    <s v="REG100128"/>
    <s v="Cust 6486"/>
    <n v="21.77"/>
    <x v="98"/>
    <d v="2024-09-01T00:00:00"/>
    <s v="Eric"/>
  </r>
  <r>
    <d v="2025-06-08T00:00:00"/>
    <n v="2859.0477999999998"/>
    <n v="571.80956000000003"/>
    <x v="4"/>
    <x v="5"/>
    <n v="7"/>
    <n v="452.56"/>
    <s v="Store A"/>
    <x v="0"/>
    <n v="0.05"/>
    <s v="Frank"/>
    <n v="3009.5239999999999"/>
    <x v="1"/>
    <x v="0"/>
    <n v="0"/>
    <s v="REG100129"/>
    <s v="Cust 4034"/>
    <n v="46.97"/>
    <x v="119"/>
    <d v="2025-06-15T00:00:00"/>
    <s v="Wendy"/>
  </r>
  <r>
    <d v="2025-05-16T00:00:00"/>
    <n v="5117.6400000000003"/>
    <n v="1023.5280000000001"/>
    <x v="2"/>
    <x v="2"/>
    <n v="11"/>
    <n v="465.24"/>
    <s v="Store A"/>
    <x v="0"/>
    <n v="0"/>
    <s v="Carlos"/>
    <n v="5117.6400000000003"/>
    <x v="3"/>
    <x v="3"/>
    <n v="1"/>
    <s v="REG100130"/>
    <s v="Cust 9794"/>
    <n v="17.59"/>
    <x v="120"/>
    <d v="2025-05-23T00:00:00"/>
    <s v="Ryan"/>
  </r>
  <r>
    <d v="2024-07-18T00:00:00"/>
    <n v="6197.0999999999995"/>
    <n v="1239.42"/>
    <x v="0"/>
    <x v="1"/>
    <n v="14"/>
    <n v="442.65"/>
    <s v="Store B"/>
    <x v="1"/>
    <n v="0"/>
    <s v="Eva"/>
    <n v="6197.0999999999995"/>
    <x v="1"/>
    <x v="1"/>
    <n v="0"/>
    <s v="REG100131"/>
    <s v="Cust 2414"/>
    <n v="28.76"/>
    <x v="118"/>
    <d v="2024-07-24T00:00:00"/>
    <s v="Eric"/>
  </r>
  <r>
    <d v="2023-09-17T00:00:00"/>
    <n v="5633.28"/>
    <n v="1126.6559999999999"/>
    <x v="4"/>
    <x v="0"/>
    <n v="12"/>
    <n v="469.44"/>
    <s v="Store B"/>
    <x v="0"/>
    <n v="0"/>
    <s v="Bob"/>
    <n v="5633.28"/>
    <x v="0"/>
    <x v="0"/>
    <n v="0"/>
    <s v="REG100132"/>
    <s v="Cust 9024"/>
    <n v="33.299999999999997"/>
    <x v="121"/>
    <d v="2023-09-26T00:00:00"/>
    <s v="Wendy"/>
  </r>
  <r>
    <d v="2023-03-13T00:00:00"/>
    <n v="3143.2089499999997"/>
    <n v="628.64179000000001"/>
    <x v="0"/>
    <x v="4"/>
    <n v="14"/>
    <n v="248.77"/>
    <s v="Store C"/>
    <x v="0"/>
    <n v="0.05"/>
    <s v="Bob"/>
    <n v="3308.6410000000001"/>
    <x v="3"/>
    <x v="0"/>
    <n v="1"/>
    <s v="REG100133"/>
    <s v="Cust 2663"/>
    <n v="21.76"/>
    <x v="122"/>
    <d v="2023-03-19T00:00:00"/>
    <s v="Eric"/>
  </r>
  <r>
    <d v="2023-03-29T00:00:00"/>
    <n v="2040.6968999999997"/>
    <n v="408.13937999999996"/>
    <x v="1"/>
    <x v="3"/>
    <n v="4"/>
    <n v="565.29"/>
    <s v="Store D"/>
    <x v="0"/>
    <n v="0.05"/>
    <s v="Alice"/>
    <n v="2148.1019999999999"/>
    <x v="4"/>
    <x v="3"/>
    <n v="0"/>
    <s v="REG100134"/>
    <s v="Cust 2293"/>
    <n v="27.04"/>
    <x v="88"/>
    <d v="2023-04-03T00:00:00"/>
    <s v="Sophie"/>
  </r>
  <r>
    <d v="2023-07-14T00:00:00"/>
    <n v="2651.1839999999997"/>
    <n v="530.23680000000002"/>
    <x v="3"/>
    <x v="2"/>
    <n v="12"/>
    <n v="244.8"/>
    <s v="Store B"/>
    <x v="0"/>
    <n v="0.05"/>
    <s v="Frank"/>
    <n v="2790.72"/>
    <x v="0"/>
    <x v="0"/>
    <n v="0"/>
    <s v="REG100135"/>
    <s v="Cust 8963"/>
    <n v="44.75"/>
    <x v="123"/>
    <d v="2023-07-23T00:00:00"/>
    <s v="Cameron"/>
  </r>
  <r>
    <d v="2024-03-22T00:00:00"/>
    <n v="3413.3362249999996"/>
    <n v="682.66724499999998"/>
    <x v="4"/>
    <x v="0"/>
    <n v="13"/>
    <n v="290.93"/>
    <s v="Store C"/>
    <x v="1"/>
    <n v="0.05"/>
    <s v="Diana"/>
    <n v="3592.9854999999998"/>
    <x v="2"/>
    <x v="0"/>
    <n v="0"/>
    <s v="REG100136"/>
    <s v="Cust 9238"/>
    <n v="26.09"/>
    <x v="124"/>
    <d v="2024-03-31T00:00:00"/>
    <s v="Wendy"/>
  </r>
  <r>
    <d v="2024-05-14T00:00:00"/>
    <n v="2044.7559000000001"/>
    <n v="408.95118000000002"/>
    <x v="3"/>
    <x v="0"/>
    <n v="11"/>
    <n v="229.49"/>
    <s v="Store C"/>
    <x v="1"/>
    <n v="0.1"/>
    <s v="Bob"/>
    <n v="2271.951"/>
    <x v="4"/>
    <x v="3"/>
    <n v="0"/>
    <s v="REG100137"/>
    <s v="Cust 1390"/>
    <n v="35.39"/>
    <x v="125"/>
    <d v="2024-05-17T00:00:00"/>
    <s v="Cameron"/>
  </r>
  <r>
    <d v="2023-05-30T00:00:00"/>
    <n v="771.38480000000004"/>
    <n v="154.27696000000003"/>
    <x v="3"/>
    <x v="4"/>
    <n v="2"/>
    <n v="427.36"/>
    <s v="Store A"/>
    <x v="0"/>
    <n v="0.05"/>
    <s v="Diana"/>
    <n v="811.98400000000004"/>
    <x v="0"/>
    <x v="1"/>
    <n v="0"/>
    <s v="REG100138"/>
    <s v="Cust 8548"/>
    <n v="19.420000000000002"/>
    <x v="126"/>
    <d v="2023-06-02T00:00:00"/>
    <s v="Cameron"/>
  </r>
  <r>
    <d v="2023-03-19T00:00:00"/>
    <n v="800.53554999999994"/>
    <n v="160.10711000000001"/>
    <x v="2"/>
    <x v="1"/>
    <n v="2"/>
    <n v="443.51"/>
    <s v="Store C"/>
    <x v="0"/>
    <n v="0.05"/>
    <s v="Alice"/>
    <n v="842.66899999999998"/>
    <x v="4"/>
    <x v="3"/>
    <n v="0"/>
    <s v="REG100139"/>
    <s v="Cust 2919"/>
    <n v="13.65"/>
    <x v="127"/>
    <d v="2023-03-22T00:00:00"/>
    <s v="Ryan"/>
  </r>
  <r>
    <d v="2023-08-09T00:00:00"/>
    <n v="2635.8172749999999"/>
    <n v="527.163455"/>
    <x v="3"/>
    <x v="2"/>
    <n v="13"/>
    <n v="280.63"/>
    <s v="Store B"/>
    <x v="0"/>
    <n v="0.15"/>
    <s v="Alice"/>
    <n v="3100.9614999999999"/>
    <x v="2"/>
    <x v="1"/>
    <n v="0"/>
    <s v="REG100140"/>
    <s v="Cust 5847"/>
    <n v="10.14"/>
    <x v="128"/>
    <d v="2023-08-14T00:00:00"/>
    <s v="Cameron"/>
  </r>
  <r>
    <d v="2024-10-13T00:00:00"/>
    <n v="3913.4790499999999"/>
    <n v="782.69581000000005"/>
    <x v="2"/>
    <x v="3"/>
    <n v="13"/>
    <n v="416.66"/>
    <s v="Store B"/>
    <x v="0"/>
    <n v="0.15"/>
    <s v="Bob"/>
    <n v="4604.0929999999998"/>
    <x v="2"/>
    <x v="2"/>
    <n v="0"/>
    <s v="REG100141"/>
    <s v="Cust 5711"/>
    <n v="21.74"/>
    <x v="129"/>
    <d v="2024-10-20T00:00:00"/>
    <s v="Ryan"/>
  </r>
  <r>
    <d v="2025-02-17T00:00:00"/>
    <n v="6484.2800000000007"/>
    <n v="1296.8560000000002"/>
    <x v="0"/>
    <x v="3"/>
    <n v="11"/>
    <n v="589.48"/>
    <s v="Store B"/>
    <x v="1"/>
    <n v="0"/>
    <s v="Alice"/>
    <n v="6484.2800000000007"/>
    <x v="0"/>
    <x v="2"/>
    <n v="0"/>
    <s v="REG100142"/>
    <s v="Cust 5461"/>
    <n v="49.93"/>
    <x v="130"/>
    <d v="2025-02-25T00:00:00"/>
    <s v="Eric"/>
  </r>
  <r>
    <d v="2025-06-11T00:00:00"/>
    <n v="1987.6842000000001"/>
    <n v="397.53684000000004"/>
    <x v="2"/>
    <x v="1"/>
    <n v="18"/>
    <n v="152.84"/>
    <s v="Store C"/>
    <x v="1"/>
    <n v="0.15"/>
    <s v="Diana"/>
    <n v="2338.4520000000002"/>
    <x v="3"/>
    <x v="0"/>
    <n v="1"/>
    <s v="REG100143"/>
    <s v="Cust 8905"/>
    <n v="20.3"/>
    <x v="54"/>
    <d v="2025-06-20T00:00:00"/>
    <s v="Ryan"/>
  </r>
  <r>
    <d v="2024-04-29T00:00:00"/>
    <n v="654.64"/>
    <n v="130.928"/>
    <x v="3"/>
    <x v="5"/>
    <n v="4"/>
    <n v="163.66"/>
    <s v="Store B"/>
    <x v="1"/>
    <n v="0"/>
    <s v="Bob"/>
    <n v="654.64"/>
    <x v="1"/>
    <x v="2"/>
    <n v="1"/>
    <s v="REG100144"/>
    <s v="Cust 9618"/>
    <n v="31.8"/>
    <x v="131"/>
    <d v="2024-05-01T00:00:00"/>
    <s v="Cameron"/>
  </r>
  <r>
    <d v="2023-03-18T00:00:00"/>
    <n v="6647.5418749999999"/>
    <n v="1329.5083750000001"/>
    <x v="4"/>
    <x v="0"/>
    <n v="19"/>
    <n v="484.25"/>
    <s v="Store C"/>
    <x v="0"/>
    <n v="0.15"/>
    <s v="Bob"/>
    <n v="7820.6374999999998"/>
    <x v="3"/>
    <x v="0"/>
    <n v="1"/>
    <s v="REG100145"/>
    <s v="Cust 5203"/>
    <n v="29.51"/>
    <x v="132"/>
    <d v="2023-03-20T00:00:00"/>
    <s v="Wendy"/>
  </r>
  <r>
    <d v="2024-12-21T00:00:00"/>
    <n v="2773.116"/>
    <n v="554.6232"/>
    <x v="2"/>
    <x v="3"/>
    <n v="9"/>
    <n v="380.4"/>
    <s v="Store B"/>
    <x v="1"/>
    <n v="0.1"/>
    <s v="Carlos"/>
    <n v="3081.24"/>
    <x v="2"/>
    <x v="3"/>
    <n v="0"/>
    <s v="REG100146"/>
    <s v="Cust 1732"/>
    <n v="31"/>
    <x v="133"/>
    <d v="2024-12-27T00:00:00"/>
    <s v="Ryan"/>
  </r>
  <r>
    <d v="2023-04-23T00:00:00"/>
    <n v="4576.8725999999997"/>
    <n v="915.37451999999996"/>
    <x v="4"/>
    <x v="3"/>
    <n v="17"/>
    <n v="332.38"/>
    <s v="Store A"/>
    <x v="1"/>
    <n v="0.1"/>
    <s v="Frank"/>
    <n v="5085.4139999999998"/>
    <x v="2"/>
    <x v="1"/>
    <n v="1"/>
    <s v="REG100147"/>
    <s v="Cust 4734"/>
    <n v="33.81"/>
    <x v="134"/>
    <d v="2023-05-02T00:00:00"/>
    <s v="Wendy"/>
  </r>
  <r>
    <d v="2025-05-11T00:00:00"/>
    <n v="2855.60025"/>
    <n v="571.12004999999999"/>
    <x v="3"/>
    <x v="3"/>
    <n v="15"/>
    <n v="210.94"/>
    <s v="Store C"/>
    <x v="0"/>
    <n v="0.05"/>
    <s v="Frank"/>
    <n v="3005.895"/>
    <x v="0"/>
    <x v="1"/>
    <n v="0"/>
    <s v="REG100148"/>
    <s v="Cust 5895"/>
    <n v="10.91"/>
    <x v="15"/>
    <d v="2025-05-21T00:00:00"/>
    <s v="Cameron"/>
  </r>
  <r>
    <d v="2024-03-03T00:00:00"/>
    <n v="3445.2"/>
    <n v="689.04"/>
    <x v="1"/>
    <x v="1"/>
    <n v="9"/>
    <n v="382.8"/>
    <s v="Store D"/>
    <x v="0"/>
    <n v="0"/>
    <s v="Eva"/>
    <n v="3445.2"/>
    <x v="4"/>
    <x v="3"/>
    <n v="0"/>
    <s v="REG100149"/>
    <s v="Cust 9691"/>
    <n v="47.94"/>
    <x v="69"/>
    <d v="2024-03-05T00:00:00"/>
    <s v="Sophie"/>
  </r>
  <r>
    <d v="2025-01-20T00:00:00"/>
    <n v="837.28357500000004"/>
    <n v="167.45671500000003"/>
    <x v="2"/>
    <x v="4"/>
    <n v="3"/>
    <n v="386.29"/>
    <s v="Store C"/>
    <x v="1"/>
    <n v="0.15"/>
    <s v="Carlos"/>
    <n v="985.03950000000009"/>
    <x v="2"/>
    <x v="0"/>
    <n v="0"/>
    <s v="REG100150"/>
    <s v="Cust 5406"/>
    <n v="32.450000000000003"/>
    <x v="135"/>
    <d v="2025-01-30T00:00:00"/>
    <s v="Ryan"/>
  </r>
  <r>
    <d v="2025-03-22T00:00:00"/>
    <n v="1129.95"/>
    <n v="225.99"/>
    <x v="2"/>
    <x v="5"/>
    <n v="5"/>
    <n v="225.99"/>
    <s v="Store C"/>
    <x v="1"/>
    <n v="0"/>
    <s v="Eva"/>
    <n v="1129.95"/>
    <x v="0"/>
    <x v="1"/>
    <n v="1"/>
    <s v="REG100151"/>
    <s v="Cust 5750"/>
    <n v="10.88"/>
    <x v="61"/>
    <d v="2025-03-30T00:00:00"/>
    <s v="Ryan"/>
  </r>
  <r>
    <d v="2025-03-28T00:00:00"/>
    <n v="4516.4920000000002"/>
    <n v="903.29840000000013"/>
    <x v="1"/>
    <x v="6"/>
    <n v="20"/>
    <n v="312.56"/>
    <s v="Store D"/>
    <x v="1"/>
    <n v="0.15"/>
    <s v="Frank"/>
    <n v="5313.52"/>
    <x v="1"/>
    <x v="2"/>
    <n v="0"/>
    <s v="REG100152"/>
    <s v="Cust 6506"/>
    <n v="47.39"/>
    <x v="136"/>
    <d v="2025-03-30T00:00:00"/>
    <s v="Sophie"/>
  </r>
  <r>
    <d v="2025-02-17T00:00:00"/>
    <n v="5089.2065249999996"/>
    <n v="1017.8413049999999"/>
    <x v="2"/>
    <x v="1"/>
    <n v="13"/>
    <n v="433.77"/>
    <s v="Store C"/>
    <x v="0"/>
    <n v="0.05"/>
    <s v="Frank"/>
    <n v="5357.0595000000003"/>
    <x v="4"/>
    <x v="0"/>
    <n v="0"/>
    <s v="REG100153"/>
    <s v="Cust 8280"/>
    <n v="17.61"/>
    <x v="130"/>
    <d v="2025-02-21T00:00:00"/>
    <s v="Ryan"/>
  </r>
  <r>
    <d v="2024-11-08T00:00:00"/>
    <n v="3186.6"/>
    <n v="637.32000000000005"/>
    <x v="1"/>
    <x v="5"/>
    <n v="20"/>
    <n v="159.33000000000001"/>
    <s v="Store A"/>
    <x v="0"/>
    <n v="0"/>
    <s v="Eva"/>
    <n v="3186.6"/>
    <x v="0"/>
    <x v="0"/>
    <n v="0"/>
    <s v="REG100154"/>
    <s v="Cust 4358"/>
    <n v="26.32"/>
    <x v="137"/>
    <d v="2024-11-11T00:00:00"/>
    <s v="Sophie"/>
  </r>
  <r>
    <d v="2024-03-17T00:00:00"/>
    <n v="523.57634999999993"/>
    <n v="104.71526999999999"/>
    <x v="1"/>
    <x v="1"/>
    <n v="18"/>
    <n v="32.229999999999997"/>
    <s v="Store B"/>
    <x v="1"/>
    <n v="0.05"/>
    <s v="Bob"/>
    <n v="551.13299999999992"/>
    <x v="2"/>
    <x v="0"/>
    <n v="0"/>
    <s v="REG100155"/>
    <s v="Cust 3588"/>
    <n v="6.04"/>
    <x v="138"/>
    <d v="2024-03-21T00:00:00"/>
    <s v="Sophie"/>
  </r>
  <r>
    <d v="2023-08-29T00:00:00"/>
    <n v="1282.4811"/>
    <n v="256.49621999999999"/>
    <x v="1"/>
    <x v="4"/>
    <n v="3"/>
    <n v="527.77"/>
    <s v="Store C"/>
    <x v="1"/>
    <n v="0.1"/>
    <s v="Bob"/>
    <n v="1424.979"/>
    <x v="4"/>
    <x v="0"/>
    <n v="0"/>
    <s v="REG100156"/>
    <s v="Cust 4539"/>
    <n v="48.66"/>
    <x v="139"/>
    <d v="2023-09-01T00:00:00"/>
    <s v="Sophie"/>
  </r>
  <r>
    <d v="2023-06-22T00:00:00"/>
    <n v="4075.26"/>
    <n v="815.05200000000013"/>
    <x v="1"/>
    <x v="3"/>
    <n v="14"/>
    <n v="291.08999999999997"/>
    <s v="Store A"/>
    <x v="1"/>
    <n v="0"/>
    <s v="Carlos"/>
    <n v="4075.26"/>
    <x v="4"/>
    <x v="3"/>
    <n v="0"/>
    <s v="REG100157"/>
    <s v="Cust 7067"/>
    <n v="39.979999999999997"/>
    <x v="19"/>
    <d v="2023-06-30T00:00:00"/>
    <s v="Sophie"/>
  </r>
  <r>
    <d v="2024-02-24T00:00:00"/>
    <n v="2800.96"/>
    <n v="560.19200000000001"/>
    <x v="1"/>
    <x v="1"/>
    <n v="8"/>
    <n v="350.12"/>
    <s v="Store C"/>
    <x v="1"/>
    <n v="0"/>
    <s v="Alice"/>
    <n v="2800.96"/>
    <x v="1"/>
    <x v="0"/>
    <n v="1"/>
    <s v="REG100158"/>
    <s v="Cust 7720"/>
    <n v="31.65"/>
    <x v="62"/>
    <d v="2024-03-01T00:00:00"/>
    <s v="Sophie"/>
  </r>
  <r>
    <d v="2024-04-10T00:00:00"/>
    <n v="1762.2214999999999"/>
    <n v="352.4443"/>
    <x v="2"/>
    <x v="1"/>
    <n v="10"/>
    <n v="195.26"/>
    <s v="Store D"/>
    <x v="1"/>
    <n v="0.05"/>
    <s v="Alice"/>
    <n v="1854.97"/>
    <x v="2"/>
    <x v="2"/>
    <n v="0"/>
    <s v="REG100159"/>
    <s v="Cust 5668"/>
    <n v="46.91"/>
    <x v="10"/>
    <d v="2024-04-15T00:00:00"/>
    <s v="Ryan"/>
  </r>
  <r>
    <d v="2023-05-14T00:00:00"/>
    <n v="3784.3"/>
    <n v="756.86000000000013"/>
    <x v="1"/>
    <x v="4"/>
    <n v="13"/>
    <n v="291.10000000000002"/>
    <s v="Store A"/>
    <x v="0"/>
    <n v="0"/>
    <s v="Alice"/>
    <n v="3784.3"/>
    <x v="0"/>
    <x v="0"/>
    <n v="0"/>
    <s v="REG100160"/>
    <s v="Cust 8367"/>
    <n v="7.66"/>
    <x v="140"/>
    <d v="2023-05-19T00:00:00"/>
    <s v="Sophie"/>
  </r>
  <r>
    <d v="2023-03-11T00:00:00"/>
    <n v="407.14319999999998"/>
    <n v="81.428640000000001"/>
    <x v="1"/>
    <x v="4"/>
    <n v="6"/>
    <n v="93.92"/>
    <s v="Store B"/>
    <x v="0"/>
    <n v="0.15"/>
    <s v="Eva"/>
    <n v="478.99200000000002"/>
    <x v="2"/>
    <x v="0"/>
    <n v="0"/>
    <s v="REG100161"/>
    <s v="Cust 4438"/>
    <n v="11"/>
    <x v="141"/>
    <d v="2023-03-18T00:00:00"/>
    <s v="Sophie"/>
  </r>
  <r>
    <d v="2024-08-24T00:00:00"/>
    <n v="79.599999999999994"/>
    <n v="15.92"/>
    <x v="3"/>
    <x v="6"/>
    <n v="5"/>
    <n v="15.92"/>
    <s v="Store D"/>
    <x v="1"/>
    <n v="0"/>
    <s v="Eva"/>
    <n v="79.599999999999994"/>
    <x v="2"/>
    <x v="3"/>
    <n v="1"/>
    <s v="REG100162"/>
    <s v="Cust 3481"/>
    <n v="8.66"/>
    <x v="142"/>
    <d v="2024-08-26T00:00:00"/>
    <s v="Cameron"/>
  </r>
  <r>
    <d v="2024-02-23T00:00:00"/>
    <n v="1389.7431999999999"/>
    <n v="277.94864000000001"/>
    <x v="1"/>
    <x v="4"/>
    <n v="16"/>
    <n v="120.22"/>
    <s v="Store D"/>
    <x v="1"/>
    <n v="0.15"/>
    <s v="Bob"/>
    <n v="1634.992"/>
    <x v="4"/>
    <x v="1"/>
    <n v="0"/>
    <s v="REG100163"/>
    <s v="Cust 1489"/>
    <n v="8.42"/>
    <x v="143"/>
    <d v="2024-03-01T00:00:00"/>
    <s v="Sophie"/>
  </r>
  <r>
    <d v="2024-01-30T00:00:00"/>
    <n v="1179.3869999999999"/>
    <n v="235.87739999999999"/>
    <x v="2"/>
    <x v="4"/>
    <n v="11"/>
    <n v="118.8"/>
    <s v="Store A"/>
    <x v="1"/>
    <n v="0.05"/>
    <s v="Eva"/>
    <n v="1241.46"/>
    <x v="0"/>
    <x v="1"/>
    <n v="0"/>
    <s v="REG100164"/>
    <s v="Cust 6649"/>
    <n v="39.32"/>
    <x v="144"/>
    <d v="2024-02-06T00:00:00"/>
    <s v="Ryan"/>
  </r>
  <r>
    <d v="2024-01-23T00:00:00"/>
    <n v="748.84500000000003"/>
    <n v="149.76900000000001"/>
    <x v="0"/>
    <x v="5"/>
    <n v="10"/>
    <n v="92.45"/>
    <s v="Store C"/>
    <x v="0"/>
    <n v="0.1"/>
    <s v="Frank"/>
    <n v="832.05000000000007"/>
    <x v="4"/>
    <x v="2"/>
    <n v="1"/>
    <s v="REG100165"/>
    <s v="Cust 6114"/>
    <n v="42.61"/>
    <x v="145"/>
    <d v="2024-01-29T00:00:00"/>
    <s v="Eric"/>
  </r>
  <r>
    <d v="2023-01-05T00:00:00"/>
    <n v="8806.69"/>
    <n v="1761.3380000000002"/>
    <x v="2"/>
    <x v="0"/>
    <n v="19"/>
    <n v="463.51"/>
    <s v="Store B"/>
    <x v="1"/>
    <n v="0"/>
    <s v="Bob"/>
    <n v="8806.69"/>
    <x v="4"/>
    <x v="0"/>
    <n v="0"/>
    <s v="REG100166"/>
    <s v="Cust 9589"/>
    <n v="49.38"/>
    <x v="82"/>
    <d v="2023-01-08T00:00:00"/>
    <s v="Ryan"/>
  </r>
  <r>
    <d v="2023-12-21T00:00:00"/>
    <n v="1798.5922499999999"/>
    <n v="359.71845000000002"/>
    <x v="2"/>
    <x v="2"/>
    <n v="7"/>
    <n v="284.7"/>
    <s v="Store D"/>
    <x v="0"/>
    <n v="0.05"/>
    <s v="Bob"/>
    <n v="1893.2550000000001"/>
    <x v="1"/>
    <x v="3"/>
    <n v="0"/>
    <s v="REG100167"/>
    <s v="Cust 8184"/>
    <n v="5.36"/>
    <x v="146"/>
    <d v="2023-12-30T00:00:00"/>
    <s v="Ryan"/>
  </r>
  <r>
    <d v="2023-05-25T00:00:00"/>
    <n v="6195.6624999999995"/>
    <n v="1239.1324999999999"/>
    <x v="4"/>
    <x v="0"/>
    <n v="20"/>
    <n v="343.25"/>
    <s v="Store C"/>
    <x v="0"/>
    <n v="0.05"/>
    <s v="Alice"/>
    <n v="6521.75"/>
    <x v="3"/>
    <x v="0"/>
    <n v="0"/>
    <s v="REG100168"/>
    <s v="Cust 2490"/>
    <n v="28.77"/>
    <x v="147"/>
    <d v="2023-06-02T00:00:00"/>
    <s v="Wendy"/>
  </r>
  <r>
    <d v="2025-06-30T00:00:00"/>
    <n v="412.86539999999991"/>
    <n v="82.57307999999999"/>
    <x v="3"/>
    <x v="3"/>
    <n v="6"/>
    <n v="95.24"/>
    <s v="Store D"/>
    <x v="0"/>
    <n v="0.15"/>
    <s v="Diana"/>
    <n v="485.72399999999988"/>
    <x v="1"/>
    <x v="0"/>
    <n v="0"/>
    <s v="REG100169"/>
    <s v="Cust 1647"/>
    <n v="18.72"/>
    <x v="148"/>
    <d v="2025-07-08T00:00:00"/>
    <s v="Cameron"/>
  </r>
  <r>
    <d v="2025-02-12T00:00:00"/>
    <n v="1229.5659999999998"/>
    <n v="245.91319999999996"/>
    <x v="4"/>
    <x v="2"/>
    <n v="13"/>
    <n v="104.8"/>
    <s v="Store B"/>
    <x v="1"/>
    <n v="0.05"/>
    <s v="Diana"/>
    <n v="1294.28"/>
    <x v="2"/>
    <x v="2"/>
    <n v="0"/>
    <s v="REG100170"/>
    <s v="Cust 2017"/>
    <n v="7.79"/>
    <x v="149"/>
    <d v="2025-02-19T00:00:00"/>
    <s v="Wendy"/>
  </r>
  <r>
    <d v="2024-01-03T00:00:00"/>
    <n v="1597.0932"/>
    <n v="319.41864000000004"/>
    <x v="4"/>
    <x v="5"/>
    <n v="12"/>
    <n v="164.31"/>
    <s v="Store B"/>
    <x v="0"/>
    <n v="0.1"/>
    <s v="Eva"/>
    <n v="1774.548"/>
    <x v="4"/>
    <x v="3"/>
    <n v="1"/>
    <s v="REG100171"/>
    <s v="Cust 3446"/>
    <n v="38.9"/>
    <x v="150"/>
    <d v="2024-01-07T00:00:00"/>
    <s v="Wendy"/>
  </r>
  <r>
    <d v="2023-02-03T00:00:00"/>
    <n v="2633.9580000000001"/>
    <n v="526.79160000000002"/>
    <x v="1"/>
    <x v="5"/>
    <n v="10"/>
    <n v="325.18"/>
    <s v="Store C"/>
    <x v="0"/>
    <n v="0.1"/>
    <s v="Alice"/>
    <n v="2926.62"/>
    <x v="4"/>
    <x v="2"/>
    <n v="0"/>
    <s v="REG100172"/>
    <s v="Cust 4877"/>
    <n v="47.39"/>
    <x v="151"/>
    <d v="2023-02-13T00:00:00"/>
    <s v="Sophie"/>
  </r>
  <r>
    <d v="2024-03-01T00:00:00"/>
    <n v="9227.94"/>
    <n v="1845.5880000000002"/>
    <x v="0"/>
    <x v="4"/>
    <n v="17"/>
    <n v="542.82000000000005"/>
    <s v="Store A"/>
    <x v="0"/>
    <n v="0"/>
    <s v="Alice"/>
    <n v="9227.94"/>
    <x v="3"/>
    <x v="2"/>
    <n v="1"/>
    <s v="REG100173"/>
    <s v="Cust 9112"/>
    <n v="7.13"/>
    <x v="152"/>
    <d v="2024-03-08T00:00:00"/>
    <s v="Eric"/>
  </r>
  <r>
    <d v="2023-05-24T00:00:00"/>
    <n v="2621.5097999999989"/>
    <n v="524.30195999999978"/>
    <x v="2"/>
    <x v="5"/>
    <n v="14"/>
    <n v="207.48"/>
    <s v="Store C"/>
    <x v="0"/>
    <n v="0.05"/>
    <s v="Eva"/>
    <n v="2759.483999999999"/>
    <x v="0"/>
    <x v="3"/>
    <n v="0"/>
    <s v="REG100174"/>
    <s v="Cust 8172"/>
    <n v="5.7"/>
    <x v="56"/>
    <d v="2023-06-02T00:00:00"/>
    <s v="Ryan"/>
  </r>
  <r>
    <d v="2025-06-22T00:00:00"/>
    <n v="8098.9988999999987"/>
    <n v="1619.7997799999998"/>
    <x v="2"/>
    <x v="6"/>
    <n v="17"/>
    <n v="527.88"/>
    <s v="Store D"/>
    <x v="1"/>
    <n v="0.05"/>
    <s v="Bob"/>
    <n v="8525.2619999999988"/>
    <x v="4"/>
    <x v="2"/>
    <n v="0"/>
    <s v="REG100175"/>
    <s v="Cust 4597"/>
    <n v="21.32"/>
    <x v="153"/>
    <d v="2025-06-28T00:00:00"/>
    <s v="Ryan"/>
  </r>
  <r>
    <d v="2023-04-10T00:00:00"/>
    <n v="706.93727499999989"/>
    <n v="141.38745499999999"/>
    <x v="2"/>
    <x v="3"/>
    <n v="11"/>
    <n v="71.209999999999994"/>
    <s v="Store B"/>
    <x v="1"/>
    <n v="0.05"/>
    <s v="Diana"/>
    <n v="744.14449999999988"/>
    <x v="0"/>
    <x v="3"/>
    <n v="1"/>
    <s v="REG100176"/>
    <s v="Cust 3690"/>
    <n v="44.2"/>
    <x v="154"/>
    <d v="2023-04-14T00:00:00"/>
    <s v="Ryan"/>
  </r>
  <r>
    <d v="2025-03-04T00:00:00"/>
    <n v="3888.56"/>
    <n v="777.71199999999999"/>
    <x v="3"/>
    <x v="6"/>
    <n v="8"/>
    <n v="486.07"/>
    <s v="Store B"/>
    <x v="1"/>
    <n v="0"/>
    <s v="Carlos"/>
    <n v="3888.56"/>
    <x v="3"/>
    <x v="0"/>
    <n v="0"/>
    <s v="REG100177"/>
    <s v="Cust 2893"/>
    <n v="10.68"/>
    <x v="155"/>
    <d v="2025-03-10T00:00:00"/>
    <s v="Cameron"/>
  </r>
  <r>
    <d v="2024-07-11T00:00:00"/>
    <n v="2697.4458"/>
    <n v="539.48915999999997"/>
    <x v="0"/>
    <x v="0"/>
    <n v="6"/>
    <n v="555.03"/>
    <s v="Store C"/>
    <x v="1"/>
    <n v="0.1"/>
    <s v="Frank"/>
    <n v="2997.1619999999998"/>
    <x v="2"/>
    <x v="3"/>
    <n v="1"/>
    <s v="REG100178"/>
    <s v="Cust 5602"/>
    <n v="23.69"/>
    <x v="156"/>
    <d v="2024-07-20T00:00:00"/>
    <s v="Eric"/>
  </r>
  <r>
    <d v="2024-08-17T00:00:00"/>
    <n v="5474.04"/>
    <n v="1094.808"/>
    <x v="0"/>
    <x v="2"/>
    <n v="13"/>
    <n v="421.08"/>
    <s v="Store B"/>
    <x v="0"/>
    <n v="0"/>
    <s v="Bob"/>
    <n v="5474.04"/>
    <x v="4"/>
    <x v="3"/>
    <n v="0"/>
    <s v="REG100179"/>
    <s v="Cust 5616"/>
    <n v="24.51"/>
    <x v="157"/>
    <d v="2024-08-20T00:00:00"/>
    <s v="Eric"/>
  </r>
  <r>
    <d v="2025-06-30T00:00:00"/>
    <n v="987.16319999999996"/>
    <n v="197.43263999999999"/>
    <x v="2"/>
    <x v="0"/>
    <n v="16"/>
    <n v="76.17"/>
    <s v="Store D"/>
    <x v="0"/>
    <n v="0.1"/>
    <s v="Alice"/>
    <n v="1096.848"/>
    <x v="4"/>
    <x v="2"/>
    <n v="0"/>
    <s v="REG100180"/>
    <s v="Cust 1312"/>
    <n v="41.88"/>
    <x v="148"/>
    <d v="2025-07-09T00:00:00"/>
    <s v="Ryan"/>
  </r>
  <r>
    <d v="2024-11-06T00:00:00"/>
    <n v="1223.6265000000001"/>
    <n v="244.72530000000003"/>
    <x v="1"/>
    <x v="6"/>
    <n v="3"/>
    <n v="503.55"/>
    <s v="Store C"/>
    <x v="0"/>
    <n v="0.1"/>
    <s v="Bob"/>
    <n v="1359.585"/>
    <x v="2"/>
    <x v="2"/>
    <n v="0"/>
    <s v="REG100181"/>
    <s v="Cust 6315"/>
    <n v="37.49"/>
    <x v="158"/>
    <d v="2024-11-13T00:00:00"/>
    <s v="Sophie"/>
  </r>
  <r>
    <d v="2025-04-01T00:00:00"/>
    <n v="157.80000000000001"/>
    <n v="31.560000000000002"/>
    <x v="0"/>
    <x v="5"/>
    <n v="5"/>
    <n v="31.56"/>
    <s v="Store D"/>
    <x v="1"/>
    <n v="0"/>
    <s v="Diana"/>
    <n v="157.80000000000001"/>
    <x v="0"/>
    <x v="1"/>
    <n v="1"/>
    <s v="REG100182"/>
    <s v="Cust 1224"/>
    <n v="29.56"/>
    <x v="159"/>
    <d v="2025-04-04T00:00:00"/>
    <s v="Eric"/>
  </r>
  <r>
    <d v="2024-07-01T00:00:00"/>
    <n v="1052.9648"/>
    <n v="210.59296000000001"/>
    <x v="4"/>
    <x v="0"/>
    <n v="16"/>
    <n v="72.92"/>
    <s v="Store C"/>
    <x v="0"/>
    <n v="0.05"/>
    <s v="Frank"/>
    <n v="1108.384"/>
    <x v="4"/>
    <x v="0"/>
    <n v="0"/>
    <s v="REG100183"/>
    <s v="Cust 7182"/>
    <n v="5.7"/>
    <x v="160"/>
    <d v="2024-07-06T00:00:00"/>
    <s v="Wendy"/>
  </r>
  <r>
    <d v="2023-12-09T00:00:00"/>
    <n v="6854.2528499999989"/>
    <n v="1370.8505699999998"/>
    <x v="4"/>
    <x v="6"/>
    <n v="18"/>
    <n v="421.93"/>
    <s v="Store D"/>
    <x v="1"/>
    <n v="0.05"/>
    <s v="Bob"/>
    <n v="7215.0029999999997"/>
    <x v="1"/>
    <x v="2"/>
    <n v="0"/>
    <s v="REG100184"/>
    <s v="Cust 7901"/>
    <n v="23.42"/>
    <x v="63"/>
    <d v="2023-12-18T00:00:00"/>
    <s v="Wendy"/>
  </r>
  <r>
    <d v="2023-06-27T00:00:00"/>
    <n v="5812.6815000000006"/>
    <n v="1162.5363000000002"/>
    <x v="2"/>
    <x v="2"/>
    <n v="15"/>
    <n v="478.41"/>
    <s v="Store B"/>
    <x v="1"/>
    <n v="0.1"/>
    <s v="Carlos"/>
    <n v="6458.5350000000008"/>
    <x v="3"/>
    <x v="0"/>
    <n v="0"/>
    <s v="REG100185"/>
    <s v="Cust 1736"/>
    <n v="35.630000000000003"/>
    <x v="161"/>
    <d v="2023-06-30T00:00:00"/>
    <s v="Ryan"/>
  </r>
  <r>
    <d v="2023-07-14T00:00:00"/>
    <n v="4515.66"/>
    <n v="903.13200000000006"/>
    <x v="1"/>
    <x v="3"/>
    <n v="9"/>
    <n v="501.74"/>
    <s v="Store D"/>
    <x v="1"/>
    <n v="0"/>
    <s v="Bob"/>
    <n v="4515.66"/>
    <x v="0"/>
    <x v="1"/>
    <n v="1"/>
    <s v="REG100186"/>
    <s v="Cust 7795"/>
    <n v="39.74"/>
    <x v="123"/>
    <d v="2023-07-17T00:00:00"/>
    <s v="Sophie"/>
  </r>
  <r>
    <d v="2023-02-08T00:00:00"/>
    <n v="1251.882975"/>
    <n v="250.37659500000001"/>
    <x v="1"/>
    <x v="5"/>
    <n v="7"/>
    <n v="247.53"/>
    <s v="Store C"/>
    <x v="0"/>
    <n v="0.15"/>
    <s v="Alice"/>
    <n v="1472.8035"/>
    <x v="1"/>
    <x v="0"/>
    <n v="0"/>
    <s v="REG100187"/>
    <s v="Cust 2471"/>
    <n v="13.63"/>
    <x v="162"/>
    <d v="2023-02-16T00:00:00"/>
    <s v="Sophie"/>
  </r>
  <r>
    <d v="2024-06-28T00:00:00"/>
    <n v="765.17084999999986"/>
    <n v="153.03416999999999"/>
    <x v="4"/>
    <x v="5"/>
    <n v="6"/>
    <n v="176.51"/>
    <s v="Store C"/>
    <x v="0"/>
    <n v="0.15"/>
    <s v="Carlos"/>
    <n v="900.20099999999991"/>
    <x v="3"/>
    <x v="0"/>
    <n v="1"/>
    <s v="REG100188"/>
    <s v="Cust 3068"/>
    <n v="31.02"/>
    <x v="163"/>
    <d v="2024-07-07T00:00:00"/>
    <s v="Wendy"/>
  </r>
  <r>
    <d v="2024-04-15T00:00:00"/>
    <n v="286.86"/>
    <n v="57.372000000000007"/>
    <x v="4"/>
    <x v="0"/>
    <n v="2"/>
    <n v="143.43"/>
    <s v="Store D"/>
    <x v="0"/>
    <n v="0"/>
    <s v="Bob"/>
    <n v="286.86"/>
    <x v="2"/>
    <x v="3"/>
    <n v="0"/>
    <s v="REG100189"/>
    <s v="Cust 3848"/>
    <n v="36.94"/>
    <x v="164"/>
    <d v="2024-04-22T00:00:00"/>
    <s v="Wendy"/>
  </r>
  <r>
    <d v="2023-11-27T00:00:00"/>
    <n v="5831.954999999999"/>
    <n v="1166.3909999999998"/>
    <x v="0"/>
    <x v="4"/>
    <n v="12"/>
    <n v="538.5"/>
    <s v="Store C"/>
    <x v="0"/>
    <n v="0.05"/>
    <s v="Alice"/>
    <n v="6138.9"/>
    <x v="4"/>
    <x v="1"/>
    <n v="0"/>
    <s v="REG100190"/>
    <s v="Cust 7777"/>
    <n v="18.54"/>
    <x v="165"/>
    <d v="2023-12-06T00:00:00"/>
    <s v="Eric"/>
  </r>
  <r>
    <d v="2025-03-27T00:00:00"/>
    <n v="435.85"/>
    <n v="87.170000000000016"/>
    <x v="0"/>
    <x v="6"/>
    <n v="5"/>
    <n v="87.17"/>
    <s v="Store D"/>
    <x v="0"/>
    <n v="0"/>
    <s v="Carlos"/>
    <n v="435.85"/>
    <x v="3"/>
    <x v="3"/>
    <n v="0"/>
    <s v="REG100191"/>
    <s v="Cust 6613"/>
    <n v="13.01"/>
    <x v="166"/>
    <d v="2025-03-29T00:00:00"/>
    <s v="Eric"/>
  </r>
  <r>
    <d v="2023-08-06T00:00:00"/>
    <n v="2825.4744000000001"/>
    <n v="565.09487999999999"/>
    <x v="1"/>
    <x v="4"/>
    <n v="7"/>
    <n v="498.32"/>
    <s v="Store B"/>
    <x v="0"/>
    <n v="0.1"/>
    <s v="Alice"/>
    <n v="3139.4160000000002"/>
    <x v="2"/>
    <x v="2"/>
    <n v="1"/>
    <s v="REG100192"/>
    <s v="Cust 2326"/>
    <n v="27.65"/>
    <x v="23"/>
    <d v="2023-08-10T00:00:00"/>
    <s v="Sophie"/>
  </r>
  <r>
    <d v="2024-12-13T00:00:00"/>
    <n v="619.25474999999994"/>
    <n v="123.85095"/>
    <x v="1"/>
    <x v="6"/>
    <n v="15"/>
    <n v="57.14"/>
    <s v="Store B"/>
    <x v="0"/>
    <n v="0.15"/>
    <s v="Carlos"/>
    <n v="728.53499999999997"/>
    <x v="3"/>
    <x v="0"/>
    <n v="0"/>
    <s v="REG100193"/>
    <s v="Cust 8304"/>
    <n v="7.02"/>
    <x v="167"/>
    <d v="2024-12-22T00:00:00"/>
    <s v="Sophie"/>
  </r>
  <r>
    <d v="2025-01-17T00:00:00"/>
    <n v="1614.9608999999998"/>
    <n v="322.99217999999996"/>
    <x v="3"/>
    <x v="5"/>
    <n v="18"/>
    <n v="124.18"/>
    <s v="Store B"/>
    <x v="0"/>
    <n v="0.15"/>
    <s v="Carlos"/>
    <n v="1899.954"/>
    <x v="3"/>
    <x v="1"/>
    <n v="0"/>
    <s v="REG100194"/>
    <s v="Cust 3630"/>
    <n v="45.77"/>
    <x v="50"/>
    <d v="2025-01-26T00:00:00"/>
    <s v="Cameron"/>
  </r>
  <r>
    <d v="2023-11-26T00:00:00"/>
    <n v="1044.414"/>
    <n v="208.8828"/>
    <x v="4"/>
    <x v="2"/>
    <n v="12"/>
    <n v="107.45"/>
    <s v="Store C"/>
    <x v="1"/>
    <n v="0.1"/>
    <s v="Bob"/>
    <n v="1160.46"/>
    <x v="0"/>
    <x v="0"/>
    <n v="0"/>
    <s v="REG100195"/>
    <s v="Cust 8617"/>
    <n v="18.170000000000002"/>
    <x v="168"/>
    <d v="2023-12-02T00:00:00"/>
    <s v="Wendy"/>
  </r>
  <r>
    <d v="2023-02-14T00:00:00"/>
    <n v="2664.9648000000002"/>
    <n v="532.99296000000004"/>
    <x v="0"/>
    <x v="3"/>
    <n v="8"/>
    <n v="411.26"/>
    <s v="Store A"/>
    <x v="1"/>
    <n v="0.1"/>
    <s v="Frank"/>
    <n v="2961.0720000000001"/>
    <x v="1"/>
    <x v="2"/>
    <n v="0"/>
    <s v="REG100196"/>
    <s v="Cust 3530"/>
    <n v="28.57"/>
    <x v="169"/>
    <d v="2023-02-18T00:00:00"/>
    <s v="Eric"/>
  </r>
  <r>
    <d v="2025-02-02T00:00:00"/>
    <n v="1736.7"/>
    <n v="347.34000000000003"/>
    <x v="3"/>
    <x v="6"/>
    <n v="7"/>
    <n v="248.1"/>
    <s v="Store C"/>
    <x v="1"/>
    <n v="0"/>
    <s v="Diana"/>
    <n v="1736.7"/>
    <x v="4"/>
    <x v="2"/>
    <n v="0"/>
    <s v="REG100197"/>
    <s v="Cust 3884"/>
    <n v="31.8"/>
    <x v="170"/>
    <d v="2025-02-06T00:00:00"/>
    <s v="Cameron"/>
  </r>
  <r>
    <d v="2023-04-11T00:00:00"/>
    <n v="1182.2436"/>
    <n v="236.44872000000001"/>
    <x v="4"/>
    <x v="6"/>
    <n v="3"/>
    <n v="486.52"/>
    <s v="Store B"/>
    <x v="0"/>
    <n v="0.1"/>
    <s v="Carlos"/>
    <n v="1313.604"/>
    <x v="1"/>
    <x v="3"/>
    <n v="0"/>
    <s v="REG100198"/>
    <s v="Cust 5739"/>
    <n v="16.5"/>
    <x v="171"/>
    <d v="2023-04-20T00:00:00"/>
    <s v="Wendy"/>
  </r>
  <r>
    <d v="2024-07-08T00:00:00"/>
    <n v="6051.2831999999999"/>
    <n v="1210.2566400000001"/>
    <x v="2"/>
    <x v="4"/>
    <n v="18"/>
    <n v="415.04"/>
    <s v="Store C"/>
    <x v="0"/>
    <n v="0.1"/>
    <s v="Eva"/>
    <n v="6723.6480000000001"/>
    <x v="4"/>
    <x v="2"/>
    <n v="0"/>
    <s v="REG100199"/>
    <s v="Cust 9707"/>
    <n v="33.58"/>
    <x v="172"/>
    <d v="2024-07-13T00:00:00"/>
    <s v="Ryan"/>
  </r>
  <r>
    <d v="2023-02-08T00:00:00"/>
    <n v="2270.2539500000003"/>
    <n v="454.05079000000006"/>
    <x v="3"/>
    <x v="6"/>
    <n v="19"/>
    <n v="165.38"/>
    <s v="Store B"/>
    <x v="0"/>
    <n v="0.15"/>
    <s v="Alice"/>
    <n v="2670.8870000000002"/>
    <x v="0"/>
    <x v="3"/>
    <n v="0"/>
    <s v="REG100200"/>
    <s v="Cust 9288"/>
    <n v="25.2"/>
    <x v="162"/>
    <d v="2023-02-14T00:00:00"/>
    <s v="Cameron"/>
  </r>
  <r>
    <d v="2024-04-09T00:00:00"/>
    <n v="234.94"/>
    <n v="46.988"/>
    <x v="4"/>
    <x v="2"/>
    <n v="2"/>
    <n v="117.47"/>
    <s v="Store C"/>
    <x v="0"/>
    <n v="0"/>
    <s v="Eva"/>
    <n v="234.94"/>
    <x v="2"/>
    <x v="0"/>
    <n v="0"/>
    <s v="REG100201"/>
    <s v="Cust 1216"/>
    <n v="6.58"/>
    <x v="173"/>
    <d v="2024-04-16T00:00:00"/>
    <s v="Wendy"/>
  </r>
  <r>
    <d v="2023-08-14T00:00:00"/>
    <n v="3002.7894749999996"/>
    <n v="600.55789499999992"/>
    <x v="3"/>
    <x v="6"/>
    <n v="9"/>
    <n v="461.79"/>
    <s v="Store C"/>
    <x v="0"/>
    <n v="0.15"/>
    <s v="Frank"/>
    <n v="3532.6934999999999"/>
    <x v="1"/>
    <x v="3"/>
    <n v="0"/>
    <s v="REG100202"/>
    <s v="Cust 2489"/>
    <n v="47.81"/>
    <x v="174"/>
    <d v="2023-08-18T00:00:00"/>
    <s v="Cameron"/>
  </r>
  <r>
    <d v="2024-09-02T00:00:00"/>
    <n v="3579.0261999999998"/>
    <n v="715.80524000000003"/>
    <x v="4"/>
    <x v="5"/>
    <n v="19"/>
    <n v="208.72"/>
    <s v="Store D"/>
    <x v="1"/>
    <n v="0.05"/>
    <s v="Frank"/>
    <n v="3767.3960000000002"/>
    <x v="2"/>
    <x v="0"/>
    <n v="0"/>
    <s v="REG100203"/>
    <s v="Cust 7171"/>
    <n v="38.409999999999997"/>
    <x v="175"/>
    <d v="2024-09-06T00:00:00"/>
    <s v="Wendy"/>
  </r>
  <r>
    <d v="2025-06-29T00:00:00"/>
    <n v="3215.1828"/>
    <n v="643.03656000000001"/>
    <x v="3"/>
    <x v="4"/>
    <n v="16"/>
    <n v="278.13"/>
    <s v="Store A"/>
    <x v="0"/>
    <n v="0.15"/>
    <s v="Alice"/>
    <n v="3782.5680000000002"/>
    <x v="4"/>
    <x v="1"/>
    <n v="0"/>
    <s v="REG100204"/>
    <s v="Cust 9125"/>
    <n v="24.29"/>
    <x v="176"/>
    <d v="2025-07-04T00:00:00"/>
    <s v="Cameron"/>
  </r>
  <r>
    <d v="2025-04-02T00:00:00"/>
    <n v="1047.2429500000001"/>
    <n v="209.44859000000002"/>
    <x v="4"/>
    <x v="0"/>
    <n v="2"/>
    <n v="580.19000000000005"/>
    <s v="Store B"/>
    <x v="0"/>
    <n v="0.05"/>
    <s v="Diana"/>
    <n v="1102.3610000000001"/>
    <x v="3"/>
    <x v="2"/>
    <n v="0"/>
    <s v="REG100205"/>
    <s v="Cust 9697"/>
    <n v="7.33"/>
    <x v="177"/>
    <d v="2025-04-08T00:00:00"/>
    <s v="Wendy"/>
  </r>
  <r>
    <d v="2023-04-27T00:00:00"/>
    <n v="4291.4399999999996"/>
    <n v="858.28800000000001"/>
    <x v="3"/>
    <x v="5"/>
    <n v="8"/>
    <n v="536.42999999999995"/>
    <s v="Store B"/>
    <x v="1"/>
    <n v="0"/>
    <s v="Carlos"/>
    <n v="4291.4399999999996"/>
    <x v="4"/>
    <x v="3"/>
    <n v="1"/>
    <s v="REG100206"/>
    <s v="Cust 8171"/>
    <n v="14.58"/>
    <x v="178"/>
    <d v="2023-05-07T00:00:00"/>
    <s v="Cameron"/>
  </r>
  <r>
    <d v="2024-08-07T00:00:00"/>
    <n v="94.33"/>
    <n v="18.866"/>
    <x v="0"/>
    <x v="1"/>
    <n v="1"/>
    <n v="94.33"/>
    <s v="Store A"/>
    <x v="0"/>
    <n v="0"/>
    <s v="Carlos"/>
    <n v="94.33"/>
    <x v="0"/>
    <x v="3"/>
    <n v="0"/>
    <s v="REG100207"/>
    <s v="Cust 2004"/>
    <n v="49.17"/>
    <x v="179"/>
    <d v="2024-08-17T00:00:00"/>
    <s v="Eric"/>
  </r>
  <r>
    <d v="2023-04-15T00:00:00"/>
    <n v="6349.6224000000002"/>
    <n v="1269.9244800000001"/>
    <x v="4"/>
    <x v="0"/>
    <n v="16"/>
    <n v="489.94"/>
    <s v="Store C"/>
    <x v="1"/>
    <n v="0.1"/>
    <s v="Frank"/>
    <n v="7055.1360000000004"/>
    <x v="4"/>
    <x v="1"/>
    <n v="0"/>
    <s v="REG100208"/>
    <s v="Cust 4214"/>
    <n v="9.69"/>
    <x v="180"/>
    <d v="2023-04-25T00:00:00"/>
    <s v="Wendy"/>
  </r>
  <r>
    <d v="2023-08-12T00:00:00"/>
    <n v="1991.6731"/>
    <n v="398.33462000000003"/>
    <x v="1"/>
    <x v="2"/>
    <n v="4"/>
    <n v="551.71"/>
    <s v="Store A"/>
    <x v="1"/>
    <n v="0.05"/>
    <s v="Eva"/>
    <n v="2096.498"/>
    <x v="1"/>
    <x v="3"/>
    <n v="1"/>
    <s v="REG100209"/>
    <s v="Cust 9837"/>
    <n v="26.32"/>
    <x v="181"/>
    <d v="2023-08-15T00:00:00"/>
    <s v="Sophie"/>
  </r>
  <r>
    <d v="2023-06-19T00:00:00"/>
    <n v="7315.0885250000001"/>
    <n v="1463.0177050000002"/>
    <x v="4"/>
    <x v="6"/>
    <n v="17"/>
    <n v="595.57000000000005"/>
    <s v="Store D"/>
    <x v="1"/>
    <n v="0.15"/>
    <s v="Bob"/>
    <n v="8605.9865000000009"/>
    <x v="2"/>
    <x v="2"/>
    <n v="0"/>
    <s v="REG100210"/>
    <s v="Cust 2082"/>
    <n v="9.73"/>
    <x v="182"/>
    <d v="2023-06-28T00:00:00"/>
    <s v="Wendy"/>
  </r>
  <r>
    <d v="2023-12-29T00:00:00"/>
    <n v="145.8972"/>
    <n v="29.17944"/>
    <x v="0"/>
    <x v="6"/>
    <n v="1"/>
    <n v="180.12"/>
    <s v="Store A"/>
    <x v="0"/>
    <n v="0.1"/>
    <s v="Eva"/>
    <n v="162.108"/>
    <x v="3"/>
    <x v="3"/>
    <n v="0"/>
    <s v="REG100211"/>
    <s v="Cust 3001"/>
    <n v="27.07"/>
    <x v="183"/>
    <d v="2024-01-07T00:00:00"/>
    <s v="Eric"/>
  </r>
  <r>
    <d v="2023-03-26T00:00:00"/>
    <n v="2614.0050000000001"/>
    <n v="522.80100000000004"/>
    <x v="0"/>
    <x v="2"/>
    <n v="12"/>
    <n v="301.5"/>
    <s v="Store D"/>
    <x v="1"/>
    <n v="0.15"/>
    <s v="Bob"/>
    <n v="3075.3"/>
    <x v="2"/>
    <x v="0"/>
    <n v="1"/>
    <s v="REG100212"/>
    <s v="Cust 6161"/>
    <n v="43.67"/>
    <x v="184"/>
    <d v="2023-03-30T00:00:00"/>
    <s v="Eric"/>
  </r>
  <r>
    <d v="2023-09-01T00:00:00"/>
    <n v="3952.7974999999992"/>
    <n v="790.55949999999984"/>
    <x v="1"/>
    <x v="1"/>
    <n v="20"/>
    <n v="273.55"/>
    <s v="Store D"/>
    <x v="1"/>
    <n v="0.15"/>
    <s v="Frank"/>
    <n v="4650.3499999999995"/>
    <x v="3"/>
    <x v="3"/>
    <n v="0"/>
    <s v="REG100213"/>
    <s v="Cust 5220"/>
    <n v="14.76"/>
    <x v="185"/>
    <d v="2023-09-07T00:00:00"/>
    <s v="Sophie"/>
  </r>
  <r>
    <d v="2024-08-05T00:00:00"/>
    <n v="909.11160000000007"/>
    <n v="181.82232000000002"/>
    <x v="4"/>
    <x v="5"/>
    <n v="6"/>
    <n v="187.06"/>
    <s v="Store B"/>
    <x v="0"/>
    <n v="0.1"/>
    <s v="Frank"/>
    <n v="1010.124"/>
    <x v="3"/>
    <x v="0"/>
    <n v="0"/>
    <s v="REG100214"/>
    <s v="Cust 3386"/>
    <n v="11.03"/>
    <x v="186"/>
    <d v="2024-08-13T00:00:00"/>
    <s v="Wendy"/>
  </r>
  <r>
    <d v="2025-01-23T00:00:00"/>
    <n v="9000.32"/>
    <n v="1800.0640000000001"/>
    <x v="2"/>
    <x v="3"/>
    <n v="16"/>
    <n v="562.52"/>
    <s v="Store D"/>
    <x v="1"/>
    <n v="0"/>
    <s v="Frank"/>
    <n v="9000.32"/>
    <x v="1"/>
    <x v="3"/>
    <n v="0"/>
    <s v="REG100215"/>
    <s v="Cust 1591"/>
    <n v="18.23"/>
    <x v="187"/>
    <d v="2025-01-27T00:00:00"/>
    <s v="Ryan"/>
  </r>
  <r>
    <d v="2023-05-16T00:00:00"/>
    <n v="275.91840000000002"/>
    <n v="55.18368000000001"/>
    <x v="0"/>
    <x v="5"/>
    <n v="4"/>
    <n v="85.16"/>
    <s v="Store D"/>
    <x v="0"/>
    <n v="0.1"/>
    <s v="Carlos"/>
    <n v="306.57600000000002"/>
    <x v="2"/>
    <x v="3"/>
    <n v="0"/>
    <s v="REG100216"/>
    <s v="Cust 3434"/>
    <n v="38.51"/>
    <x v="188"/>
    <d v="2023-05-23T00:00:00"/>
    <s v="Eric"/>
  </r>
  <r>
    <d v="2023-02-14T00:00:00"/>
    <n v="3914.5916999999999"/>
    <n v="782.91834000000006"/>
    <x v="2"/>
    <x v="5"/>
    <n v="12"/>
    <n v="451.51"/>
    <s v="Store B"/>
    <x v="0"/>
    <n v="0.15"/>
    <s v="Carlos"/>
    <n v="4605.402"/>
    <x v="0"/>
    <x v="2"/>
    <n v="0"/>
    <s v="REG100217"/>
    <s v="Cust 1501"/>
    <n v="9.5399999999999991"/>
    <x v="169"/>
    <d v="2023-02-22T00:00:00"/>
    <s v="Ryan"/>
  </r>
  <r>
    <d v="2024-06-03T00:00:00"/>
    <n v="187.75607499999998"/>
    <n v="37.551214999999999"/>
    <x v="3"/>
    <x v="5"/>
    <n v="1"/>
    <n v="259.87"/>
    <s v="Store D"/>
    <x v="1"/>
    <n v="0.15"/>
    <s v="Eva"/>
    <n v="220.8895"/>
    <x v="1"/>
    <x v="0"/>
    <n v="0"/>
    <s v="REG100218"/>
    <s v="Cust 9683"/>
    <n v="19.2"/>
    <x v="189"/>
    <d v="2024-06-12T00:00:00"/>
    <s v="Cameron"/>
  </r>
  <r>
    <d v="2023-11-08T00:00:00"/>
    <n v="4841.9124999999995"/>
    <n v="968.38249999999994"/>
    <x v="3"/>
    <x v="5"/>
    <n v="20"/>
    <n v="268.25"/>
    <s v="Store D"/>
    <x v="1"/>
    <n v="0.05"/>
    <s v="Diana"/>
    <n v="5096.75"/>
    <x v="4"/>
    <x v="0"/>
    <n v="0"/>
    <s v="REG100219"/>
    <s v="Cust 5416"/>
    <n v="20.96"/>
    <x v="190"/>
    <d v="2023-11-15T00:00:00"/>
    <s v="Cameron"/>
  </r>
  <r>
    <d v="2023-01-24T00:00:00"/>
    <n v="2661.3"/>
    <n v="532.2600000000001"/>
    <x v="4"/>
    <x v="1"/>
    <n v="10"/>
    <n v="266.13"/>
    <s v="Store B"/>
    <x v="0"/>
    <n v="0"/>
    <s v="Diana"/>
    <n v="2661.3"/>
    <x v="1"/>
    <x v="2"/>
    <n v="0"/>
    <s v="REG100220"/>
    <s v="Cust 2153"/>
    <n v="21.01"/>
    <x v="191"/>
    <d v="2023-01-26T00:00:00"/>
    <s v="Wendy"/>
  </r>
  <r>
    <d v="2025-03-20T00:00:00"/>
    <n v="8009.7596999999987"/>
    <n v="1601.9519399999999"/>
    <x v="4"/>
    <x v="0"/>
    <n v="18"/>
    <n v="493.06"/>
    <s v="Store D"/>
    <x v="0"/>
    <n v="0.05"/>
    <s v="Diana"/>
    <n v="8431.3259999999991"/>
    <x v="4"/>
    <x v="2"/>
    <n v="1"/>
    <s v="REG100221"/>
    <s v="Cust 3572"/>
    <n v="46.87"/>
    <x v="192"/>
    <d v="2025-03-28T00:00:00"/>
    <s v="Wendy"/>
  </r>
  <r>
    <d v="2024-02-22T00:00:00"/>
    <n v="132.92019999999999"/>
    <n v="26.584040000000002"/>
    <x v="4"/>
    <x v="4"/>
    <n v="4"/>
    <n v="36.82"/>
    <s v="Store C"/>
    <x v="0"/>
    <n v="0.05"/>
    <s v="Frank"/>
    <n v="139.916"/>
    <x v="2"/>
    <x v="2"/>
    <n v="1"/>
    <s v="REG100222"/>
    <s v="Cust 6372"/>
    <n v="24.86"/>
    <x v="193"/>
    <d v="2024-03-01T00:00:00"/>
    <s v="Wendy"/>
  </r>
  <r>
    <d v="2025-04-02T00:00:00"/>
    <n v="3584.6114999999995"/>
    <n v="716.92229999999995"/>
    <x v="2"/>
    <x v="6"/>
    <n v="12"/>
    <n v="413.45"/>
    <s v="Store D"/>
    <x v="1"/>
    <n v="0.15"/>
    <s v="Bob"/>
    <n v="4217.1899999999996"/>
    <x v="4"/>
    <x v="0"/>
    <n v="0"/>
    <s v="REG100223"/>
    <s v="Cust 6109"/>
    <n v="23.25"/>
    <x v="177"/>
    <d v="2025-04-10T00:00:00"/>
    <s v="Ryan"/>
  </r>
  <r>
    <d v="2025-06-12T00:00:00"/>
    <n v="6867.7875000000004"/>
    <n v="1373.5575000000001"/>
    <x v="2"/>
    <x v="3"/>
    <n v="19"/>
    <n v="446.25"/>
    <s v="Store B"/>
    <x v="1"/>
    <n v="0.1"/>
    <s v="Eva"/>
    <n v="7630.875"/>
    <x v="1"/>
    <x v="3"/>
    <n v="0"/>
    <s v="REG100224"/>
    <s v="Cust 5234"/>
    <n v="14.88"/>
    <x v="103"/>
    <d v="2025-06-18T00:00:00"/>
    <s v="Ryan"/>
  </r>
  <r>
    <d v="2023-05-13T00:00:00"/>
    <n v="418.60927499999997"/>
    <n v="83.721855000000005"/>
    <x v="0"/>
    <x v="0"/>
    <n v="7"/>
    <n v="82.77"/>
    <s v="Store D"/>
    <x v="0"/>
    <n v="0.15"/>
    <s v="Frank"/>
    <n v="492.48149999999998"/>
    <x v="3"/>
    <x v="1"/>
    <n v="1"/>
    <s v="REG100225"/>
    <s v="Cust 5530"/>
    <n v="15.66"/>
    <x v="194"/>
    <d v="2023-05-17T00:00:00"/>
    <s v="Eric"/>
  </r>
  <r>
    <d v="2023-03-25T00:00:00"/>
    <n v="5777.96"/>
    <n v="1155.5920000000001"/>
    <x v="1"/>
    <x v="2"/>
    <n v="17"/>
    <n v="339.88"/>
    <s v="Store A"/>
    <x v="1"/>
    <n v="0"/>
    <s v="Alice"/>
    <n v="5777.96"/>
    <x v="4"/>
    <x v="3"/>
    <n v="0"/>
    <s v="REG100226"/>
    <s v="Cust 5398"/>
    <n v="44.86"/>
    <x v="195"/>
    <d v="2023-03-28T00:00:00"/>
    <s v="Sophie"/>
  </r>
  <r>
    <d v="2024-11-22T00:00:00"/>
    <n v="5001.2028"/>
    <n v="1000.2405600000001"/>
    <x v="1"/>
    <x v="6"/>
    <n v="19"/>
    <n v="364.32"/>
    <s v="Store B"/>
    <x v="1"/>
    <n v="0.15"/>
    <s v="Frank"/>
    <n v="5883.768"/>
    <x v="3"/>
    <x v="3"/>
    <n v="1"/>
    <s v="REG100227"/>
    <s v="Cust 3247"/>
    <n v="39.76"/>
    <x v="196"/>
    <d v="2024-11-25T00:00:00"/>
    <s v="Sophie"/>
  </r>
  <r>
    <d v="2023-07-07T00:00:00"/>
    <n v="215.73"/>
    <n v="43.146000000000001"/>
    <x v="0"/>
    <x v="5"/>
    <n v="3"/>
    <n v="71.91"/>
    <s v="Store B"/>
    <x v="0"/>
    <n v="0"/>
    <s v="Alice"/>
    <n v="215.73"/>
    <x v="1"/>
    <x v="2"/>
    <n v="1"/>
    <s v="REG100228"/>
    <s v="Cust 7137"/>
    <n v="46.25"/>
    <x v="197"/>
    <d v="2023-07-17T00:00:00"/>
    <s v="Eric"/>
  </r>
  <r>
    <d v="2024-10-05T00:00:00"/>
    <n v="10402.215"/>
    <n v="2080.4430000000002"/>
    <x v="0"/>
    <x v="5"/>
    <n v="20"/>
    <n v="576.29999999999995"/>
    <s v="Store D"/>
    <x v="0"/>
    <n v="0.05"/>
    <s v="Eva"/>
    <n v="10949.7"/>
    <x v="2"/>
    <x v="3"/>
    <n v="0"/>
    <s v="REG100229"/>
    <s v="Cust 4627"/>
    <n v="25.22"/>
    <x v="198"/>
    <d v="2024-10-09T00:00:00"/>
    <s v="Eric"/>
  </r>
  <r>
    <d v="2024-03-31T00:00:00"/>
    <n v="844.19999999999993"/>
    <n v="168.84"/>
    <x v="4"/>
    <x v="0"/>
    <n v="7"/>
    <n v="120.6"/>
    <s v="Store B"/>
    <x v="0"/>
    <n v="0"/>
    <s v="Diana"/>
    <n v="844.19999999999993"/>
    <x v="0"/>
    <x v="2"/>
    <n v="0"/>
    <s v="REG100230"/>
    <s v="Cust 4878"/>
    <n v="43.8"/>
    <x v="199"/>
    <d v="2024-04-08T00:00:00"/>
    <s v="Wendy"/>
  </r>
  <r>
    <d v="2025-04-01T00:00:00"/>
    <n v="694.4917999999999"/>
    <n v="138.89836"/>
    <x v="4"/>
    <x v="6"/>
    <n v="8"/>
    <n v="96.19"/>
    <s v="Store A"/>
    <x v="0"/>
    <n v="0.05"/>
    <s v="Carlos"/>
    <n v="731.04399999999998"/>
    <x v="3"/>
    <x v="1"/>
    <n v="0"/>
    <s v="REG100231"/>
    <s v="Cust 2779"/>
    <n v="34.07"/>
    <x v="159"/>
    <d v="2025-04-04T00:00:00"/>
    <s v="Wendy"/>
  </r>
  <r>
    <d v="2023-08-23T00:00:00"/>
    <n v="5953.2329499999996"/>
    <n v="1190.6465900000001"/>
    <x v="4"/>
    <x v="6"/>
    <n v="14"/>
    <n v="471.17"/>
    <s v="Store A"/>
    <x v="0"/>
    <n v="0.05"/>
    <s v="Carlos"/>
    <n v="6266.5609999999997"/>
    <x v="1"/>
    <x v="0"/>
    <n v="0"/>
    <s v="REG100232"/>
    <s v="Cust 8606"/>
    <n v="26.38"/>
    <x v="200"/>
    <d v="2023-08-26T00:00:00"/>
    <s v="Wendy"/>
  </r>
  <r>
    <d v="2024-08-14T00:00:00"/>
    <n v="232.1460000000001"/>
    <n v="46.429200000000023"/>
    <x v="1"/>
    <x v="1"/>
    <n v="20"/>
    <n v="14.33"/>
    <s v="Store D"/>
    <x v="0"/>
    <n v="0.1"/>
    <s v="Carlos"/>
    <n v="257.94000000000011"/>
    <x v="3"/>
    <x v="3"/>
    <n v="0"/>
    <s v="REG100233"/>
    <s v="Cust 9599"/>
    <n v="6.22"/>
    <x v="201"/>
    <d v="2024-08-21T00:00:00"/>
    <s v="Sophie"/>
  </r>
  <r>
    <d v="2025-02-14T00:00:00"/>
    <n v="6497.4280499999995"/>
    <n v="1299.48561"/>
    <x v="3"/>
    <x v="5"/>
    <n v="18"/>
    <n v="499.61"/>
    <s v="Store B"/>
    <x v="1"/>
    <n v="0.15"/>
    <s v="Alice"/>
    <n v="7644.0329999999994"/>
    <x v="3"/>
    <x v="3"/>
    <n v="0"/>
    <s v="REG100234"/>
    <s v="Cust 4500"/>
    <n v="9.64"/>
    <x v="202"/>
    <d v="2025-02-19T00:00:00"/>
    <s v="Cameron"/>
  </r>
  <r>
    <d v="2023-11-11T00:00:00"/>
    <n v="185.18220000000002"/>
    <n v="37.036440000000006"/>
    <x v="4"/>
    <x v="4"/>
    <n v="14"/>
    <n v="16.329999999999998"/>
    <s v="Store B"/>
    <x v="0"/>
    <n v="0.1"/>
    <s v="Diana"/>
    <n v="205.75800000000001"/>
    <x v="3"/>
    <x v="2"/>
    <n v="0"/>
    <s v="REG100235"/>
    <s v="Cust 4173"/>
    <n v="22.72"/>
    <x v="203"/>
    <d v="2023-11-16T00:00:00"/>
    <s v="Wendy"/>
  </r>
  <r>
    <d v="2024-04-01T00:00:00"/>
    <n v="5903.21515"/>
    <n v="1180.64303"/>
    <x v="3"/>
    <x v="2"/>
    <n v="17"/>
    <n v="480.62"/>
    <s v="Store C"/>
    <x v="0"/>
    <n v="0.15"/>
    <s v="Carlos"/>
    <n v="6944.9589999999998"/>
    <x v="0"/>
    <x v="0"/>
    <n v="0"/>
    <s v="REG100236"/>
    <s v="Cust 7607"/>
    <n v="37.090000000000003"/>
    <x v="204"/>
    <d v="2024-04-09T00:00:00"/>
    <s v="Cameron"/>
  </r>
  <r>
    <d v="2024-06-13T00:00:00"/>
    <n v="2508.2279999999996"/>
    <n v="501.64559999999994"/>
    <x v="1"/>
    <x v="3"/>
    <n v="5"/>
    <n v="555.84"/>
    <s v="Store C"/>
    <x v="1"/>
    <n v="0.05"/>
    <s v="Diana"/>
    <n v="2640.24"/>
    <x v="2"/>
    <x v="3"/>
    <n v="0"/>
    <s v="REG100237"/>
    <s v="Cust 4768"/>
    <n v="29.4"/>
    <x v="205"/>
    <d v="2024-06-20T00:00:00"/>
    <s v="Sophie"/>
  </r>
  <r>
    <d v="2023-11-28T00:00:00"/>
    <n v="2537.3574000000003"/>
    <n v="507.4714800000001"/>
    <x v="2"/>
    <x v="3"/>
    <n v="18"/>
    <n v="174.03"/>
    <s v="Store B"/>
    <x v="0"/>
    <n v="0.1"/>
    <s v="Frank"/>
    <n v="2819.2860000000001"/>
    <x v="0"/>
    <x v="1"/>
    <n v="0"/>
    <s v="REG100238"/>
    <s v="Cust 5746"/>
    <n v="32.19"/>
    <x v="206"/>
    <d v="2023-12-03T00:00:00"/>
    <s v="Ryan"/>
  </r>
  <r>
    <d v="2024-11-11T00:00:00"/>
    <n v="2548.7055"/>
    <n v="509.74110000000002"/>
    <x v="3"/>
    <x v="2"/>
    <n v="11"/>
    <n v="286.05"/>
    <s v="Store A"/>
    <x v="1"/>
    <n v="0.1"/>
    <s v="Bob"/>
    <n v="2831.895"/>
    <x v="3"/>
    <x v="3"/>
    <n v="1"/>
    <s v="REG100239"/>
    <s v="Cust 3002"/>
    <n v="8.59"/>
    <x v="207"/>
    <d v="2024-11-16T00:00:00"/>
    <s v="Cameron"/>
  </r>
  <r>
    <d v="2024-11-04T00:00:00"/>
    <n v="651.67999999999995"/>
    <n v="130.33599999999998"/>
    <x v="2"/>
    <x v="2"/>
    <n v="16"/>
    <n v="40.729999999999997"/>
    <s v="Store D"/>
    <x v="1"/>
    <n v="0"/>
    <s v="Alice"/>
    <n v="651.67999999999995"/>
    <x v="2"/>
    <x v="3"/>
    <n v="0"/>
    <s v="REG100240"/>
    <s v="Cust 3237"/>
    <n v="24.72"/>
    <x v="208"/>
    <d v="2024-11-08T00:00:00"/>
    <s v="Ryan"/>
  </r>
  <r>
    <d v="2023-01-01T00:00:00"/>
    <n v="5150.42"/>
    <n v="1030.0840000000001"/>
    <x v="3"/>
    <x v="3"/>
    <n v="11"/>
    <n v="468.22"/>
    <s v="Store D"/>
    <x v="1"/>
    <n v="0"/>
    <s v="Carlos"/>
    <n v="5150.42"/>
    <x v="3"/>
    <x v="2"/>
    <n v="0"/>
    <s v="REG100241"/>
    <s v="Cust 6437"/>
    <n v="19.920000000000002"/>
    <x v="209"/>
    <d v="2023-01-11T00:00:00"/>
    <s v="Cameron"/>
  </r>
  <r>
    <d v="2025-01-18T00:00:00"/>
    <n v="333.34740000000005"/>
    <n v="66.669480000000007"/>
    <x v="2"/>
    <x v="5"/>
    <n v="1"/>
    <n v="411.54"/>
    <s v="Store C"/>
    <x v="1"/>
    <n v="0.1"/>
    <s v="Eva"/>
    <n v="370.38600000000002"/>
    <x v="1"/>
    <x v="2"/>
    <n v="0"/>
    <s v="REG100242"/>
    <s v="Cust 8806"/>
    <n v="7.46"/>
    <x v="13"/>
    <d v="2025-01-20T00:00:00"/>
    <s v="Ryan"/>
  </r>
  <r>
    <d v="2023-05-02T00:00:00"/>
    <n v="1574.5014999999999"/>
    <n v="314.90030000000002"/>
    <x v="3"/>
    <x v="6"/>
    <n v="13"/>
    <n v="134.19999999999999"/>
    <s v="Store A"/>
    <x v="0"/>
    <n v="0.05"/>
    <s v="Eva"/>
    <n v="1657.37"/>
    <x v="2"/>
    <x v="2"/>
    <n v="0"/>
    <s v="REG100243"/>
    <s v="Cust 8678"/>
    <n v="9.6"/>
    <x v="210"/>
    <d v="2023-05-10T00:00:00"/>
    <s v="Cameron"/>
  </r>
  <r>
    <d v="2025-05-27T00:00:00"/>
    <n v="2537.6367499999997"/>
    <n v="507.52734999999996"/>
    <x v="4"/>
    <x v="6"/>
    <n v="10"/>
    <n v="351.23"/>
    <s v="Store B"/>
    <x v="1"/>
    <n v="0.15"/>
    <s v="Frank"/>
    <n v="2985.4549999999999"/>
    <x v="0"/>
    <x v="3"/>
    <n v="0"/>
    <s v="REG100244"/>
    <s v="Cust 9649"/>
    <n v="42.74"/>
    <x v="211"/>
    <d v="2025-06-02T00:00:00"/>
    <s v="Wendy"/>
  </r>
  <r>
    <d v="2024-12-27T00:00:00"/>
    <n v="6249.9276"/>
    <n v="1249.9855200000002"/>
    <x v="1"/>
    <x v="4"/>
    <n v="14"/>
    <n v="551.14"/>
    <s v="Store C"/>
    <x v="0"/>
    <n v="0.1"/>
    <s v="Diana"/>
    <n v="6944.3639999999996"/>
    <x v="0"/>
    <x v="0"/>
    <n v="1"/>
    <s v="REG100245"/>
    <s v="Cust 1960"/>
    <n v="12.35"/>
    <x v="212"/>
    <d v="2025-01-05T00:00:00"/>
    <s v="Sophie"/>
  </r>
  <r>
    <d v="2025-03-18T00:00:00"/>
    <n v="212.4306"/>
    <n v="42.48612"/>
    <x v="4"/>
    <x v="3"/>
    <n v="2"/>
    <n v="131.13"/>
    <s v="Store B"/>
    <x v="1"/>
    <n v="0.1"/>
    <s v="Eva"/>
    <n v="236.03399999999999"/>
    <x v="3"/>
    <x v="3"/>
    <n v="0"/>
    <s v="REG100246"/>
    <s v="Cust 3910"/>
    <n v="14.74"/>
    <x v="213"/>
    <d v="2025-03-24T00:00:00"/>
    <s v="Wendy"/>
  </r>
  <r>
    <d v="2024-03-24T00:00:00"/>
    <n v="3570.66"/>
    <n v="714.13200000000006"/>
    <x v="0"/>
    <x v="0"/>
    <n v="6"/>
    <n v="595.11"/>
    <s v="Store C"/>
    <x v="0"/>
    <n v="0"/>
    <s v="Diana"/>
    <n v="3570.66"/>
    <x v="4"/>
    <x v="1"/>
    <n v="1"/>
    <s v="REG100247"/>
    <s v="Cust 4944"/>
    <n v="28.92"/>
    <x v="214"/>
    <d v="2024-03-31T00:00:00"/>
    <s v="Eric"/>
  </r>
  <r>
    <d v="2024-12-26T00:00:00"/>
    <n v="2797.7138999999997"/>
    <n v="559.54277999999999"/>
    <x v="0"/>
    <x v="0"/>
    <n v="6"/>
    <n v="516.66"/>
    <s v="Store C"/>
    <x v="0"/>
    <n v="0.05"/>
    <s v="Bob"/>
    <n v="2944.962"/>
    <x v="0"/>
    <x v="3"/>
    <n v="1"/>
    <s v="REG100248"/>
    <s v="Cust 9618"/>
    <n v="5.15"/>
    <x v="215"/>
    <d v="2025-01-03T00:00:00"/>
    <s v="Eric"/>
  </r>
  <r>
    <d v="2023-01-11T00:00:00"/>
    <n v="1096.9165499999999"/>
    <n v="219.38330999999999"/>
    <x v="2"/>
    <x v="2"/>
    <n v="6"/>
    <n v="202.57"/>
    <s v="Store D"/>
    <x v="1"/>
    <n v="0.05"/>
    <s v="Eva"/>
    <n v="1154.6489999999999"/>
    <x v="1"/>
    <x v="0"/>
    <n v="0"/>
    <s v="REG100249"/>
    <s v="Cust 2279"/>
    <n v="24.39"/>
    <x v="6"/>
    <d v="2023-01-14T00:00:00"/>
    <s v="Ryan"/>
  </r>
  <r>
    <d v="2025-06-01T00:00:00"/>
    <n v="2875.6078000000002"/>
    <n v="575.12156000000004"/>
    <x v="1"/>
    <x v="0"/>
    <n v="13"/>
    <n v="306.16000000000003"/>
    <s v="Store A"/>
    <x v="0"/>
    <n v="0.15"/>
    <s v="Frank"/>
    <n v="3383.0680000000002"/>
    <x v="4"/>
    <x v="1"/>
    <n v="0"/>
    <s v="REG100250"/>
    <s v="Cust 4689"/>
    <n v="25.16"/>
    <x v="216"/>
    <d v="2025-06-10T00:00:00"/>
    <s v="Sophie"/>
  </r>
  <r>
    <d v="2024-09-26T00:00:00"/>
    <n v="3757.1011500000004"/>
    <n v="751.42023000000017"/>
    <x v="0"/>
    <x v="2"/>
    <n v="11"/>
    <n v="472.74"/>
    <s v="Store D"/>
    <x v="1"/>
    <n v="0.15"/>
    <s v="Carlos"/>
    <n v="4420.1190000000006"/>
    <x v="2"/>
    <x v="3"/>
    <n v="1"/>
    <s v="REG100251"/>
    <s v="Cust 7381"/>
    <n v="16.8"/>
    <x v="217"/>
    <d v="2024-10-01T00:00:00"/>
    <s v="Eric"/>
  </r>
  <r>
    <d v="2024-08-10T00:00:00"/>
    <n v="5465.3940000000002"/>
    <n v="1093.0788"/>
    <x v="0"/>
    <x v="1"/>
    <n v="20"/>
    <n v="337.37"/>
    <s v="Store C"/>
    <x v="1"/>
    <n v="0.1"/>
    <s v="Diana"/>
    <n v="6072.66"/>
    <x v="1"/>
    <x v="3"/>
    <n v="0"/>
    <s v="REG100252"/>
    <s v="Cust 2724"/>
    <n v="43.17"/>
    <x v="218"/>
    <d v="2024-08-17T00:00:00"/>
    <s v="Eric"/>
  </r>
  <r>
    <d v="2025-03-02T00:00:00"/>
    <n v="332.81279999999998"/>
    <n v="66.562560000000005"/>
    <x v="1"/>
    <x v="1"/>
    <n v="12"/>
    <n v="34.24"/>
    <s v="Store C"/>
    <x v="1"/>
    <n v="0.1"/>
    <s v="Frank"/>
    <n v="369.79199999999997"/>
    <x v="4"/>
    <x v="3"/>
    <n v="0"/>
    <s v="REG100253"/>
    <s v="Cust 2823"/>
    <n v="17.64"/>
    <x v="219"/>
    <d v="2025-03-10T00:00:00"/>
    <s v="Sophie"/>
  </r>
  <r>
    <d v="2023-02-21T00:00:00"/>
    <n v="1908.2"/>
    <n v="381.64000000000004"/>
    <x v="0"/>
    <x v="5"/>
    <n v="4"/>
    <n v="477.05"/>
    <s v="Store B"/>
    <x v="0"/>
    <n v="0"/>
    <s v="Carlos"/>
    <n v="1908.2"/>
    <x v="2"/>
    <x v="2"/>
    <n v="0"/>
    <s v="REG100254"/>
    <s v="Cust 9402"/>
    <n v="45.54"/>
    <x v="220"/>
    <d v="2023-03-02T00:00:00"/>
    <s v="Eric"/>
  </r>
  <r>
    <d v="2024-11-20T00:00:00"/>
    <n v="3377.58"/>
    <n v="675.51600000000008"/>
    <x v="0"/>
    <x v="0"/>
    <n v="6"/>
    <n v="562.92999999999995"/>
    <s v="Store C"/>
    <x v="1"/>
    <n v="0"/>
    <s v="Alice"/>
    <n v="3377.58"/>
    <x v="2"/>
    <x v="2"/>
    <n v="0"/>
    <s v="REG100255"/>
    <s v="Cust 6561"/>
    <n v="43.73"/>
    <x v="221"/>
    <d v="2024-11-27T00:00:00"/>
    <s v="Eric"/>
  </r>
  <r>
    <d v="2023-08-26T00:00:00"/>
    <n v="365.8"/>
    <n v="73.160000000000011"/>
    <x v="0"/>
    <x v="3"/>
    <n v="20"/>
    <n v="18.29"/>
    <s v="Store B"/>
    <x v="1"/>
    <n v="0"/>
    <s v="Diana"/>
    <n v="365.8"/>
    <x v="3"/>
    <x v="0"/>
    <n v="1"/>
    <s v="REG100256"/>
    <s v="Cust 3116"/>
    <n v="35.369999999999997"/>
    <x v="222"/>
    <d v="2023-08-29T00:00:00"/>
    <s v="Eric"/>
  </r>
  <r>
    <d v="2024-01-01T00:00:00"/>
    <n v="1462.02"/>
    <n v="292.404"/>
    <x v="1"/>
    <x v="4"/>
    <n v="7"/>
    <n v="208.86"/>
    <s v="Store B"/>
    <x v="1"/>
    <n v="0"/>
    <s v="Frank"/>
    <n v="1462.02"/>
    <x v="4"/>
    <x v="0"/>
    <n v="0"/>
    <s v="REG100257"/>
    <s v="Cust 1015"/>
    <n v="20.64"/>
    <x v="223"/>
    <d v="2024-01-08T00:00:00"/>
    <s v="Sophie"/>
  </r>
  <r>
    <d v="2024-11-24T00:00:00"/>
    <n v="3577.7987999999996"/>
    <n v="715.55975999999998"/>
    <x v="1"/>
    <x v="6"/>
    <n v="12"/>
    <n v="330.36"/>
    <s v="Store D"/>
    <x v="1"/>
    <n v="0.05"/>
    <s v="Diana"/>
    <n v="3766.1039999999998"/>
    <x v="4"/>
    <x v="2"/>
    <n v="0"/>
    <s v="REG100258"/>
    <s v="Cust 1207"/>
    <n v="48.33"/>
    <x v="224"/>
    <d v="2024-11-30T00:00:00"/>
    <s v="Sophie"/>
  </r>
  <r>
    <d v="2024-08-25T00:00:00"/>
    <n v="254.18995000000001"/>
    <n v="50.837990000000005"/>
    <x v="1"/>
    <x v="5"/>
    <n v="7"/>
    <n v="50.26"/>
    <s v="Store C"/>
    <x v="1"/>
    <n v="0.15"/>
    <s v="Diana"/>
    <n v="299.04700000000003"/>
    <x v="4"/>
    <x v="3"/>
    <n v="0"/>
    <s v="REG100259"/>
    <s v="Cust 2501"/>
    <n v="17.12"/>
    <x v="225"/>
    <d v="2024-09-01T00:00:00"/>
    <s v="Sophie"/>
  </r>
  <r>
    <d v="2023-06-10T00:00:00"/>
    <n v="541.28255000000001"/>
    <n v="108.25651000000001"/>
    <x v="1"/>
    <x v="0"/>
    <n v="2"/>
    <n v="374.59"/>
    <s v="Store C"/>
    <x v="0"/>
    <n v="0.15"/>
    <s v="Carlos"/>
    <n v="636.803"/>
    <x v="0"/>
    <x v="1"/>
    <n v="0"/>
    <s v="REG100260"/>
    <s v="Cust 2330"/>
    <n v="34.64"/>
    <x v="226"/>
    <d v="2023-06-18T00:00:00"/>
    <s v="Sophie"/>
  </r>
  <r>
    <d v="2024-12-18T00:00:00"/>
    <n v="2651.2920000000004"/>
    <n v="530.25840000000005"/>
    <x v="2"/>
    <x v="6"/>
    <n v="7"/>
    <n v="467.6"/>
    <s v="Store A"/>
    <x v="1"/>
    <n v="0.1"/>
    <s v="Carlos"/>
    <n v="2945.88"/>
    <x v="3"/>
    <x v="3"/>
    <n v="0"/>
    <s v="REG100261"/>
    <s v="Cust 7436"/>
    <n v="15.64"/>
    <x v="227"/>
    <d v="2024-12-26T00:00:00"/>
    <s v="Ryan"/>
  </r>
  <r>
    <d v="2023-08-28T00:00:00"/>
    <n v="1018.6698"/>
    <n v="203.73396000000002"/>
    <x v="0"/>
    <x v="3"/>
    <n v="3"/>
    <n v="376.24"/>
    <s v="Store A"/>
    <x v="1"/>
    <n v="0.05"/>
    <s v="Frank"/>
    <n v="1072.2840000000001"/>
    <x v="3"/>
    <x v="0"/>
    <n v="1"/>
    <s v="REG100262"/>
    <s v="Cust 2762"/>
    <n v="6.15"/>
    <x v="228"/>
    <d v="2023-09-01T00:00:00"/>
    <s v="Eric"/>
  </r>
  <r>
    <d v="2023-01-22T00:00:00"/>
    <n v="1826.37"/>
    <n v="365.274"/>
    <x v="4"/>
    <x v="1"/>
    <n v="13"/>
    <n v="140.49"/>
    <s v="Store A"/>
    <x v="1"/>
    <n v="0"/>
    <s v="Eva"/>
    <n v="1826.37"/>
    <x v="3"/>
    <x v="1"/>
    <n v="0"/>
    <s v="REG100263"/>
    <s v="Cust 3599"/>
    <n v="17.690000000000001"/>
    <x v="229"/>
    <d v="2023-01-31T00:00:00"/>
    <s v="Wendy"/>
  </r>
  <r>
    <d v="2023-02-07T00:00:00"/>
    <n v="1097.4702749999999"/>
    <n v="219.494055"/>
    <x v="2"/>
    <x v="4"/>
    <n v="3"/>
    <n v="506.33"/>
    <s v="Store B"/>
    <x v="1"/>
    <n v="0.15"/>
    <s v="Frank"/>
    <n v="1291.1415"/>
    <x v="3"/>
    <x v="0"/>
    <n v="0"/>
    <s v="REG100264"/>
    <s v="Cust 4127"/>
    <n v="25.71"/>
    <x v="230"/>
    <d v="2023-02-14T00:00:00"/>
    <s v="Ryan"/>
  </r>
  <r>
    <d v="2023-11-22T00:00:00"/>
    <n v="1001.6306"/>
    <n v="200.32612"/>
    <x v="1"/>
    <x v="4"/>
    <n v="8"/>
    <n v="138.72999999999999"/>
    <s v="Store A"/>
    <x v="0"/>
    <n v="0.05"/>
    <s v="Frank"/>
    <n v="1054.348"/>
    <x v="0"/>
    <x v="2"/>
    <n v="1"/>
    <s v="REG100265"/>
    <s v="Cust 6855"/>
    <n v="48.51"/>
    <x v="231"/>
    <d v="2023-11-29T00:00:00"/>
    <s v="Sophie"/>
  </r>
  <r>
    <d v="2023-01-25T00:00:00"/>
    <n v="583.18754999999999"/>
    <n v="116.63751000000001"/>
    <x v="4"/>
    <x v="2"/>
    <n v="6"/>
    <n v="134.53"/>
    <s v="Store C"/>
    <x v="1"/>
    <n v="0.15"/>
    <s v="Carlos"/>
    <n v="686.10300000000007"/>
    <x v="3"/>
    <x v="0"/>
    <n v="1"/>
    <s v="REG100266"/>
    <s v="Cust 7017"/>
    <n v="33.5"/>
    <x v="232"/>
    <d v="2023-01-29T00:00:00"/>
    <s v="Wendy"/>
  </r>
  <r>
    <d v="2025-03-05T00:00:00"/>
    <n v="6107.4701999999988"/>
    <n v="1221.4940399999998"/>
    <x v="1"/>
    <x v="5"/>
    <n v="18"/>
    <n v="375.96"/>
    <s v="Store D"/>
    <x v="0"/>
    <n v="0.05"/>
    <s v="Diana"/>
    <n v="6428.9159999999993"/>
    <x v="3"/>
    <x v="1"/>
    <n v="0"/>
    <s v="REG100267"/>
    <s v="Cust 6957"/>
    <n v="26.78"/>
    <x v="9"/>
    <d v="2025-03-09T00:00:00"/>
    <s v="Sophie"/>
  </r>
  <r>
    <d v="2023-02-02T00:00:00"/>
    <n v="4361.607"/>
    <n v="872.32140000000004"/>
    <x v="2"/>
    <x v="6"/>
    <n v="10"/>
    <n v="538.47"/>
    <s v="Store D"/>
    <x v="1"/>
    <n v="0.1"/>
    <s v="Bob"/>
    <n v="4846.2299999999996"/>
    <x v="1"/>
    <x v="2"/>
    <n v="1"/>
    <s v="REG100268"/>
    <s v="Cust 9822"/>
    <n v="17.25"/>
    <x v="233"/>
    <d v="2023-02-12T00:00:00"/>
    <s v="Ryan"/>
  </r>
  <r>
    <d v="2023-05-24T00:00:00"/>
    <n v="6141.0960000000014"/>
    <n v="1228.2192000000005"/>
    <x v="2"/>
    <x v="5"/>
    <n v="15"/>
    <n v="505.44"/>
    <s v="Store A"/>
    <x v="0"/>
    <n v="0.1"/>
    <s v="Alice"/>
    <n v="6823.4400000000014"/>
    <x v="0"/>
    <x v="1"/>
    <n v="0"/>
    <s v="REG100269"/>
    <s v="Cust 7425"/>
    <n v="37.5"/>
    <x v="56"/>
    <d v="2023-06-01T00:00:00"/>
    <s v="Ryan"/>
  </r>
  <r>
    <d v="2024-05-30T00:00:00"/>
    <n v="901.94009999999992"/>
    <n v="180.38801999999998"/>
    <x v="1"/>
    <x v="6"/>
    <n v="4"/>
    <n v="312.08999999999997"/>
    <s v="Store C"/>
    <x v="0"/>
    <n v="0.15"/>
    <s v="Diana"/>
    <n v="1061.106"/>
    <x v="3"/>
    <x v="1"/>
    <n v="1"/>
    <s v="REG100270"/>
    <s v="Cust 6468"/>
    <n v="17.989999999999998"/>
    <x v="234"/>
    <d v="2024-06-06T00:00:00"/>
    <s v="Sophie"/>
  </r>
  <r>
    <d v="2024-01-23T00:00:00"/>
    <n v="6281.1982500000004"/>
    <n v="1256.2396500000002"/>
    <x v="4"/>
    <x v="2"/>
    <n v="15"/>
    <n v="579.58000000000004"/>
    <s v="Store C"/>
    <x v="1"/>
    <n v="0.15"/>
    <s v="Eva"/>
    <n v="7389.6450000000004"/>
    <x v="2"/>
    <x v="3"/>
    <n v="0"/>
    <s v="REG100271"/>
    <s v="Cust 8897"/>
    <n v="31.22"/>
    <x v="145"/>
    <d v="2024-01-31T00:00:00"/>
    <s v="Wendy"/>
  </r>
  <r>
    <d v="2023-02-06T00:00:00"/>
    <n v="1570.93175"/>
    <n v="314.18635"/>
    <x v="2"/>
    <x v="3"/>
    <n v="10"/>
    <n v="217.43"/>
    <s v="Store A"/>
    <x v="1"/>
    <n v="0.15"/>
    <s v="Bob"/>
    <n v="1848.155"/>
    <x v="2"/>
    <x v="0"/>
    <n v="0"/>
    <s v="REG100272"/>
    <s v="Cust 9816"/>
    <n v="33.14"/>
    <x v="235"/>
    <d v="2023-02-15T00:00:00"/>
    <s v="Ryan"/>
  </r>
  <r>
    <d v="2024-07-15T00:00:00"/>
    <n v="6445.8806249999998"/>
    <n v="1289.176125"/>
    <x v="4"/>
    <x v="1"/>
    <n v="15"/>
    <n v="476.15"/>
    <s v="Store B"/>
    <x v="0"/>
    <n v="0.05"/>
    <s v="Carlos"/>
    <n v="6785.1374999999998"/>
    <x v="0"/>
    <x v="1"/>
    <n v="0"/>
    <s v="REG100273"/>
    <s v="Cust 8227"/>
    <n v="24.48"/>
    <x v="236"/>
    <d v="2024-07-19T00:00:00"/>
    <s v="Wendy"/>
  </r>
  <r>
    <d v="2025-03-06T00:00:00"/>
    <n v="360.57150000000001"/>
    <n v="72.1143"/>
    <x v="0"/>
    <x v="3"/>
    <n v="5"/>
    <n v="89.03"/>
    <s v="Store C"/>
    <x v="0"/>
    <n v="0.1"/>
    <s v="Frank"/>
    <n v="400.63499999999999"/>
    <x v="3"/>
    <x v="2"/>
    <n v="0"/>
    <s v="REG100274"/>
    <s v="Cust 4990"/>
    <n v="22.42"/>
    <x v="55"/>
    <d v="2025-03-16T00:00:00"/>
    <s v="Eric"/>
  </r>
  <r>
    <d v="2023-07-29T00:00:00"/>
    <n v="94.7376"/>
    <n v="18.947520000000001"/>
    <x v="3"/>
    <x v="1"/>
    <n v="17"/>
    <n v="6.88"/>
    <s v="Store A"/>
    <x v="1"/>
    <n v="0.1"/>
    <s v="Frank"/>
    <n v="105.264"/>
    <x v="1"/>
    <x v="3"/>
    <n v="0"/>
    <s v="REG100275"/>
    <s v="Cust 5834"/>
    <n v="42.37"/>
    <x v="237"/>
    <d v="2023-08-08T00:00:00"/>
    <s v="Cameron"/>
  </r>
  <r>
    <d v="2023-07-26T00:00:00"/>
    <n v="1726.5636"/>
    <n v="345.31272000000001"/>
    <x v="2"/>
    <x v="6"/>
    <n v="6"/>
    <n v="355.26"/>
    <s v="Store D"/>
    <x v="1"/>
    <n v="0.1"/>
    <s v="Bob"/>
    <n v="1918.404"/>
    <x v="0"/>
    <x v="2"/>
    <n v="0"/>
    <s v="REG100276"/>
    <s v="Cust 7330"/>
    <n v="30.49"/>
    <x v="238"/>
    <d v="2023-07-29T00:00:00"/>
    <s v="Ryan"/>
  </r>
  <r>
    <d v="2024-04-10T00:00:00"/>
    <n v="1910.0447999999999"/>
    <n v="382.00896"/>
    <x v="4"/>
    <x v="5"/>
    <n v="8"/>
    <n v="294.76"/>
    <s v="Store C"/>
    <x v="1"/>
    <n v="0.1"/>
    <s v="Diana"/>
    <n v="2122.2719999999999"/>
    <x v="0"/>
    <x v="1"/>
    <n v="0"/>
    <s v="REG100277"/>
    <s v="Cust 5273"/>
    <n v="36.04"/>
    <x v="10"/>
    <d v="2024-04-13T00:00:00"/>
    <s v="Wendy"/>
  </r>
  <r>
    <d v="2025-01-24T00:00:00"/>
    <n v="971.04"/>
    <n v="194.208"/>
    <x v="2"/>
    <x v="2"/>
    <n v="16"/>
    <n v="60.69"/>
    <s v="Store A"/>
    <x v="0"/>
    <n v="0"/>
    <s v="Carlos"/>
    <n v="971.04"/>
    <x v="2"/>
    <x v="2"/>
    <n v="0"/>
    <s v="REG100278"/>
    <s v="Cust 6138"/>
    <n v="7.03"/>
    <x v="239"/>
    <d v="2025-01-27T00:00:00"/>
    <s v="Ryan"/>
  </r>
  <r>
    <d v="2025-04-27T00:00:00"/>
    <n v="906.60059999999999"/>
    <n v="181.32012"/>
    <x v="4"/>
    <x v="0"/>
    <n v="2"/>
    <n v="559.63"/>
    <s v="Store B"/>
    <x v="0"/>
    <n v="0.1"/>
    <s v="Diana"/>
    <n v="1007.3339999999999"/>
    <x v="2"/>
    <x v="2"/>
    <n v="1"/>
    <s v="REG100279"/>
    <s v="Cust 2084"/>
    <n v="42.34"/>
    <x v="240"/>
    <d v="2025-05-03T00:00:00"/>
    <s v="Wendy"/>
  </r>
  <r>
    <d v="2025-02-20T00:00:00"/>
    <n v="753.8184"/>
    <n v="150.76367999999999"/>
    <x v="0"/>
    <x v="1"/>
    <n v="4"/>
    <n v="232.66"/>
    <s v="Store B"/>
    <x v="0"/>
    <n v="0.1"/>
    <s v="Frank"/>
    <n v="837.57600000000002"/>
    <x v="0"/>
    <x v="2"/>
    <n v="0"/>
    <s v="REG100280"/>
    <s v="Cust 2799"/>
    <n v="11.88"/>
    <x v="241"/>
    <d v="2025-02-23T00:00:00"/>
    <s v="Eric"/>
  </r>
  <r>
    <d v="2023-09-14T00:00:00"/>
    <n v="1668.03575"/>
    <n v="333.60715000000005"/>
    <x v="2"/>
    <x v="6"/>
    <n v="10"/>
    <n v="230.87"/>
    <s v="Store A"/>
    <x v="1"/>
    <n v="0.15"/>
    <s v="Bob"/>
    <n v="1962.395"/>
    <x v="3"/>
    <x v="1"/>
    <n v="0"/>
    <s v="REG100281"/>
    <s v="Cust 5234"/>
    <n v="28.33"/>
    <x v="242"/>
    <d v="2023-09-19T00:00:00"/>
    <s v="Ryan"/>
  </r>
  <r>
    <d v="2024-04-17T00:00:00"/>
    <n v="1789.84925"/>
    <n v="357.96985000000001"/>
    <x v="4"/>
    <x v="5"/>
    <n v="7"/>
    <n v="353.9"/>
    <s v="Store C"/>
    <x v="0"/>
    <n v="0.15"/>
    <s v="Alice"/>
    <n v="2105.7049999999999"/>
    <x v="3"/>
    <x v="1"/>
    <n v="1"/>
    <s v="REG100282"/>
    <s v="Cust 3051"/>
    <n v="15.74"/>
    <x v="243"/>
    <d v="2024-04-27T00:00:00"/>
    <s v="Wendy"/>
  </r>
  <r>
    <d v="2024-11-14T00:00:00"/>
    <n v="6732.84"/>
    <n v="1346.5680000000002"/>
    <x v="3"/>
    <x v="5"/>
    <n v="12"/>
    <n v="561.07000000000005"/>
    <s v="Store A"/>
    <x v="1"/>
    <n v="0"/>
    <s v="Alice"/>
    <n v="6732.84"/>
    <x v="1"/>
    <x v="3"/>
    <n v="0"/>
    <s v="REG100283"/>
    <s v="Cust 5456"/>
    <n v="35.020000000000003"/>
    <x v="244"/>
    <d v="2024-11-18T00:00:00"/>
    <s v="Cameron"/>
  </r>
  <r>
    <d v="2024-07-25T00:00:00"/>
    <n v="3003.6015000000002"/>
    <n v="600.72030000000007"/>
    <x v="2"/>
    <x v="3"/>
    <n v="15"/>
    <n v="247.21"/>
    <s v="Store D"/>
    <x v="0"/>
    <n v="0.1"/>
    <s v="Bob"/>
    <n v="3337.335"/>
    <x v="1"/>
    <x v="3"/>
    <n v="0"/>
    <s v="REG100284"/>
    <s v="Cust 6029"/>
    <n v="45.42"/>
    <x v="245"/>
    <d v="2024-07-27T00:00:00"/>
    <s v="Ryan"/>
  </r>
  <r>
    <d v="2024-08-05T00:00:00"/>
    <n v="4174.0758000000005"/>
    <n v="834.81516000000011"/>
    <x v="0"/>
    <x v="1"/>
    <n v="19"/>
    <n v="271.22000000000003"/>
    <s v="Store A"/>
    <x v="0"/>
    <n v="0.1"/>
    <s v="Alice"/>
    <n v="4637.8620000000001"/>
    <x v="2"/>
    <x v="2"/>
    <n v="0"/>
    <s v="REG100285"/>
    <s v="Cust 4002"/>
    <n v="35.33"/>
    <x v="186"/>
    <d v="2024-08-15T00:00:00"/>
    <s v="Eric"/>
  </r>
  <r>
    <d v="2025-01-23T00:00:00"/>
    <n v="3195.24"/>
    <n v="639.048"/>
    <x v="4"/>
    <x v="0"/>
    <n v="6"/>
    <n v="532.54"/>
    <s v="Store A"/>
    <x v="0"/>
    <n v="0"/>
    <s v="Diana"/>
    <n v="3195.24"/>
    <x v="3"/>
    <x v="3"/>
    <n v="1"/>
    <s v="REG100286"/>
    <s v="Cust 5830"/>
    <n v="25.09"/>
    <x v="187"/>
    <d v="2025-02-02T00:00:00"/>
    <s v="Wendy"/>
  </r>
  <r>
    <d v="2025-04-27T00:00:00"/>
    <n v="3809.4824000000003"/>
    <n v="761.89648000000011"/>
    <x v="4"/>
    <x v="6"/>
    <n v="16"/>
    <n v="329.54"/>
    <s v="Store A"/>
    <x v="0"/>
    <n v="0.15"/>
    <s v="Bob"/>
    <n v="4481.7440000000006"/>
    <x v="3"/>
    <x v="0"/>
    <n v="1"/>
    <s v="REG100287"/>
    <s v="Cust 8088"/>
    <n v="39.39"/>
    <x v="240"/>
    <d v="2025-05-03T00:00:00"/>
    <s v="Wendy"/>
  </r>
  <r>
    <d v="2024-09-20T00:00:00"/>
    <n v="1020.6"/>
    <n v="204.12"/>
    <x v="1"/>
    <x v="1"/>
    <n v="6"/>
    <n v="170.1"/>
    <s v="Store A"/>
    <x v="1"/>
    <n v="0"/>
    <s v="Eva"/>
    <n v="1020.6"/>
    <x v="1"/>
    <x v="0"/>
    <n v="0"/>
    <s v="REG100288"/>
    <s v="Cust 6455"/>
    <n v="38.61"/>
    <x v="246"/>
    <d v="2024-09-23T00:00:00"/>
    <s v="Sophie"/>
  </r>
  <r>
    <d v="2023-09-08T00:00:00"/>
    <n v="2921.6238249999997"/>
    <n v="584.32476499999996"/>
    <x v="4"/>
    <x v="0"/>
    <n v="19"/>
    <n v="212.83"/>
    <s v="Store D"/>
    <x v="0"/>
    <n v="0.15"/>
    <s v="Carlos"/>
    <n v="3437.2044999999998"/>
    <x v="0"/>
    <x v="2"/>
    <n v="0"/>
    <s v="REG100289"/>
    <s v="Cust 4117"/>
    <n v="42.88"/>
    <x v="247"/>
    <d v="2023-09-15T00:00:00"/>
    <s v="Wendy"/>
  </r>
  <r>
    <d v="2025-04-20T00:00:00"/>
    <n v="2894.6"/>
    <n v="578.91999999999996"/>
    <x v="1"/>
    <x v="0"/>
    <n v="5"/>
    <n v="578.91999999999996"/>
    <s v="Store A"/>
    <x v="0"/>
    <n v="0"/>
    <s v="Bob"/>
    <n v="2894.6"/>
    <x v="2"/>
    <x v="3"/>
    <n v="1"/>
    <s v="REG100290"/>
    <s v="Cust 1385"/>
    <n v="44.09"/>
    <x v="248"/>
    <d v="2025-04-28T00:00:00"/>
    <s v="Sophie"/>
  </r>
  <r>
    <d v="2024-06-20T00:00:00"/>
    <n v="1110.3155999999999"/>
    <n v="222.06312"/>
    <x v="2"/>
    <x v="1"/>
    <n v="3"/>
    <n v="456.92"/>
    <s v="Store C"/>
    <x v="1"/>
    <n v="0.1"/>
    <s v="Frank"/>
    <n v="1233.684"/>
    <x v="1"/>
    <x v="0"/>
    <n v="0"/>
    <s v="REG100291"/>
    <s v="Cust 5185"/>
    <n v="17.57"/>
    <x v="249"/>
    <d v="2024-06-27T00:00:00"/>
    <s v="Ryan"/>
  </r>
  <r>
    <d v="2023-01-11T00:00:00"/>
    <n v="6258.36"/>
    <n v="1251.672"/>
    <x v="0"/>
    <x v="5"/>
    <n v="12"/>
    <n v="521.53"/>
    <s v="Store D"/>
    <x v="1"/>
    <n v="0"/>
    <s v="Eva"/>
    <n v="6258.36"/>
    <x v="2"/>
    <x v="1"/>
    <n v="1"/>
    <s v="REG100292"/>
    <s v="Cust 8704"/>
    <n v="49.59"/>
    <x v="6"/>
    <d v="2023-01-20T00:00:00"/>
    <s v="Eric"/>
  </r>
  <r>
    <d v="2023-07-04T00:00:00"/>
    <n v="7183.2050749999989"/>
    <n v="1436.6410149999999"/>
    <x v="2"/>
    <x v="2"/>
    <n v="17"/>
    <n v="468.19"/>
    <s v="Store D"/>
    <x v="1"/>
    <n v="0.05"/>
    <s v="Diana"/>
    <n v="7561.2684999999992"/>
    <x v="4"/>
    <x v="3"/>
    <n v="0"/>
    <s v="REG100293"/>
    <s v="Cust 3528"/>
    <n v="13.84"/>
    <x v="250"/>
    <d v="2023-07-07T00:00:00"/>
    <s v="Ryan"/>
  </r>
  <r>
    <d v="2025-03-08T00:00:00"/>
    <n v="57.287025"/>
    <n v="11.457405000000001"/>
    <x v="3"/>
    <x v="4"/>
    <n v="9"/>
    <n v="8.81"/>
    <s v="Store D"/>
    <x v="1"/>
    <n v="0.15"/>
    <s v="Alice"/>
    <n v="67.396500000000003"/>
    <x v="0"/>
    <x v="1"/>
    <n v="0"/>
    <s v="REG100294"/>
    <s v="Cust 3907"/>
    <n v="42.7"/>
    <x v="251"/>
    <d v="2025-03-18T00:00:00"/>
    <s v="Cameron"/>
  </r>
  <r>
    <d v="2025-02-10T00:00:00"/>
    <n v="2258.9684999999999"/>
    <n v="451.7937"/>
    <x v="1"/>
    <x v="3"/>
    <n v="6"/>
    <n v="521.1"/>
    <s v="Store A"/>
    <x v="0"/>
    <n v="0.15"/>
    <s v="Frank"/>
    <n v="2657.61"/>
    <x v="4"/>
    <x v="3"/>
    <n v="0"/>
    <s v="REG100295"/>
    <s v="Cust 9005"/>
    <n v="31.14"/>
    <x v="252"/>
    <d v="2025-02-12T00:00:00"/>
    <s v="Sophie"/>
  </r>
  <r>
    <d v="2025-03-17T00:00:00"/>
    <n v="2348.2710000000011"/>
    <n v="469.65420000000023"/>
    <x v="4"/>
    <x v="4"/>
    <n v="10"/>
    <n v="289.91000000000003"/>
    <s v="Store C"/>
    <x v="1"/>
    <n v="0.1"/>
    <s v="Diana"/>
    <n v="2609.190000000001"/>
    <x v="4"/>
    <x v="1"/>
    <n v="0"/>
    <s v="REG100296"/>
    <s v="Cust 3635"/>
    <n v="32.96"/>
    <x v="253"/>
    <d v="2025-03-21T00:00:00"/>
    <s v="Wendy"/>
  </r>
  <r>
    <d v="2023-11-09T00:00:00"/>
    <n v="385.19602499999996"/>
    <n v="77.039204999999995"/>
    <x v="0"/>
    <x v="6"/>
    <n v="3"/>
    <n v="142.27000000000001"/>
    <s v="Store D"/>
    <x v="1"/>
    <n v="0.05"/>
    <s v="Bob"/>
    <n v="405.46949999999998"/>
    <x v="0"/>
    <x v="1"/>
    <n v="0"/>
    <s v="REG100297"/>
    <s v="Cust 2122"/>
    <n v="32.799999999999997"/>
    <x v="254"/>
    <d v="2023-11-15T00:00:00"/>
    <s v="Eric"/>
  </r>
  <r>
    <d v="2023-11-30T00:00:00"/>
    <n v="4793.4933749999991"/>
    <n v="958.69867499999987"/>
    <x v="3"/>
    <x v="6"/>
    <n v="15"/>
    <n v="354.09"/>
    <s v="Store B"/>
    <x v="1"/>
    <n v="0.05"/>
    <s v="Carlos"/>
    <n v="5045.7824999999993"/>
    <x v="0"/>
    <x v="3"/>
    <n v="1"/>
    <s v="REG100298"/>
    <s v="Cust 4467"/>
    <n v="25.3"/>
    <x v="18"/>
    <d v="2023-12-08T00:00:00"/>
    <s v="Cameron"/>
  </r>
  <r>
    <d v="2024-08-15T00:00:00"/>
    <n v="7171.4"/>
    <n v="1434.28"/>
    <x v="1"/>
    <x v="5"/>
    <n v="20"/>
    <n v="358.57"/>
    <s v="Store B"/>
    <x v="0"/>
    <n v="0"/>
    <s v="Alice"/>
    <n v="7171.4"/>
    <x v="3"/>
    <x v="0"/>
    <n v="1"/>
    <s v="REG100299"/>
    <s v="Cust 6146"/>
    <n v="21.11"/>
    <x v="255"/>
    <d v="2024-08-20T00:00:00"/>
    <s v="Sophie"/>
  </r>
  <r>
    <d v="2023-03-21T00:00:00"/>
    <n v="479.11919999999998"/>
    <n v="95.823840000000004"/>
    <x v="4"/>
    <x v="5"/>
    <n v="16"/>
    <n v="33.18"/>
    <s v="Store C"/>
    <x v="1"/>
    <n v="0.05"/>
    <s v="Eva"/>
    <n v="504.33600000000001"/>
    <x v="0"/>
    <x v="1"/>
    <n v="0"/>
    <s v="REG100300"/>
    <s v="Cust 4001"/>
    <n v="22.94"/>
    <x v="256"/>
    <d v="2023-03-26T00:00:00"/>
    <s v="Wendy"/>
  </r>
  <r>
    <d v="2023-10-26T00:00:00"/>
    <n v="248.8"/>
    <n v="49.760000000000005"/>
    <x v="4"/>
    <x v="4"/>
    <n v="2"/>
    <n v="124.4"/>
    <s v="Store B"/>
    <x v="1"/>
    <n v="0"/>
    <s v="Eva"/>
    <n v="248.8"/>
    <x v="0"/>
    <x v="3"/>
    <n v="0"/>
    <s v="REG100301"/>
    <s v="Cust 3365"/>
    <n v="37.049999999999997"/>
    <x v="71"/>
    <d v="2023-10-31T00:00:00"/>
    <s v="Wendy"/>
  </r>
  <r>
    <d v="2023-11-03T00:00:00"/>
    <n v="172.62719999999999"/>
    <n v="34.525439999999996"/>
    <x v="4"/>
    <x v="1"/>
    <n v="12"/>
    <n v="17.760000000000002"/>
    <s v="Store D"/>
    <x v="1"/>
    <n v="0.1"/>
    <s v="Carlos"/>
    <n v="191.80799999999999"/>
    <x v="0"/>
    <x v="0"/>
    <n v="0"/>
    <s v="REG100302"/>
    <s v="Cust 2194"/>
    <n v="12.18"/>
    <x v="257"/>
    <d v="2023-11-11T00:00:00"/>
    <s v="Wendy"/>
  </r>
  <r>
    <d v="2025-01-30T00:00:00"/>
    <n v="3994.3267999999994"/>
    <n v="798.8653599999999"/>
    <x v="2"/>
    <x v="3"/>
    <n v="16"/>
    <n v="345.53"/>
    <s v="Store C"/>
    <x v="1"/>
    <n v="0.15"/>
    <s v="Frank"/>
    <n v="4699.2079999999996"/>
    <x v="1"/>
    <x v="1"/>
    <n v="0"/>
    <s v="REG100303"/>
    <s v="Cust 7942"/>
    <n v="13.43"/>
    <x v="258"/>
    <d v="2025-02-05T00:00:00"/>
    <s v="Ryan"/>
  </r>
  <r>
    <d v="2024-01-25T00:00:00"/>
    <n v="5320.454099999999"/>
    <n v="1064.0908199999999"/>
    <x v="4"/>
    <x v="0"/>
    <n v="13"/>
    <n v="453.48"/>
    <s v="Store A"/>
    <x v="0"/>
    <n v="0.05"/>
    <s v="Alice"/>
    <n v="5600.4779999999992"/>
    <x v="1"/>
    <x v="1"/>
    <n v="0"/>
    <s v="REG100304"/>
    <s v="Cust 8451"/>
    <n v="46.28"/>
    <x v="109"/>
    <d v="2024-02-03T00:00:00"/>
    <s v="Wendy"/>
  </r>
  <r>
    <d v="2025-03-29T00:00:00"/>
    <n v="2006.6714999999999"/>
    <n v="401.33429999999998"/>
    <x v="1"/>
    <x v="0"/>
    <n v="10"/>
    <n v="277.74"/>
    <s v="Store B"/>
    <x v="1"/>
    <n v="0.15"/>
    <s v="Carlos"/>
    <n v="2360.79"/>
    <x v="1"/>
    <x v="1"/>
    <n v="1"/>
    <s v="REG100305"/>
    <s v="Cust 4238"/>
    <n v="35.020000000000003"/>
    <x v="259"/>
    <d v="2025-04-02T00:00:00"/>
    <s v="Sophie"/>
  </r>
  <r>
    <d v="2024-11-02T00:00:00"/>
    <n v="1436.16"/>
    <n v="287.23200000000003"/>
    <x v="3"/>
    <x v="3"/>
    <n v="16"/>
    <n v="89.76"/>
    <s v="Store A"/>
    <x v="0"/>
    <n v="0"/>
    <s v="Alice"/>
    <n v="1436.16"/>
    <x v="3"/>
    <x v="2"/>
    <n v="1"/>
    <s v="REG100306"/>
    <s v="Cust 2529"/>
    <n v="44.69"/>
    <x v="260"/>
    <d v="2024-11-09T00:00:00"/>
    <s v="Cameron"/>
  </r>
  <r>
    <d v="2024-06-30T00:00:00"/>
    <n v="5889.07"/>
    <n v="1177.8140000000001"/>
    <x v="3"/>
    <x v="3"/>
    <n v="11"/>
    <n v="535.37"/>
    <s v="Store D"/>
    <x v="0"/>
    <n v="0"/>
    <s v="Frank"/>
    <n v="5889.07"/>
    <x v="4"/>
    <x v="3"/>
    <n v="0"/>
    <s v="REG100307"/>
    <s v="Cust 7057"/>
    <n v="35.96"/>
    <x v="261"/>
    <d v="2024-07-09T00:00:00"/>
    <s v="Cameron"/>
  </r>
  <r>
    <d v="2023-01-11T00:00:00"/>
    <n v="113.5782"/>
    <n v="22.71564"/>
    <x v="1"/>
    <x v="5"/>
    <n v="9"/>
    <n v="15.58"/>
    <s v="Store D"/>
    <x v="1"/>
    <n v="0.1"/>
    <s v="Frank"/>
    <n v="126.19799999999999"/>
    <x v="1"/>
    <x v="0"/>
    <n v="1"/>
    <s v="REG100308"/>
    <s v="Cust 9069"/>
    <n v="27.81"/>
    <x v="6"/>
    <d v="2023-01-19T00:00:00"/>
    <s v="Sophie"/>
  </r>
  <r>
    <d v="2025-06-05T00:00:00"/>
    <n v="6065.02"/>
    <n v="1213.0040000000001"/>
    <x v="2"/>
    <x v="2"/>
    <n v="13"/>
    <n v="466.54"/>
    <s v="Store C"/>
    <x v="0"/>
    <n v="0"/>
    <s v="Eva"/>
    <n v="6065.02"/>
    <x v="4"/>
    <x v="0"/>
    <n v="0"/>
    <s v="REG100309"/>
    <s v="Cust 5858"/>
    <n v="18.63"/>
    <x v="20"/>
    <d v="2025-06-14T00:00:00"/>
    <s v="Ryan"/>
  </r>
  <r>
    <d v="2024-03-21T00:00:00"/>
    <n v="7685.2800000000007"/>
    <n v="1537.0560000000003"/>
    <x v="2"/>
    <x v="4"/>
    <n v="16"/>
    <n v="593"/>
    <s v="Store D"/>
    <x v="1"/>
    <n v="0.1"/>
    <s v="Eva"/>
    <n v="8539.2000000000007"/>
    <x v="1"/>
    <x v="1"/>
    <n v="0"/>
    <s v="REG100310"/>
    <s v="Cust 2712"/>
    <n v="18.77"/>
    <x v="58"/>
    <d v="2024-03-24T00:00:00"/>
    <s v="Ryan"/>
  </r>
  <r>
    <d v="2023-08-31T00:00:00"/>
    <n v="3072.2544000000003"/>
    <n v="614.4508800000001"/>
    <x v="1"/>
    <x v="2"/>
    <n v="6"/>
    <n v="567.36"/>
    <s v="Store C"/>
    <x v="0"/>
    <n v="0.05"/>
    <s v="Alice"/>
    <n v="3233.9520000000002"/>
    <x v="1"/>
    <x v="2"/>
    <n v="0"/>
    <s v="REG100311"/>
    <s v="Cust 7052"/>
    <n v="45.98"/>
    <x v="262"/>
    <d v="2023-09-08T00:00:00"/>
    <s v="Sophie"/>
  </r>
  <r>
    <d v="2024-10-07T00:00:00"/>
    <n v="8024.7411999999995"/>
    <n v="1604.9482399999999"/>
    <x v="1"/>
    <x v="1"/>
    <n v="17"/>
    <n v="523.04"/>
    <s v="Store A"/>
    <x v="1"/>
    <n v="0.05"/>
    <s v="Eva"/>
    <n v="8447.0959999999995"/>
    <x v="3"/>
    <x v="0"/>
    <n v="0"/>
    <s v="REG100312"/>
    <s v="Cust 9397"/>
    <n v="37.380000000000003"/>
    <x v="263"/>
    <d v="2024-10-17T00:00:00"/>
    <s v="Sophie"/>
  </r>
  <r>
    <d v="2023-04-12T00:00:00"/>
    <n v="6398.7999999999993"/>
    <n v="1279.76"/>
    <x v="2"/>
    <x v="0"/>
    <n v="17"/>
    <n v="376.4"/>
    <s v="Store C"/>
    <x v="0"/>
    <n v="0"/>
    <s v="Alice"/>
    <n v="6398.7999999999993"/>
    <x v="3"/>
    <x v="0"/>
    <n v="0"/>
    <s v="REG100313"/>
    <s v="Cust 4614"/>
    <n v="33.380000000000003"/>
    <x v="264"/>
    <d v="2023-04-15T00:00:00"/>
    <s v="Ryan"/>
  </r>
  <r>
    <d v="2023-11-06T00:00:00"/>
    <n v="343.873875"/>
    <n v="68.774775000000005"/>
    <x v="1"/>
    <x v="6"/>
    <n v="5"/>
    <n v="95.19"/>
    <s v="Store A"/>
    <x v="1"/>
    <n v="0.15"/>
    <s v="Frank"/>
    <n v="404.5575"/>
    <x v="2"/>
    <x v="2"/>
    <n v="0"/>
    <s v="REG100314"/>
    <s v="Cust 1573"/>
    <n v="48.55"/>
    <x v="265"/>
    <d v="2023-11-16T00:00:00"/>
    <s v="Sophie"/>
  </r>
  <r>
    <d v="2023-04-28T00:00:00"/>
    <n v="304.47595000000001"/>
    <n v="60.895190000000007"/>
    <x v="4"/>
    <x v="2"/>
    <n v="2"/>
    <n v="210.71"/>
    <s v="Store D"/>
    <x v="0"/>
    <n v="0.15"/>
    <s v="Diana"/>
    <n v="358.20699999999999"/>
    <x v="2"/>
    <x v="1"/>
    <n v="0"/>
    <s v="REG100315"/>
    <s v="Cust 5660"/>
    <n v="7.78"/>
    <x v="266"/>
    <d v="2023-05-08T00:00:00"/>
    <s v="Wendy"/>
  </r>
  <r>
    <d v="2023-12-18T00:00:00"/>
    <n v="2230.5212999999999"/>
    <n v="446.10426000000001"/>
    <x v="4"/>
    <x v="6"/>
    <n v="7"/>
    <n v="393.39"/>
    <s v="Store B"/>
    <x v="1"/>
    <n v="0.1"/>
    <s v="Alice"/>
    <n v="2478.357"/>
    <x v="4"/>
    <x v="1"/>
    <n v="0"/>
    <s v="REG100316"/>
    <s v="Cust 3952"/>
    <n v="34.35"/>
    <x v="267"/>
    <d v="2023-12-21T00:00:00"/>
    <s v="Wendy"/>
  </r>
  <r>
    <d v="2024-10-10T00:00:00"/>
    <n v="1482.39"/>
    <n v="296.47800000000001"/>
    <x v="1"/>
    <x v="1"/>
    <n v="13"/>
    <n v="114.03"/>
    <s v="Store A"/>
    <x v="1"/>
    <n v="0"/>
    <s v="Bob"/>
    <n v="1482.39"/>
    <x v="4"/>
    <x v="3"/>
    <n v="0"/>
    <s v="REG100317"/>
    <s v="Cust 5407"/>
    <n v="43.81"/>
    <x v="268"/>
    <d v="2024-10-16T00:00:00"/>
    <s v="Sophie"/>
  </r>
  <r>
    <d v="2023-02-05T00:00:00"/>
    <n v="6056.64"/>
    <n v="1211.3280000000002"/>
    <x v="2"/>
    <x v="5"/>
    <n v="18"/>
    <n v="336.48"/>
    <s v="Store B"/>
    <x v="1"/>
    <n v="0"/>
    <s v="Frank"/>
    <n v="6056.64"/>
    <x v="0"/>
    <x v="2"/>
    <n v="0"/>
    <s v="REG100318"/>
    <s v="Cust 9595"/>
    <n v="18.59"/>
    <x v="269"/>
    <d v="2023-02-07T00:00:00"/>
    <s v="Ryan"/>
  </r>
  <r>
    <d v="2024-08-04T00:00:00"/>
    <n v="158.9211"/>
    <n v="31.784220000000001"/>
    <x v="3"/>
    <x v="4"/>
    <n v="9"/>
    <n v="24.44"/>
    <s v="Store C"/>
    <x v="0"/>
    <n v="0.15"/>
    <s v="Eva"/>
    <n v="186.96600000000001"/>
    <x v="1"/>
    <x v="1"/>
    <n v="1"/>
    <s v="REG100319"/>
    <s v="Cust 3245"/>
    <n v="22.06"/>
    <x v="270"/>
    <d v="2024-08-14T00:00:00"/>
    <s v="Cameron"/>
  </r>
  <r>
    <d v="2024-10-23T00:00:00"/>
    <n v="3814.3259999999991"/>
    <n v="762.86519999999985"/>
    <x v="3"/>
    <x v="5"/>
    <n v="12"/>
    <n v="352.2"/>
    <s v="Store A"/>
    <x v="1"/>
    <n v="0.05"/>
    <s v="Eva"/>
    <n v="4015.079999999999"/>
    <x v="2"/>
    <x v="2"/>
    <n v="0"/>
    <s v="REG100320"/>
    <s v="Cust 7180"/>
    <n v="18.39"/>
    <x v="75"/>
    <d v="2024-11-01T00:00:00"/>
    <s v="Cameron"/>
  </r>
  <r>
    <d v="2024-02-13T00:00:00"/>
    <n v="2236.3318249999998"/>
    <n v="447.26636499999995"/>
    <x v="4"/>
    <x v="4"/>
    <n v="7"/>
    <n v="353.99"/>
    <s v="Store C"/>
    <x v="0"/>
    <n v="0.05"/>
    <s v="Carlos"/>
    <n v="2354.0335"/>
    <x v="1"/>
    <x v="0"/>
    <n v="0"/>
    <s v="REG100321"/>
    <s v="Cust 5973"/>
    <n v="5.93"/>
    <x v="30"/>
    <d v="2024-02-20T00:00:00"/>
    <s v="Wendy"/>
  </r>
  <r>
    <d v="2024-06-03T00:00:00"/>
    <n v="153.30000000000001"/>
    <n v="30.660000000000004"/>
    <x v="1"/>
    <x v="5"/>
    <n v="15"/>
    <n v="10.220000000000001"/>
    <s v="Store C"/>
    <x v="1"/>
    <n v="0"/>
    <s v="Alice"/>
    <n v="153.30000000000001"/>
    <x v="1"/>
    <x v="0"/>
    <n v="0"/>
    <s v="REG100322"/>
    <s v="Cust 4310"/>
    <n v="36.270000000000003"/>
    <x v="189"/>
    <d v="2024-06-07T00:00:00"/>
    <s v="Sophie"/>
  </r>
  <r>
    <d v="2023-04-14T00:00:00"/>
    <n v="5701.0451999999996"/>
    <n v="1140.20904"/>
    <x v="1"/>
    <x v="6"/>
    <n v="17"/>
    <n v="464.16"/>
    <s v="Store A"/>
    <x v="1"/>
    <n v="0.15"/>
    <s v="Carlos"/>
    <n v="6707.1120000000001"/>
    <x v="3"/>
    <x v="0"/>
    <n v="1"/>
    <s v="REG100323"/>
    <s v="Cust 6243"/>
    <n v="46.83"/>
    <x v="271"/>
    <d v="2023-04-18T00:00:00"/>
    <s v="Sophie"/>
  </r>
  <r>
    <d v="2024-10-19T00:00:00"/>
    <n v="6300.3163999999988"/>
    <n v="1260.0632799999998"/>
    <x v="3"/>
    <x v="0"/>
    <n v="16"/>
    <n v="436.31"/>
    <s v="Store C"/>
    <x v="1"/>
    <n v="0.05"/>
    <s v="Diana"/>
    <n v="6631.9119999999994"/>
    <x v="0"/>
    <x v="3"/>
    <n v="0"/>
    <s v="REG100324"/>
    <s v="Cust 2448"/>
    <n v="47.61"/>
    <x v="272"/>
    <d v="2024-10-23T00:00:00"/>
    <s v="Cameron"/>
  </r>
  <r>
    <d v="2023-12-18T00:00:00"/>
    <n v="1786.3814249999998"/>
    <n v="357.27628499999997"/>
    <x v="1"/>
    <x v="0"/>
    <n v="9"/>
    <n v="219.93"/>
    <s v="Store B"/>
    <x v="0"/>
    <n v="0.05"/>
    <s v="Bob"/>
    <n v="1880.4014999999999"/>
    <x v="1"/>
    <x v="0"/>
    <n v="0"/>
    <s v="REG100325"/>
    <s v="Cust 9386"/>
    <n v="44.78"/>
    <x v="267"/>
    <d v="2023-12-22T00:00:00"/>
    <s v="Sophie"/>
  </r>
  <r>
    <d v="2023-08-31T00:00:00"/>
    <n v="1124.28225"/>
    <n v="224.85645"/>
    <x v="2"/>
    <x v="0"/>
    <n v="5"/>
    <n v="311.22000000000003"/>
    <s v="Store A"/>
    <x v="0"/>
    <n v="0.15"/>
    <s v="Diana"/>
    <n v="1322.6849999999999"/>
    <x v="4"/>
    <x v="0"/>
    <n v="0"/>
    <s v="REG100326"/>
    <s v="Cust 2227"/>
    <n v="36.979999999999997"/>
    <x v="262"/>
    <d v="2023-09-06T00:00:00"/>
    <s v="Ryan"/>
  </r>
  <r>
    <d v="2023-09-19T00:00:00"/>
    <n v="1582.4484"/>
    <n v="316.48968000000002"/>
    <x v="1"/>
    <x v="0"/>
    <n v="4"/>
    <n v="547.55999999999995"/>
    <s v="Store D"/>
    <x v="1"/>
    <n v="0.15"/>
    <s v="Frank"/>
    <n v="1861.704"/>
    <x v="1"/>
    <x v="3"/>
    <n v="0"/>
    <s v="REG100327"/>
    <s v="Cust 3803"/>
    <n v="25.88"/>
    <x v="273"/>
    <d v="2023-09-26T00:00:00"/>
    <s v="Sophie"/>
  </r>
  <r>
    <d v="2023-02-27T00:00:00"/>
    <n v="342.61672500000003"/>
    <n v="68.523345000000006"/>
    <x v="3"/>
    <x v="0"/>
    <n v="9"/>
    <n v="52.69"/>
    <s v="Store D"/>
    <x v="1"/>
    <n v="0.15"/>
    <s v="Diana"/>
    <n v="403.07850000000002"/>
    <x v="0"/>
    <x v="1"/>
    <n v="0"/>
    <s v="REG100328"/>
    <s v="Cust 1236"/>
    <n v="14.59"/>
    <x v="274"/>
    <d v="2023-03-04T00:00:00"/>
    <s v="Cameron"/>
  </r>
  <r>
    <d v="2024-01-28T00:00:00"/>
    <n v="3169.2545999999998"/>
    <n v="633.85091999999997"/>
    <x v="1"/>
    <x v="5"/>
    <n v="9"/>
    <n v="434.74"/>
    <s v="Store D"/>
    <x v="0"/>
    <n v="0.1"/>
    <s v="Bob"/>
    <n v="3521.3939999999998"/>
    <x v="0"/>
    <x v="1"/>
    <n v="0"/>
    <s v="REG100329"/>
    <s v="Cust 2669"/>
    <n v="20.11"/>
    <x v="275"/>
    <d v="2024-01-31T00:00:00"/>
    <s v="Sophie"/>
  </r>
  <r>
    <d v="2025-05-06T00:00:00"/>
    <n v="1117.53"/>
    <n v="223.506"/>
    <x v="1"/>
    <x v="4"/>
    <n v="9"/>
    <n v="124.17"/>
    <s v="Store C"/>
    <x v="0"/>
    <n v="0"/>
    <s v="Eva"/>
    <n v="1117.53"/>
    <x v="3"/>
    <x v="2"/>
    <n v="0"/>
    <s v="REG100330"/>
    <s v="Cust 3746"/>
    <n v="13.31"/>
    <x v="276"/>
    <d v="2025-05-10T00:00:00"/>
    <s v="Sophie"/>
  </r>
  <r>
    <d v="2024-09-13T00:00:00"/>
    <n v="677.7414"/>
    <n v="135.54828000000001"/>
    <x v="0"/>
    <x v="4"/>
    <n v="2"/>
    <n v="375.48"/>
    <s v="Store D"/>
    <x v="1"/>
    <n v="0.05"/>
    <s v="Diana"/>
    <n v="713.41200000000003"/>
    <x v="2"/>
    <x v="0"/>
    <n v="0"/>
    <s v="REG100331"/>
    <s v="Cust 9694"/>
    <n v="26.39"/>
    <x v="277"/>
    <d v="2024-09-15T00:00:00"/>
    <s v="Eric"/>
  </r>
  <r>
    <d v="2023-05-25T00:00:00"/>
    <n v="2222.4618"/>
    <n v="444.49236000000002"/>
    <x v="0"/>
    <x v="6"/>
    <n v="13"/>
    <n v="211.06"/>
    <s v="Store B"/>
    <x v="1"/>
    <n v="0.1"/>
    <s v="Bob"/>
    <n v="2469.402"/>
    <x v="1"/>
    <x v="3"/>
    <n v="1"/>
    <s v="REG100332"/>
    <s v="Cust 4993"/>
    <n v="19.579999999999998"/>
    <x v="147"/>
    <d v="2023-05-29T00:00:00"/>
    <s v="Eric"/>
  </r>
  <r>
    <d v="2024-09-26T00:00:00"/>
    <n v="622.09"/>
    <n v="124.41800000000001"/>
    <x v="1"/>
    <x v="5"/>
    <n v="7"/>
    <n v="88.87"/>
    <s v="Store C"/>
    <x v="1"/>
    <n v="0"/>
    <s v="Alice"/>
    <n v="622.09"/>
    <x v="0"/>
    <x v="1"/>
    <n v="0"/>
    <s v="REG100333"/>
    <s v="Cust 1271"/>
    <n v="8.36"/>
    <x v="217"/>
    <d v="2024-10-01T00:00:00"/>
    <s v="Sophie"/>
  </r>
  <r>
    <d v="2023-02-13T00:00:00"/>
    <n v="1147.258"/>
    <n v="229.45160000000001"/>
    <x v="1"/>
    <x v="1"/>
    <n v="5"/>
    <n v="254.24"/>
    <s v="Store B"/>
    <x v="0"/>
    <n v="0.05"/>
    <s v="Bob"/>
    <n v="1207.6400000000001"/>
    <x v="0"/>
    <x v="3"/>
    <n v="0"/>
    <s v="REG100334"/>
    <s v="Cust 3042"/>
    <n v="9.9700000000000006"/>
    <x v="278"/>
    <d v="2023-02-18T00:00:00"/>
    <s v="Sophie"/>
  </r>
  <r>
    <d v="2024-06-20T00:00:00"/>
    <n v="1751.0175000000002"/>
    <n v="350.20350000000008"/>
    <x v="3"/>
    <x v="3"/>
    <n v="5"/>
    <n v="432.35"/>
    <s v="Store C"/>
    <x v="0"/>
    <n v="0.1"/>
    <s v="Bob"/>
    <n v="1945.575"/>
    <x v="1"/>
    <x v="3"/>
    <n v="1"/>
    <s v="REG100335"/>
    <s v="Cust 6424"/>
    <n v="41.48"/>
    <x v="249"/>
    <d v="2024-06-27T00:00:00"/>
    <s v="Cameron"/>
  </r>
  <r>
    <d v="2024-03-22T00:00:00"/>
    <n v="10117.025"/>
    <n v="2023.405"/>
    <x v="4"/>
    <x v="0"/>
    <n v="19"/>
    <n v="590"/>
    <s v="Store D"/>
    <x v="1"/>
    <n v="0.05"/>
    <s v="Alice"/>
    <n v="10649.5"/>
    <x v="0"/>
    <x v="0"/>
    <n v="0"/>
    <s v="REG100336"/>
    <s v="Cust 1422"/>
    <n v="5.91"/>
    <x v="124"/>
    <d v="2024-03-25T00:00:00"/>
    <s v="Wendy"/>
  </r>
  <r>
    <d v="2024-02-08T00:00:00"/>
    <n v="1347.6375"/>
    <n v="269.52750000000003"/>
    <x v="4"/>
    <x v="4"/>
    <n v="11"/>
    <n v="151.25"/>
    <s v="Store B"/>
    <x v="0"/>
    <n v="0.1"/>
    <s v="Frank"/>
    <n v="1497.375"/>
    <x v="2"/>
    <x v="3"/>
    <n v="1"/>
    <s v="REG100337"/>
    <s v="Cust 5857"/>
    <n v="22.65"/>
    <x v="279"/>
    <d v="2024-02-11T00:00:00"/>
    <s v="Wendy"/>
  </r>
  <r>
    <d v="2024-06-01T00:00:00"/>
    <n v="497.6397"/>
    <n v="99.527940000000001"/>
    <x v="0"/>
    <x v="2"/>
    <n v="3"/>
    <n v="204.79"/>
    <s v="Store B"/>
    <x v="1"/>
    <n v="0.1"/>
    <s v="Frank"/>
    <n v="552.93299999999999"/>
    <x v="0"/>
    <x v="0"/>
    <n v="1"/>
    <s v="REG100338"/>
    <s v="Cust 6953"/>
    <n v="7.72"/>
    <x v="280"/>
    <d v="2024-06-04T00:00:00"/>
    <s v="Eric"/>
  </r>
  <r>
    <d v="2024-05-26T00:00:00"/>
    <n v="9384.32"/>
    <n v="1876.864"/>
    <x v="2"/>
    <x v="0"/>
    <n v="16"/>
    <n v="586.52"/>
    <s v="Store C"/>
    <x v="0"/>
    <n v="0"/>
    <s v="Diana"/>
    <n v="9384.32"/>
    <x v="2"/>
    <x v="2"/>
    <n v="1"/>
    <s v="REG100339"/>
    <s v="Cust 2916"/>
    <n v="17.059999999999999"/>
    <x v="96"/>
    <d v="2024-06-01T00:00:00"/>
    <s v="Ryan"/>
  </r>
  <r>
    <d v="2024-06-25T00:00:00"/>
    <n v="1677.28"/>
    <n v="335.45600000000002"/>
    <x v="0"/>
    <x v="6"/>
    <n v="16"/>
    <n v="104.83"/>
    <s v="Store A"/>
    <x v="0"/>
    <n v="0"/>
    <s v="Carlos"/>
    <n v="1677.28"/>
    <x v="1"/>
    <x v="0"/>
    <n v="0"/>
    <s v="REG100340"/>
    <s v="Cust 6855"/>
    <n v="33.99"/>
    <x v="281"/>
    <d v="2024-06-30T00:00:00"/>
    <s v="Eric"/>
  </r>
  <r>
    <d v="2024-01-29T00:00:00"/>
    <n v="7756.3008000000009"/>
    <n v="1551.2601600000003"/>
    <x v="3"/>
    <x v="6"/>
    <n v="16"/>
    <n v="598.48"/>
    <s v="Store A"/>
    <x v="1"/>
    <n v="0.1"/>
    <s v="Frank"/>
    <n v="8618.112000000001"/>
    <x v="4"/>
    <x v="3"/>
    <n v="0"/>
    <s v="REG100341"/>
    <s v="Cust 8464"/>
    <n v="47.86"/>
    <x v="282"/>
    <d v="2024-02-07T00:00:00"/>
    <s v="Cameron"/>
  </r>
  <r>
    <d v="2024-12-07T00:00:00"/>
    <n v="2656.1657999999998"/>
    <n v="531.23316"/>
    <x v="1"/>
    <x v="3"/>
    <n v="8"/>
    <n v="367.89"/>
    <s v="Store B"/>
    <x v="1"/>
    <n v="0.05"/>
    <s v="Alice"/>
    <n v="2795.9639999999999"/>
    <x v="4"/>
    <x v="0"/>
    <n v="0"/>
    <s v="REG100342"/>
    <s v="Cust 9700"/>
    <n v="18.100000000000001"/>
    <x v="29"/>
    <d v="2024-12-09T00:00:00"/>
    <s v="Sophie"/>
  </r>
  <r>
    <d v="2023-11-21T00:00:00"/>
    <n v="2408.4537499999997"/>
    <n v="481.69074999999998"/>
    <x v="4"/>
    <x v="3"/>
    <n v="10"/>
    <n v="333.35"/>
    <s v="Store A"/>
    <x v="1"/>
    <n v="0.15"/>
    <s v="Alice"/>
    <n v="2833.4749999999999"/>
    <x v="3"/>
    <x v="0"/>
    <n v="0"/>
    <s v="REG100343"/>
    <s v="Cust 7765"/>
    <n v="39.35"/>
    <x v="283"/>
    <d v="2023-11-26T00:00:00"/>
    <s v="Wendy"/>
  </r>
  <r>
    <d v="2024-12-16T00:00:00"/>
    <n v="2455.1424000000002"/>
    <n v="491.02848000000006"/>
    <x v="2"/>
    <x v="3"/>
    <n v="8"/>
    <n v="378.88"/>
    <s v="Store A"/>
    <x v="0"/>
    <n v="0.1"/>
    <s v="Frank"/>
    <n v="2727.9360000000001"/>
    <x v="3"/>
    <x v="2"/>
    <n v="1"/>
    <s v="REG100344"/>
    <s v="Cust 8246"/>
    <n v="5.22"/>
    <x v="284"/>
    <d v="2024-12-24T00:00:00"/>
    <s v="Ryan"/>
  </r>
  <r>
    <d v="2023-08-05T00:00:00"/>
    <n v="1832.4359999999999"/>
    <n v="366.48720000000003"/>
    <x v="3"/>
    <x v="4"/>
    <n v="12"/>
    <n v="169.2"/>
    <s v="Store C"/>
    <x v="1"/>
    <n v="0.05"/>
    <s v="Diana"/>
    <n v="1928.88"/>
    <x v="1"/>
    <x v="1"/>
    <n v="0"/>
    <s v="REG100345"/>
    <s v="Cust 6500"/>
    <n v="28.65"/>
    <x v="285"/>
    <d v="2023-08-15T00:00:00"/>
    <s v="Cameron"/>
  </r>
  <r>
    <d v="2023-08-30T00:00:00"/>
    <n v="584.18010000000004"/>
    <n v="116.83602000000002"/>
    <x v="3"/>
    <x v="3"/>
    <n v="7"/>
    <n v="103.03"/>
    <s v="Store D"/>
    <x v="1"/>
    <n v="0.1"/>
    <s v="Bob"/>
    <n v="649.08900000000006"/>
    <x v="0"/>
    <x v="0"/>
    <n v="1"/>
    <s v="REG100346"/>
    <s v="Cust 1150"/>
    <n v="5.29"/>
    <x v="286"/>
    <d v="2023-09-06T00:00:00"/>
    <s v="Cameron"/>
  </r>
  <r>
    <d v="2025-03-25T00:00:00"/>
    <n v="820.91895"/>
    <n v="164.18379000000002"/>
    <x v="0"/>
    <x v="6"/>
    <n v="3"/>
    <n v="378.74"/>
    <s v="Store D"/>
    <x v="0"/>
    <n v="0.15"/>
    <s v="Frank"/>
    <n v="965.78700000000003"/>
    <x v="0"/>
    <x v="1"/>
    <n v="0"/>
    <s v="REG100347"/>
    <s v="Cust 7449"/>
    <n v="8.2200000000000006"/>
    <x v="287"/>
    <d v="2025-03-27T00:00:00"/>
    <s v="Eric"/>
  </r>
  <r>
    <d v="2024-12-13T00:00:00"/>
    <n v="408.15"/>
    <n v="81.63"/>
    <x v="2"/>
    <x v="1"/>
    <n v="15"/>
    <n v="27.21"/>
    <s v="Store C"/>
    <x v="0"/>
    <n v="0"/>
    <s v="Alice"/>
    <n v="408.15"/>
    <x v="0"/>
    <x v="2"/>
    <n v="0"/>
    <s v="REG100348"/>
    <s v="Cust 1957"/>
    <n v="43.69"/>
    <x v="167"/>
    <d v="2024-12-22T00:00:00"/>
    <s v="Ryan"/>
  </r>
  <r>
    <d v="2023-09-07T00:00:00"/>
    <n v="729.26"/>
    <n v="145.852"/>
    <x v="3"/>
    <x v="1"/>
    <n v="14"/>
    <n v="52.09"/>
    <s v="Store A"/>
    <x v="1"/>
    <n v="0"/>
    <s v="Bob"/>
    <n v="729.26"/>
    <x v="1"/>
    <x v="3"/>
    <n v="1"/>
    <s v="REG100349"/>
    <s v="Cust 3467"/>
    <n v="48.02"/>
    <x v="288"/>
    <d v="2023-09-14T00:00:00"/>
    <s v="Cameron"/>
  </r>
  <r>
    <d v="2023-12-12T00:00:00"/>
    <n v="3990.07"/>
    <n v="798.01400000000012"/>
    <x v="2"/>
    <x v="4"/>
    <n v="7"/>
    <n v="570.01"/>
    <s v="Store C"/>
    <x v="0"/>
    <n v="0"/>
    <s v="Carlos"/>
    <n v="3990.07"/>
    <x v="2"/>
    <x v="2"/>
    <n v="0"/>
    <s v="REG100350"/>
    <s v="Cust 5212"/>
    <n v="42.33"/>
    <x v="289"/>
    <d v="2023-12-21T00:00:00"/>
    <s v="Ryan"/>
  </r>
  <r>
    <d v="2024-04-25T00:00:00"/>
    <n v="9998.3700000000008"/>
    <n v="1999.6740000000002"/>
    <x v="0"/>
    <x v="4"/>
    <n v="19"/>
    <n v="526.23"/>
    <s v="Store B"/>
    <x v="1"/>
    <n v="0"/>
    <s v="Bob"/>
    <n v="9998.3700000000008"/>
    <x v="2"/>
    <x v="2"/>
    <n v="0"/>
    <s v="REG100351"/>
    <s v="Cust 3509"/>
    <n v="32.770000000000003"/>
    <x v="290"/>
    <d v="2024-05-05T00:00:00"/>
    <s v="Eric"/>
  </r>
  <r>
    <d v="2025-05-04T00:00:00"/>
    <n v="1702.2677999999999"/>
    <n v="340.45355999999998"/>
    <x v="2"/>
    <x v="0"/>
    <n v="8"/>
    <n v="294.51"/>
    <s v="Store A"/>
    <x v="0"/>
    <n v="0.15"/>
    <s v="Diana"/>
    <n v="2002.6679999999999"/>
    <x v="1"/>
    <x v="3"/>
    <n v="0"/>
    <s v="REG100352"/>
    <s v="Cust 5316"/>
    <n v="10.46"/>
    <x v="291"/>
    <d v="2025-05-07T00:00:00"/>
    <s v="Ryan"/>
  </r>
  <r>
    <d v="2023-09-16T00:00:00"/>
    <n v="7282.1461499999987"/>
    <n v="1456.4292299999997"/>
    <x v="1"/>
    <x v="4"/>
    <n v="18"/>
    <n v="448.27"/>
    <s v="Store C"/>
    <x v="0"/>
    <n v="0.05"/>
    <s v="Diana"/>
    <n v="7665.4169999999986"/>
    <x v="2"/>
    <x v="1"/>
    <n v="0"/>
    <s v="REG100353"/>
    <s v="Cust 9919"/>
    <n v="47.56"/>
    <x v="292"/>
    <d v="2023-09-20T00:00:00"/>
    <s v="Sophie"/>
  </r>
  <r>
    <d v="2024-10-23T00:00:00"/>
    <n v="8040.0275999999994"/>
    <n v="1608.0055199999999"/>
    <x v="4"/>
    <x v="2"/>
    <n v="17"/>
    <n v="583.88"/>
    <s v="Store D"/>
    <x v="1"/>
    <n v="0.1"/>
    <s v="Alice"/>
    <n v="8933.3639999999996"/>
    <x v="2"/>
    <x v="2"/>
    <n v="0"/>
    <s v="REG100354"/>
    <s v="Cust 7129"/>
    <n v="37.53"/>
    <x v="75"/>
    <d v="2024-10-26T00:00:00"/>
    <s v="Wendy"/>
  </r>
  <r>
    <d v="2023-05-03T00:00:00"/>
    <n v="157.95000000000002"/>
    <n v="31.590000000000003"/>
    <x v="2"/>
    <x v="2"/>
    <n v="2"/>
    <n v="97.5"/>
    <s v="Store D"/>
    <x v="1"/>
    <n v="0.1"/>
    <s v="Alice"/>
    <n v="175.5"/>
    <x v="4"/>
    <x v="3"/>
    <n v="1"/>
    <s v="REG100355"/>
    <s v="Cust 9841"/>
    <n v="46.37"/>
    <x v="293"/>
    <d v="2023-05-06T00:00:00"/>
    <s v="Ryan"/>
  </r>
  <r>
    <d v="2025-03-18T00:00:00"/>
    <n v="4864.3323999999993"/>
    <n v="972.86647999999991"/>
    <x v="2"/>
    <x v="6"/>
    <n v="16"/>
    <n v="420.79"/>
    <s v="Store B"/>
    <x v="0"/>
    <n v="0.15"/>
    <s v="Carlos"/>
    <n v="5722.7439999999997"/>
    <x v="4"/>
    <x v="0"/>
    <n v="1"/>
    <s v="REG100356"/>
    <s v="Cust 6362"/>
    <n v="22.13"/>
    <x v="213"/>
    <d v="2025-03-25T00:00:00"/>
    <s v="Ryan"/>
  </r>
  <r>
    <d v="2023-08-25T00:00:00"/>
    <n v="6671.3399999999992"/>
    <n v="1334.268"/>
    <x v="4"/>
    <x v="3"/>
    <n v="13"/>
    <n v="513.17999999999995"/>
    <s v="Store B"/>
    <x v="1"/>
    <n v="0"/>
    <s v="Eva"/>
    <n v="6671.3399999999992"/>
    <x v="2"/>
    <x v="0"/>
    <n v="0"/>
    <s v="REG100357"/>
    <s v="Cust 4142"/>
    <n v="10.57"/>
    <x v="294"/>
    <d v="2023-08-27T00:00:00"/>
    <s v="Wendy"/>
  </r>
  <r>
    <d v="2023-07-13T00:00:00"/>
    <n v="7320.0996000000005"/>
    <n v="1464.0199200000002"/>
    <x v="2"/>
    <x v="4"/>
    <n v="19"/>
    <n v="475.64"/>
    <s v="Store C"/>
    <x v="1"/>
    <n v="0.1"/>
    <s v="Frank"/>
    <n v="8133.4440000000004"/>
    <x v="4"/>
    <x v="2"/>
    <n v="1"/>
    <s v="REG100358"/>
    <s v="Cust 9584"/>
    <n v="11.17"/>
    <x v="295"/>
    <d v="2023-07-17T00:00:00"/>
    <s v="Ryan"/>
  </r>
  <r>
    <d v="2025-02-25T00:00:00"/>
    <n v="2509.7202000000002"/>
    <n v="501.94404000000009"/>
    <x v="2"/>
    <x v="5"/>
    <n v="13"/>
    <n v="238.34"/>
    <s v="Store C"/>
    <x v="1"/>
    <n v="0.1"/>
    <s v="Carlos"/>
    <n v="2788.578"/>
    <x v="2"/>
    <x v="1"/>
    <n v="1"/>
    <s v="REG100359"/>
    <s v="Cust 2553"/>
    <n v="7.9"/>
    <x v="296"/>
    <d v="2025-03-06T00:00:00"/>
    <s v="Ryan"/>
  </r>
  <r>
    <d v="2025-04-14T00:00:00"/>
    <n v="3232.2402000000002"/>
    <n v="646.44804000000011"/>
    <x v="3"/>
    <x v="0"/>
    <n v="14"/>
    <n v="285.02999999999997"/>
    <s v="Store B"/>
    <x v="0"/>
    <n v="0.1"/>
    <s v="Eva"/>
    <n v="3591.3780000000002"/>
    <x v="2"/>
    <x v="1"/>
    <n v="0"/>
    <s v="REG100360"/>
    <s v="Cust 1347"/>
    <n v="41.5"/>
    <x v="297"/>
    <d v="2025-04-17T00:00:00"/>
    <s v="Cameron"/>
  </r>
  <r>
    <d v="2025-06-15T00:00:00"/>
    <n v="24.908999999999999"/>
    <n v="4.9817999999999998"/>
    <x v="3"/>
    <x v="2"/>
    <n v="5"/>
    <n v="5.52"/>
    <s v="Store C"/>
    <x v="1"/>
    <n v="0.05"/>
    <s v="Alice"/>
    <n v="26.22"/>
    <x v="2"/>
    <x v="0"/>
    <n v="0"/>
    <s v="REG100361"/>
    <s v="Cust 8305"/>
    <n v="10.58"/>
    <x v="298"/>
    <d v="2025-06-18T00:00:00"/>
    <s v="Cameron"/>
  </r>
  <r>
    <d v="2024-10-22T00:00:00"/>
    <n v="5777.3249999999998"/>
    <n v="1155.4649999999999"/>
    <x v="2"/>
    <x v="4"/>
    <n v="18"/>
    <n v="396.25"/>
    <s v="Store D"/>
    <x v="1"/>
    <n v="0.1"/>
    <s v="Frank"/>
    <n v="6419.25"/>
    <x v="2"/>
    <x v="0"/>
    <n v="0"/>
    <s v="REG100362"/>
    <s v="Cust 7015"/>
    <n v="20.39"/>
    <x v="299"/>
    <d v="2024-10-27T00:00:00"/>
    <s v="Ryan"/>
  </r>
  <r>
    <d v="2023-06-20T00:00:00"/>
    <n v="2297.0430000000001"/>
    <n v="459.40860000000004"/>
    <x v="1"/>
    <x v="0"/>
    <n v="9"/>
    <n v="282.8"/>
    <s v="Store D"/>
    <x v="0"/>
    <n v="0.05"/>
    <s v="Eva"/>
    <n v="2417.94"/>
    <x v="0"/>
    <x v="3"/>
    <n v="0"/>
    <s v="REG100363"/>
    <s v="Cust 4394"/>
    <n v="49.79"/>
    <x v="300"/>
    <d v="2023-06-25T00:00:00"/>
    <s v="Sophie"/>
  </r>
  <r>
    <d v="2025-03-05T00:00:00"/>
    <n v="2845.20345"/>
    <n v="569.04069000000004"/>
    <x v="1"/>
    <x v="1"/>
    <n v="6"/>
    <n v="525.42999999999995"/>
    <s v="Store C"/>
    <x v="0"/>
    <n v="0.05"/>
    <s v="Alice"/>
    <n v="2994.951"/>
    <x v="2"/>
    <x v="3"/>
    <n v="0"/>
    <s v="REG100364"/>
    <s v="Cust 3323"/>
    <n v="39.28"/>
    <x v="9"/>
    <d v="2025-03-11T00:00:00"/>
    <s v="Sophie"/>
  </r>
  <r>
    <d v="2023-10-28T00:00:00"/>
    <n v="1551.1905000000002"/>
    <n v="310.23810000000003"/>
    <x v="4"/>
    <x v="5"/>
    <n v="15"/>
    <n v="127.67"/>
    <s v="Store D"/>
    <x v="1"/>
    <n v="0.1"/>
    <s v="Alice"/>
    <n v="1723.5450000000001"/>
    <x v="3"/>
    <x v="3"/>
    <n v="0"/>
    <s v="REG100365"/>
    <s v="Cust 4029"/>
    <n v="48.77"/>
    <x v="301"/>
    <d v="2023-10-30T00:00:00"/>
    <s v="Wendy"/>
  </r>
  <r>
    <d v="2025-03-19T00:00:00"/>
    <n v="7852.2914999999994"/>
    <n v="1570.4583"/>
    <x v="3"/>
    <x v="0"/>
    <n v="17"/>
    <n v="511.8"/>
    <s v="Store B"/>
    <x v="1"/>
    <n v="0.05"/>
    <s v="Carlos"/>
    <n v="8265.57"/>
    <x v="2"/>
    <x v="2"/>
    <n v="1"/>
    <s v="REG100366"/>
    <s v="Cust 1400"/>
    <n v="13.33"/>
    <x v="302"/>
    <d v="2025-03-26T00:00:00"/>
    <s v="Cameron"/>
  </r>
  <r>
    <d v="2023-08-06T00:00:00"/>
    <n v="2006.6545999999998"/>
    <n v="401.33091999999999"/>
    <x v="4"/>
    <x v="5"/>
    <n v="4"/>
    <n v="555.86"/>
    <s v="Store C"/>
    <x v="1"/>
    <n v="0.05"/>
    <s v="Bob"/>
    <n v="2112.268"/>
    <x v="4"/>
    <x v="0"/>
    <n v="0"/>
    <s v="REG100367"/>
    <s v="Cust 6361"/>
    <n v="28.92"/>
    <x v="23"/>
    <d v="2023-08-08T00:00:00"/>
    <s v="Wendy"/>
  </r>
  <r>
    <d v="2024-09-11T00:00:00"/>
    <n v="2744.3220000000001"/>
    <n v="548.86440000000005"/>
    <x v="3"/>
    <x v="4"/>
    <n v="15"/>
    <n v="202.72"/>
    <s v="Store D"/>
    <x v="1"/>
    <n v="0.05"/>
    <s v="Eva"/>
    <n v="2888.76"/>
    <x v="3"/>
    <x v="2"/>
    <n v="1"/>
    <s v="REG100368"/>
    <s v="Cust 5267"/>
    <n v="41.61"/>
    <x v="303"/>
    <d v="2024-09-19T00:00:00"/>
    <s v="Cameron"/>
  </r>
  <r>
    <d v="2025-01-08T00:00:00"/>
    <n v="1414.8"/>
    <n v="282.95999999999998"/>
    <x v="3"/>
    <x v="3"/>
    <n v="4"/>
    <n v="353.7"/>
    <s v="Store A"/>
    <x v="0"/>
    <n v="0"/>
    <s v="Frank"/>
    <n v="1414.8"/>
    <x v="2"/>
    <x v="0"/>
    <n v="0"/>
    <s v="REG100369"/>
    <s v="Cust 9354"/>
    <n v="41.98"/>
    <x v="304"/>
    <d v="2025-01-12T00:00:00"/>
    <s v="Cameron"/>
  </r>
  <r>
    <d v="2024-08-12T00:00:00"/>
    <n v="447.75"/>
    <n v="89.550000000000011"/>
    <x v="3"/>
    <x v="3"/>
    <n v="3"/>
    <n v="149.25"/>
    <s v="Store D"/>
    <x v="0"/>
    <n v="0"/>
    <s v="Carlos"/>
    <n v="447.75"/>
    <x v="3"/>
    <x v="3"/>
    <n v="1"/>
    <s v="REG100370"/>
    <s v="Cust 9443"/>
    <n v="13.17"/>
    <x v="305"/>
    <d v="2024-08-14T00:00:00"/>
    <s v="Cameron"/>
  </r>
  <r>
    <d v="2023-03-30T00:00:00"/>
    <n v="2407.6115999999997"/>
    <n v="481.52231999999998"/>
    <x v="2"/>
    <x v="4"/>
    <n v="19"/>
    <n v="156.44"/>
    <s v="Store C"/>
    <x v="0"/>
    <n v="0.1"/>
    <s v="Alice"/>
    <n v="2675.1239999999998"/>
    <x v="0"/>
    <x v="2"/>
    <n v="0"/>
    <s v="REG100371"/>
    <s v="Cust 2252"/>
    <n v="19.440000000000001"/>
    <x v="306"/>
    <d v="2023-04-04T00:00:00"/>
    <s v="Ryan"/>
  </r>
  <r>
    <d v="2023-02-01T00:00:00"/>
    <n v="1692.32"/>
    <n v="338.464"/>
    <x v="3"/>
    <x v="1"/>
    <n v="7"/>
    <n v="241.76"/>
    <s v="Store D"/>
    <x v="0"/>
    <n v="0"/>
    <s v="Carlos"/>
    <n v="1692.32"/>
    <x v="0"/>
    <x v="1"/>
    <n v="0"/>
    <s v="REG100372"/>
    <s v="Cust 1031"/>
    <n v="48.13"/>
    <x v="307"/>
    <d v="2023-02-09T00:00:00"/>
    <s v="Cameron"/>
  </r>
  <r>
    <d v="2025-04-18T00:00:00"/>
    <n v="3409.8"/>
    <n v="681.96"/>
    <x v="2"/>
    <x v="0"/>
    <n v="20"/>
    <n v="170.49"/>
    <s v="Store A"/>
    <x v="0"/>
    <n v="0"/>
    <s v="Diana"/>
    <n v="3409.8"/>
    <x v="0"/>
    <x v="0"/>
    <n v="0"/>
    <s v="REG100373"/>
    <s v="Cust 6086"/>
    <n v="19.739999999999998"/>
    <x v="308"/>
    <d v="2025-04-27T00:00:00"/>
    <s v="Ryan"/>
  </r>
  <r>
    <d v="2025-03-29T00:00:00"/>
    <n v="1333.5597"/>
    <n v="266.71194000000003"/>
    <x v="3"/>
    <x v="4"/>
    <n v="11"/>
    <n v="149.66999999999999"/>
    <s v="Store C"/>
    <x v="1"/>
    <n v="0.1"/>
    <s v="Eva"/>
    <n v="1481.7329999999999"/>
    <x v="2"/>
    <x v="3"/>
    <n v="0"/>
    <s v="REG100374"/>
    <s v="Cust 1672"/>
    <n v="34.130000000000003"/>
    <x v="259"/>
    <d v="2025-04-02T00:00:00"/>
    <s v="Cameron"/>
  </r>
  <r>
    <d v="2024-04-25T00:00:00"/>
    <n v="140.58360000000002"/>
    <n v="28.116720000000004"/>
    <x v="0"/>
    <x v="5"/>
    <n v="1"/>
    <n v="173.56"/>
    <s v="Store D"/>
    <x v="1"/>
    <n v="0.1"/>
    <s v="Eva"/>
    <n v="156.20400000000001"/>
    <x v="3"/>
    <x v="0"/>
    <n v="0"/>
    <s v="REG100375"/>
    <s v="Cust 9313"/>
    <n v="39.1"/>
    <x v="290"/>
    <d v="2024-04-28T00:00:00"/>
    <s v="Eric"/>
  </r>
  <r>
    <d v="2024-09-22T00:00:00"/>
    <n v="2208.2821250000002"/>
    <n v="441.65642500000007"/>
    <x v="1"/>
    <x v="4"/>
    <n v="7"/>
    <n v="349.55"/>
    <s v="Store A"/>
    <x v="1"/>
    <n v="0.05"/>
    <s v="Carlos"/>
    <n v="2324.5075000000002"/>
    <x v="2"/>
    <x v="0"/>
    <n v="0"/>
    <s v="REG100376"/>
    <s v="Cust 4405"/>
    <n v="23.7"/>
    <x v="309"/>
    <d v="2024-09-27T00:00:00"/>
    <s v="Sophie"/>
  </r>
  <r>
    <d v="2023-08-05T00:00:00"/>
    <n v="2206.2600000000002"/>
    <n v="441.25200000000007"/>
    <x v="3"/>
    <x v="5"/>
    <n v="9"/>
    <n v="245.14"/>
    <s v="Store B"/>
    <x v="0"/>
    <n v="0"/>
    <s v="Alice"/>
    <n v="2206.2600000000002"/>
    <x v="0"/>
    <x v="1"/>
    <n v="1"/>
    <s v="REG100377"/>
    <s v="Cust 6453"/>
    <n v="44.6"/>
    <x v="285"/>
    <d v="2023-08-14T00:00:00"/>
    <s v="Cameron"/>
  </r>
  <r>
    <d v="2024-06-07T00:00:00"/>
    <n v="381.82969999999995"/>
    <n v="76.365939999999995"/>
    <x v="1"/>
    <x v="2"/>
    <n v="1"/>
    <n v="423.08"/>
    <s v="Store B"/>
    <x v="0"/>
    <n v="0.05"/>
    <s v="Bob"/>
    <n v="401.92599999999999"/>
    <x v="1"/>
    <x v="2"/>
    <n v="0"/>
    <s v="REG100378"/>
    <s v="Cust 4772"/>
    <n v="31.75"/>
    <x v="310"/>
    <d v="2024-06-11T00:00:00"/>
    <s v="Sophie"/>
  </r>
  <r>
    <d v="2025-05-24T00:00:00"/>
    <n v="4637.4240499999996"/>
    <n v="927.48480999999992"/>
    <x v="0"/>
    <x v="1"/>
    <n v="19"/>
    <n v="337.82"/>
    <s v="Store B"/>
    <x v="0"/>
    <n v="0.15"/>
    <s v="Alice"/>
    <n v="5455.7929999999997"/>
    <x v="0"/>
    <x v="0"/>
    <n v="0"/>
    <s v="REG100379"/>
    <s v="Cust 1762"/>
    <n v="45.74"/>
    <x v="311"/>
    <d v="2025-05-30T00:00:00"/>
    <s v="Eric"/>
  </r>
  <r>
    <d v="2024-07-18T00:00:00"/>
    <n v="1825.2517499999999"/>
    <n v="365.05034999999998"/>
    <x v="1"/>
    <x v="3"/>
    <n v="10"/>
    <n v="252.63"/>
    <s v="Store B"/>
    <x v="1"/>
    <n v="0.15"/>
    <s v="Eva"/>
    <n v="2147.355"/>
    <x v="4"/>
    <x v="0"/>
    <n v="0"/>
    <s v="REG100380"/>
    <s v="Cust 1865"/>
    <n v="8.92"/>
    <x v="118"/>
    <d v="2024-07-25T00:00:00"/>
    <s v="Sophie"/>
  </r>
  <r>
    <d v="2024-07-14T00:00:00"/>
    <n v="211.45860000000002"/>
    <n v="42.291720000000005"/>
    <x v="4"/>
    <x v="5"/>
    <n v="3"/>
    <n v="87.02"/>
    <s v="Store B"/>
    <x v="0"/>
    <n v="0.1"/>
    <s v="Frank"/>
    <n v="234.95400000000001"/>
    <x v="4"/>
    <x v="2"/>
    <n v="0"/>
    <s v="REG100381"/>
    <s v="Cust 9552"/>
    <n v="11.13"/>
    <x v="106"/>
    <d v="2024-07-16T00:00:00"/>
    <s v="Wendy"/>
  </r>
  <r>
    <d v="2023-04-14T00:00:00"/>
    <n v="66.712800000000001"/>
    <n v="13.342560000000001"/>
    <x v="3"/>
    <x v="5"/>
    <n v="11"/>
    <n v="6.72"/>
    <s v="Store D"/>
    <x v="0"/>
    <n v="0.05"/>
    <s v="Bob"/>
    <n v="70.224000000000004"/>
    <x v="4"/>
    <x v="1"/>
    <n v="0"/>
    <s v="REG100382"/>
    <s v="Cust 4273"/>
    <n v="34.270000000000003"/>
    <x v="271"/>
    <d v="2023-04-19T00:00:00"/>
    <s v="Cameron"/>
  </r>
  <r>
    <d v="2023-06-01T00:00:00"/>
    <n v="452.59560000000005"/>
    <n v="90.519120000000015"/>
    <x v="1"/>
    <x v="6"/>
    <n v="2"/>
    <n v="279.38"/>
    <s v="Store D"/>
    <x v="1"/>
    <n v="0.1"/>
    <s v="Carlos"/>
    <n v="502.88400000000001"/>
    <x v="0"/>
    <x v="0"/>
    <n v="0"/>
    <s v="REG100383"/>
    <s v="Cust 8712"/>
    <n v="22.95"/>
    <x v="312"/>
    <d v="2023-06-06T00:00:00"/>
    <s v="Sophie"/>
  </r>
  <r>
    <d v="2025-04-17T00:00:00"/>
    <n v="1514.8620000000001"/>
    <n v="302.97240000000005"/>
    <x v="3"/>
    <x v="1"/>
    <n v="9"/>
    <n v="207.8"/>
    <s v="Store D"/>
    <x v="1"/>
    <n v="0.1"/>
    <s v="Alice"/>
    <n v="1683.18"/>
    <x v="0"/>
    <x v="2"/>
    <n v="0"/>
    <s v="REG100384"/>
    <s v="Cust 9048"/>
    <n v="16.989999999999998"/>
    <x v="313"/>
    <d v="2025-04-20T00:00:00"/>
    <s v="Cameron"/>
  </r>
  <r>
    <d v="2025-03-31T00:00:00"/>
    <n v="6929.575499999999"/>
    <n v="1385.9150999999999"/>
    <x v="0"/>
    <x v="6"/>
    <n v="15"/>
    <n v="511.88"/>
    <s v="Store C"/>
    <x v="0"/>
    <n v="0.05"/>
    <s v="Bob"/>
    <n v="7294.2899999999991"/>
    <x v="4"/>
    <x v="1"/>
    <n v="0"/>
    <s v="REG100385"/>
    <s v="Cust 7714"/>
    <n v="10.220000000000001"/>
    <x v="314"/>
    <d v="2025-04-09T00:00:00"/>
    <s v="Eric"/>
  </r>
  <r>
    <d v="2024-07-15T00:00:00"/>
    <n v="3259.7"/>
    <n v="651.94000000000005"/>
    <x v="0"/>
    <x v="6"/>
    <n v="10"/>
    <n v="325.97000000000003"/>
    <s v="Store D"/>
    <x v="1"/>
    <n v="0"/>
    <s v="Bob"/>
    <n v="3259.7"/>
    <x v="4"/>
    <x v="0"/>
    <n v="1"/>
    <s v="REG100386"/>
    <s v="Cust 4770"/>
    <n v="49.95"/>
    <x v="236"/>
    <d v="2024-07-22T00:00:00"/>
    <s v="Eric"/>
  </r>
  <r>
    <d v="2024-08-30T00:00:00"/>
    <n v="7978.44"/>
    <n v="1595.6880000000001"/>
    <x v="1"/>
    <x v="0"/>
    <n v="17"/>
    <n v="469.32"/>
    <s v="Store B"/>
    <x v="1"/>
    <n v="0"/>
    <s v="Carlos"/>
    <n v="7978.44"/>
    <x v="1"/>
    <x v="2"/>
    <n v="1"/>
    <s v="REG100387"/>
    <s v="Cust 2007"/>
    <n v="5.86"/>
    <x v="315"/>
    <d v="2024-09-01T00:00:00"/>
    <s v="Sophie"/>
  </r>
  <r>
    <d v="2025-01-07T00:00:00"/>
    <n v="2426.9699999999998"/>
    <n v="485.39400000000001"/>
    <x v="3"/>
    <x v="1"/>
    <n v="13"/>
    <n v="186.69"/>
    <s v="Store D"/>
    <x v="0"/>
    <n v="0"/>
    <s v="Bob"/>
    <n v="2426.9699999999998"/>
    <x v="4"/>
    <x v="0"/>
    <n v="0"/>
    <s v="REG100388"/>
    <s v="Cust 8909"/>
    <n v="19.920000000000002"/>
    <x v="316"/>
    <d v="2025-01-10T00:00:00"/>
    <s v="Cameron"/>
  </r>
  <r>
    <d v="2025-02-05T00:00:00"/>
    <n v="500.49039999999985"/>
    <n v="100.09807999999998"/>
    <x v="1"/>
    <x v="1"/>
    <n v="16"/>
    <n v="34.659999999999997"/>
    <s v="Store C"/>
    <x v="1"/>
    <n v="0.05"/>
    <s v="Alice"/>
    <n v="526.83199999999988"/>
    <x v="3"/>
    <x v="3"/>
    <n v="0"/>
    <s v="REG100389"/>
    <s v="Cust 4196"/>
    <n v="49.9"/>
    <x v="317"/>
    <d v="2025-02-11T00:00:00"/>
    <s v="Sophie"/>
  </r>
  <r>
    <d v="2024-04-01T00:00:00"/>
    <n v="2016.2952"/>
    <n v="403.25904000000003"/>
    <x v="2"/>
    <x v="6"/>
    <n v="18"/>
    <n v="155.04"/>
    <s v="Store B"/>
    <x v="0"/>
    <n v="0.15"/>
    <s v="Frank"/>
    <n v="2372.1120000000001"/>
    <x v="4"/>
    <x v="2"/>
    <n v="0"/>
    <s v="REG100390"/>
    <s v="Cust 4189"/>
    <n v="39.99"/>
    <x v="204"/>
    <d v="2024-04-04T00:00:00"/>
    <s v="Ryan"/>
  </r>
  <r>
    <d v="2025-03-01T00:00:00"/>
    <n v="251.256"/>
    <n v="50.251200000000004"/>
    <x v="4"/>
    <x v="4"/>
    <n v="4"/>
    <n v="69.599999999999994"/>
    <s v="Store D"/>
    <x v="0"/>
    <n v="0.05"/>
    <s v="Eva"/>
    <n v="264.48"/>
    <x v="1"/>
    <x v="1"/>
    <n v="0"/>
    <s v="REG100391"/>
    <s v="Cust 7226"/>
    <n v="17.68"/>
    <x v="89"/>
    <d v="2025-03-09T00:00:00"/>
    <s v="Wendy"/>
  </r>
  <r>
    <d v="2023-07-03T00:00:00"/>
    <n v="517.43282499999998"/>
    <n v="103.486565"/>
    <x v="3"/>
    <x v="4"/>
    <n v="13"/>
    <n v="55.09"/>
    <s v="Store A"/>
    <x v="0"/>
    <n v="0.15"/>
    <s v="Diana"/>
    <n v="608.74450000000002"/>
    <x v="4"/>
    <x v="0"/>
    <n v="1"/>
    <s v="REG100392"/>
    <s v="Cust 5015"/>
    <n v="47.78"/>
    <x v="318"/>
    <d v="2023-07-06T00:00:00"/>
    <s v="Cameron"/>
  </r>
  <r>
    <d v="2023-04-25T00:00:00"/>
    <n v="1935.8881749999998"/>
    <n v="387.17763500000001"/>
    <x v="3"/>
    <x v="0"/>
    <n v="13"/>
    <n v="206.11"/>
    <s v="Store B"/>
    <x v="1"/>
    <n v="0.15"/>
    <s v="Bob"/>
    <n v="2277.5155"/>
    <x v="1"/>
    <x v="1"/>
    <n v="1"/>
    <s v="REG100393"/>
    <s v="Cust 9904"/>
    <n v="22.59"/>
    <x v="319"/>
    <d v="2023-05-01T00:00:00"/>
    <s v="Cameron"/>
  </r>
  <r>
    <d v="2025-04-09T00:00:00"/>
    <n v="6120.1412999999984"/>
    <n v="1224.0282599999998"/>
    <x v="4"/>
    <x v="5"/>
    <n v="14"/>
    <n v="484.38"/>
    <s v="Store D"/>
    <x v="1"/>
    <n v="0.05"/>
    <s v="Frank"/>
    <n v="6442.253999999999"/>
    <x v="3"/>
    <x v="1"/>
    <n v="0"/>
    <s v="REG100394"/>
    <s v="Cust 7687"/>
    <n v="29.24"/>
    <x v="320"/>
    <d v="2025-04-19T00:00:00"/>
    <s v="Wendy"/>
  </r>
  <r>
    <d v="2023-11-05T00:00:00"/>
    <n v="2697.42"/>
    <n v="539.48400000000004"/>
    <x v="2"/>
    <x v="4"/>
    <n v="6"/>
    <n v="449.57"/>
    <s v="Store D"/>
    <x v="0"/>
    <n v="0"/>
    <s v="Frank"/>
    <n v="2697.42"/>
    <x v="1"/>
    <x v="2"/>
    <n v="0"/>
    <s v="REG100395"/>
    <s v="Cust 6511"/>
    <n v="23.09"/>
    <x v="321"/>
    <d v="2023-11-12T00:00:00"/>
    <s v="Ryan"/>
  </r>
  <r>
    <d v="2023-01-13T00:00:00"/>
    <n v="2007.09"/>
    <n v="401.41800000000001"/>
    <x v="0"/>
    <x v="0"/>
    <n v="9"/>
    <n v="223.01"/>
    <s v="Store C"/>
    <x v="1"/>
    <n v="0"/>
    <s v="Diana"/>
    <n v="2007.09"/>
    <x v="4"/>
    <x v="3"/>
    <n v="1"/>
    <s v="REG100396"/>
    <s v="Cust 2412"/>
    <n v="11.9"/>
    <x v="322"/>
    <d v="2023-01-19T00:00:00"/>
    <s v="Eric"/>
  </r>
  <r>
    <d v="2025-02-06T00:00:00"/>
    <n v="2952.6696499999998"/>
    <n v="590.53392999999994"/>
    <x v="4"/>
    <x v="3"/>
    <n v="14"/>
    <n v="291.91000000000003"/>
    <s v="Store A"/>
    <x v="1"/>
    <n v="0.15"/>
    <s v="Frank"/>
    <n v="3473.7289999999998"/>
    <x v="2"/>
    <x v="3"/>
    <n v="0"/>
    <s v="REG100397"/>
    <s v="Cust 1664"/>
    <n v="27.51"/>
    <x v="323"/>
    <d v="2025-02-10T00:00:00"/>
    <s v="Wendy"/>
  </r>
  <r>
    <d v="2023-05-20T00:00:00"/>
    <n v="1181.18"/>
    <n v="236.23600000000002"/>
    <x v="1"/>
    <x v="4"/>
    <n v="13"/>
    <n v="90.86"/>
    <s v="Store A"/>
    <x v="0"/>
    <n v="0"/>
    <s v="Carlos"/>
    <n v="1181.18"/>
    <x v="1"/>
    <x v="1"/>
    <n v="0"/>
    <s v="REG100398"/>
    <s v="Cust 6033"/>
    <n v="16.739999999999998"/>
    <x v="42"/>
    <d v="2023-05-25T00:00:00"/>
    <s v="Sophie"/>
  </r>
  <r>
    <d v="2025-06-18T00:00:00"/>
    <n v="436.2"/>
    <n v="87.240000000000009"/>
    <x v="0"/>
    <x v="2"/>
    <n v="4"/>
    <n v="109.05"/>
    <s v="Store D"/>
    <x v="0"/>
    <n v="0"/>
    <s v="Diana"/>
    <n v="436.2"/>
    <x v="1"/>
    <x v="2"/>
    <n v="0"/>
    <s v="REG100399"/>
    <s v="Cust 4019"/>
    <n v="21.02"/>
    <x v="324"/>
    <d v="2025-06-24T00:00:00"/>
    <s v="Eric"/>
  </r>
  <r>
    <d v="2023-02-23T00:00:00"/>
    <n v="2947.2"/>
    <n v="589.43999999999994"/>
    <x v="4"/>
    <x v="5"/>
    <n v="12"/>
    <n v="245.6"/>
    <s v="Store D"/>
    <x v="1"/>
    <n v="0"/>
    <s v="Bob"/>
    <n v="2947.2"/>
    <x v="4"/>
    <x v="0"/>
    <n v="1"/>
    <s v="REG100400"/>
    <s v="Cust 4515"/>
    <n v="43.92"/>
    <x v="0"/>
    <d v="2023-02-27T00:00:00"/>
    <s v="Wendy"/>
  </r>
  <r>
    <d v="2024-11-09T00:00:00"/>
    <n v="5700.45"/>
    <n v="1140.0899999999999"/>
    <x v="0"/>
    <x v="6"/>
    <n v="15"/>
    <n v="380.03"/>
    <s v="Store A"/>
    <x v="1"/>
    <n v="0"/>
    <s v="Bob"/>
    <n v="5700.45"/>
    <x v="0"/>
    <x v="3"/>
    <n v="0"/>
    <s v="REG100401"/>
    <s v="Cust 7532"/>
    <n v="25.72"/>
    <x v="325"/>
    <d v="2024-11-12T00:00:00"/>
    <s v="Eric"/>
  </r>
  <r>
    <d v="2024-07-25T00:00:00"/>
    <n v="1130.5978500000001"/>
    <n v="226.11957000000004"/>
    <x v="1"/>
    <x v="5"/>
    <n v="3"/>
    <n v="417.58"/>
    <s v="Store D"/>
    <x v="1"/>
    <n v="0.05"/>
    <s v="Frank"/>
    <n v="1190.1030000000001"/>
    <x v="1"/>
    <x v="1"/>
    <n v="0"/>
    <s v="REG100402"/>
    <s v="Cust 8756"/>
    <n v="43.42"/>
    <x v="245"/>
    <d v="2024-07-31T00:00:00"/>
    <s v="Sophie"/>
  </r>
  <r>
    <d v="2023-08-19T00:00:00"/>
    <n v="4683.6423749999994"/>
    <n v="936.72847499999989"/>
    <x v="4"/>
    <x v="0"/>
    <n v="15"/>
    <n v="432.17"/>
    <s v="Store D"/>
    <x v="0"/>
    <n v="0.15"/>
    <s v="Frank"/>
    <n v="5510.1674999999996"/>
    <x v="3"/>
    <x v="2"/>
    <n v="0"/>
    <s v="REG100403"/>
    <s v="Cust 7620"/>
    <n v="44.88"/>
    <x v="326"/>
    <d v="2023-08-23T00:00:00"/>
    <s v="Wendy"/>
  </r>
  <r>
    <d v="2023-11-13T00:00:00"/>
    <n v="5599.5381000000007"/>
    <n v="1119.9076200000002"/>
    <x v="1"/>
    <x v="4"/>
    <n v="13"/>
    <n v="531.77"/>
    <s v="Store C"/>
    <x v="1"/>
    <n v="0.1"/>
    <s v="Bob"/>
    <n v="6221.7090000000007"/>
    <x v="0"/>
    <x v="1"/>
    <n v="0"/>
    <s v="REG100404"/>
    <s v="Cust 7368"/>
    <n v="37.909999999999997"/>
    <x v="327"/>
    <d v="2023-11-15T00:00:00"/>
    <s v="Sophie"/>
  </r>
  <r>
    <d v="2024-09-10T00:00:00"/>
    <n v="5197.3801749999993"/>
    <n v="1039.4760349999999"/>
    <x v="4"/>
    <x v="5"/>
    <n v="13"/>
    <n v="442.99"/>
    <s v="Store A"/>
    <x v="0"/>
    <n v="0.05"/>
    <s v="Alice"/>
    <n v="5470.9264999999996"/>
    <x v="1"/>
    <x v="1"/>
    <n v="0"/>
    <s v="REG100405"/>
    <s v="Cust 1319"/>
    <n v="37.119999999999997"/>
    <x v="328"/>
    <d v="2024-09-18T00:00:00"/>
    <s v="Wendy"/>
  </r>
  <r>
    <d v="2024-08-30T00:00:00"/>
    <n v="7377.5"/>
    <n v="1475.5"/>
    <x v="3"/>
    <x v="3"/>
    <n v="13"/>
    <n v="567.5"/>
    <s v="Store A"/>
    <x v="1"/>
    <n v="0"/>
    <s v="Eva"/>
    <n v="7377.5"/>
    <x v="2"/>
    <x v="3"/>
    <n v="0"/>
    <s v="REG100406"/>
    <s v="Cust 9597"/>
    <n v="28.41"/>
    <x v="315"/>
    <d v="2024-09-02T00:00:00"/>
    <s v="Cameron"/>
  </r>
  <r>
    <d v="2024-11-10T00:00:00"/>
    <n v="7042.7999999999993"/>
    <n v="1408.56"/>
    <x v="0"/>
    <x v="5"/>
    <n v="15"/>
    <n v="469.52"/>
    <s v="Store C"/>
    <x v="0"/>
    <n v="0"/>
    <s v="Alice"/>
    <n v="7042.7999999999993"/>
    <x v="2"/>
    <x v="0"/>
    <n v="0"/>
    <s v="REG100407"/>
    <s v="Cust 7369"/>
    <n v="35.6"/>
    <x v="329"/>
    <d v="2024-11-17T00:00:00"/>
    <s v="Eric"/>
  </r>
  <r>
    <d v="2023-04-13T00:00:00"/>
    <n v="286.17502499999995"/>
    <n v="57.235004999999994"/>
    <x v="0"/>
    <x v="6"/>
    <n v="1"/>
    <n v="396.09"/>
    <s v="Store D"/>
    <x v="0"/>
    <n v="0.15"/>
    <s v="Frank"/>
    <n v="336.67649999999998"/>
    <x v="2"/>
    <x v="2"/>
    <n v="0"/>
    <s v="REG100408"/>
    <s v="Cust 8592"/>
    <n v="39.380000000000003"/>
    <x v="330"/>
    <d v="2023-04-19T00:00:00"/>
    <s v="Eric"/>
  </r>
  <r>
    <d v="2023-11-20T00:00:00"/>
    <n v="2119.7559000000001"/>
    <n v="423.95118000000002"/>
    <x v="0"/>
    <x v="0"/>
    <n v="12"/>
    <n v="195.73"/>
    <s v="Store C"/>
    <x v="0"/>
    <n v="0.05"/>
    <s v="Alice"/>
    <n v="2231.3220000000001"/>
    <x v="4"/>
    <x v="1"/>
    <n v="0"/>
    <s v="REG100409"/>
    <s v="Cust 2337"/>
    <n v="37.090000000000003"/>
    <x v="331"/>
    <d v="2023-11-27T00:00:00"/>
    <s v="Eric"/>
  </r>
  <r>
    <d v="2025-04-14T00:00:00"/>
    <n v="1489.2169999999999"/>
    <n v="297.84339999999997"/>
    <x v="2"/>
    <x v="6"/>
    <n v="5"/>
    <n v="412.24"/>
    <s v="Store B"/>
    <x v="0"/>
    <n v="0.15"/>
    <s v="Carlos"/>
    <n v="1752.02"/>
    <x v="4"/>
    <x v="0"/>
    <n v="0"/>
    <s v="REG100410"/>
    <s v="Cust 9697"/>
    <n v="29.31"/>
    <x v="297"/>
    <d v="2025-04-19T00:00:00"/>
    <s v="Ryan"/>
  </r>
  <r>
    <d v="2023-03-04T00:00:00"/>
    <n v="4438.6787499999991"/>
    <n v="887.73574999999983"/>
    <x v="3"/>
    <x v="4"/>
    <n v="11"/>
    <n v="558.5"/>
    <s v="Store B"/>
    <x v="1"/>
    <n v="0.15"/>
    <s v="Carlos"/>
    <n v="5221.9749999999995"/>
    <x v="4"/>
    <x v="2"/>
    <n v="0"/>
    <s v="REG100411"/>
    <s v="Cust 5895"/>
    <n v="48.15"/>
    <x v="332"/>
    <d v="2023-03-09T00:00:00"/>
    <s v="Cameron"/>
  </r>
  <r>
    <d v="2024-11-16T00:00:00"/>
    <n v="506.73259999999993"/>
    <n v="101.34652"/>
    <x v="2"/>
    <x v="0"/>
    <n v="4"/>
    <n v="175.34"/>
    <s v="Store C"/>
    <x v="1"/>
    <n v="0.15"/>
    <s v="Eva"/>
    <n v="596.15599999999995"/>
    <x v="4"/>
    <x v="0"/>
    <n v="0"/>
    <s v="REG100412"/>
    <s v="Cust 9097"/>
    <n v="40.86"/>
    <x v="85"/>
    <d v="2024-11-19T00:00:00"/>
    <s v="Ryan"/>
  </r>
  <r>
    <d v="2024-05-25T00:00:00"/>
    <n v="9095.8700000000008"/>
    <n v="1819.1740000000002"/>
    <x v="1"/>
    <x v="0"/>
    <n v="19"/>
    <n v="478.73"/>
    <s v="Store A"/>
    <x v="1"/>
    <n v="0"/>
    <s v="Frank"/>
    <n v="9095.8700000000008"/>
    <x v="3"/>
    <x v="2"/>
    <n v="1"/>
    <s v="REG100413"/>
    <s v="Cust 5938"/>
    <n v="46.46"/>
    <x v="333"/>
    <d v="2024-06-02T00:00:00"/>
    <s v="Sophie"/>
  </r>
  <r>
    <d v="2023-04-12T00:00:00"/>
    <n v="1319.93525"/>
    <n v="263.98705000000001"/>
    <x v="0"/>
    <x v="2"/>
    <n v="5"/>
    <n v="365.38"/>
    <s v="Store D"/>
    <x v="0"/>
    <n v="0.15"/>
    <s v="Alice"/>
    <n v="1552.865"/>
    <x v="3"/>
    <x v="1"/>
    <n v="1"/>
    <s v="REG100414"/>
    <s v="Cust 6928"/>
    <n v="5.66"/>
    <x v="264"/>
    <d v="2023-04-15T00:00:00"/>
    <s v="Eric"/>
  </r>
  <r>
    <d v="2023-03-07T00:00:00"/>
    <n v="2870.7092499999999"/>
    <n v="574.14184999999998"/>
    <x v="1"/>
    <x v="2"/>
    <n v="10"/>
    <n v="397.33"/>
    <s v="Store B"/>
    <x v="1"/>
    <n v="0.15"/>
    <s v="Alice"/>
    <n v="3377.3049999999998"/>
    <x v="2"/>
    <x v="3"/>
    <n v="0"/>
    <s v="REG100415"/>
    <s v="Cust 6223"/>
    <n v="10.199999999999999"/>
    <x v="334"/>
    <d v="2023-03-13T00:00:00"/>
    <s v="Sophie"/>
  </r>
  <r>
    <d v="2024-01-05T00:00:00"/>
    <n v="3318.7076999999999"/>
    <n v="663.74153999999999"/>
    <x v="3"/>
    <x v="3"/>
    <n v="17"/>
    <n v="241.01"/>
    <s v="Store A"/>
    <x v="1"/>
    <n v="0.1"/>
    <s v="Bob"/>
    <n v="3687.453"/>
    <x v="3"/>
    <x v="2"/>
    <n v="0"/>
    <s v="REG100416"/>
    <s v="Cust 7614"/>
    <n v="24.69"/>
    <x v="52"/>
    <d v="2024-01-11T00:00:00"/>
    <s v="Cameron"/>
  </r>
  <r>
    <d v="2024-10-31T00:00:00"/>
    <n v="1397.4"/>
    <n v="279.48"/>
    <x v="4"/>
    <x v="2"/>
    <n v="17"/>
    <n v="82.2"/>
    <s v="Store C"/>
    <x v="0"/>
    <n v="0"/>
    <s v="Alice"/>
    <n v="1397.4"/>
    <x v="4"/>
    <x v="2"/>
    <n v="0"/>
    <s v="REG100417"/>
    <s v="Cust 3231"/>
    <n v="32.5"/>
    <x v="335"/>
    <d v="2024-11-10T00:00:00"/>
    <s v="Wendy"/>
  </r>
  <r>
    <d v="2024-05-08T00:00:00"/>
    <n v="2213.1792"/>
    <n v="442.63584000000003"/>
    <x v="4"/>
    <x v="4"/>
    <n v="16"/>
    <n v="170.77"/>
    <s v="Store C"/>
    <x v="1"/>
    <n v="0.1"/>
    <s v="Frank"/>
    <n v="2459.0880000000002"/>
    <x v="0"/>
    <x v="1"/>
    <n v="1"/>
    <s v="REG100418"/>
    <s v="Cust 9123"/>
    <n v="45.93"/>
    <x v="336"/>
    <d v="2024-05-14T00:00:00"/>
    <s v="Wendy"/>
  </r>
  <r>
    <d v="2024-03-05T00:00:00"/>
    <n v="5.9244999999999992"/>
    <n v="1.1848999999999998"/>
    <x v="3"/>
    <x v="4"/>
    <n v="1"/>
    <n v="8.1999999999999993"/>
    <s v="Store C"/>
    <x v="0"/>
    <n v="0.15"/>
    <s v="Frank"/>
    <n v="6.9699999999999989"/>
    <x v="3"/>
    <x v="3"/>
    <n v="0"/>
    <s v="REG100419"/>
    <s v="Cust 7054"/>
    <n v="30.35"/>
    <x v="337"/>
    <d v="2024-03-15T00:00:00"/>
    <s v="Cameron"/>
  </r>
  <r>
    <d v="2023-07-18T00:00:00"/>
    <n v="4138.5816000000004"/>
    <n v="827.71632000000011"/>
    <x v="2"/>
    <x v="0"/>
    <n v="12"/>
    <n v="425.78"/>
    <s v="Store A"/>
    <x v="1"/>
    <n v="0.1"/>
    <s v="Bob"/>
    <n v="4598.424"/>
    <x v="0"/>
    <x v="3"/>
    <n v="1"/>
    <s v="REG100420"/>
    <s v="Cust 4240"/>
    <n v="25.48"/>
    <x v="338"/>
    <d v="2023-07-22T00:00:00"/>
    <s v="Ryan"/>
  </r>
  <r>
    <d v="2023-08-05T00:00:00"/>
    <n v="1962.4680000000001"/>
    <n v="392.49360000000001"/>
    <x v="1"/>
    <x v="6"/>
    <n v="20"/>
    <n v="121.14"/>
    <s v="Store C"/>
    <x v="1"/>
    <n v="0.1"/>
    <s v="Bob"/>
    <n v="2180.52"/>
    <x v="2"/>
    <x v="0"/>
    <n v="0"/>
    <s v="REG100421"/>
    <s v="Cust 1237"/>
    <n v="21.47"/>
    <x v="285"/>
    <d v="2023-08-14T00:00:00"/>
    <s v="Sophie"/>
  </r>
  <r>
    <d v="2023-09-18T00:00:00"/>
    <n v="8514.4699999999993"/>
    <n v="1702.894"/>
    <x v="4"/>
    <x v="5"/>
    <n v="19"/>
    <n v="448.13"/>
    <s v="Store D"/>
    <x v="0"/>
    <n v="0"/>
    <s v="Alice"/>
    <n v="8514.4699999999993"/>
    <x v="3"/>
    <x v="0"/>
    <n v="0"/>
    <s v="REG100422"/>
    <s v="Cust 5513"/>
    <n v="28.29"/>
    <x v="339"/>
    <d v="2023-09-20T00:00:00"/>
    <s v="Wendy"/>
  </r>
  <r>
    <d v="2023-03-27T00:00:00"/>
    <n v="50.608800000000002"/>
    <n v="10.121760000000002"/>
    <x v="1"/>
    <x v="0"/>
    <n v="8"/>
    <n v="7.81"/>
    <s v="Store D"/>
    <x v="0"/>
    <n v="0.1"/>
    <s v="Frank"/>
    <n v="56.231999999999999"/>
    <x v="0"/>
    <x v="1"/>
    <n v="0"/>
    <s v="REG100423"/>
    <s v="Cust 1835"/>
    <n v="25.03"/>
    <x v="340"/>
    <d v="2023-03-29T00:00:00"/>
    <s v="Sophie"/>
  </r>
  <r>
    <d v="2023-03-08T00:00:00"/>
    <n v="2627.9925999999996"/>
    <n v="525.59851999999989"/>
    <x v="0"/>
    <x v="3"/>
    <n v="19"/>
    <n v="191.44"/>
    <s v="Store C"/>
    <x v="0"/>
    <n v="0.15"/>
    <s v="Carlos"/>
    <n v="3091.7559999999999"/>
    <x v="4"/>
    <x v="2"/>
    <n v="1"/>
    <s v="REG100424"/>
    <s v="Cust 8492"/>
    <n v="35.54"/>
    <x v="341"/>
    <d v="2023-03-17T00:00:00"/>
    <s v="Eric"/>
  </r>
  <r>
    <d v="2024-05-02T00:00:00"/>
    <n v="885.78499999999985"/>
    <n v="177.15699999999998"/>
    <x v="4"/>
    <x v="2"/>
    <n v="5"/>
    <n v="245.2"/>
    <s v="Store B"/>
    <x v="1"/>
    <n v="0.15"/>
    <s v="Eva"/>
    <n v="1042.0999999999999"/>
    <x v="0"/>
    <x v="3"/>
    <n v="0"/>
    <s v="REG100425"/>
    <s v="Cust 2451"/>
    <n v="46.37"/>
    <x v="342"/>
    <d v="2024-05-06T00:00:00"/>
    <s v="Wendy"/>
  </r>
  <r>
    <d v="2023-09-16T00:00:00"/>
    <n v="2006.5920249999999"/>
    <n v="401.31840499999998"/>
    <x v="2"/>
    <x v="2"/>
    <n v="17"/>
    <n v="163.37"/>
    <s v="Store B"/>
    <x v="0"/>
    <n v="0.15"/>
    <s v="Eva"/>
    <n v="2360.6965"/>
    <x v="1"/>
    <x v="1"/>
    <n v="0"/>
    <s v="REG100426"/>
    <s v="Cust 4509"/>
    <n v="5.36"/>
    <x v="292"/>
    <d v="2023-09-26T00:00:00"/>
    <s v="Ryan"/>
  </r>
  <r>
    <d v="2023-06-13T00:00:00"/>
    <n v="8175.4400000000014"/>
    <n v="1635.0880000000004"/>
    <x v="1"/>
    <x v="5"/>
    <n v="14"/>
    <n v="583.96"/>
    <s v="Store C"/>
    <x v="1"/>
    <n v="0"/>
    <s v="Diana"/>
    <n v="8175.4400000000014"/>
    <x v="3"/>
    <x v="2"/>
    <n v="0"/>
    <s v="REG100427"/>
    <s v="Cust 6643"/>
    <n v="23.03"/>
    <x v="343"/>
    <d v="2023-06-22T00:00:00"/>
    <s v="Sophie"/>
  </r>
  <r>
    <d v="2023-11-05T00:00:00"/>
    <n v="2346.7968000000001"/>
    <n v="469.35936000000004"/>
    <x v="2"/>
    <x v="2"/>
    <n v="16"/>
    <n v="181.08"/>
    <s v="Store C"/>
    <x v="1"/>
    <n v="0.1"/>
    <s v="Carlos"/>
    <n v="2607.5520000000001"/>
    <x v="0"/>
    <x v="2"/>
    <n v="0"/>
    <s v="REG100428"/>
    <s v="Cust 2559"/>
    <n v="39.840000000000003"/>
    <x v="321"/>
    <d v="2023-11-08T00:00:00"/>
    <s v="Ryan"/>
  </r>
  <r>
    <d v="2024-11-23T00:00:00"/>
    <n v="3319.52"/>
    <n v="663.904"/>
    <x v="1"/>
    <x v="5"/>
    <n v="8"/>
    <n v="414.94"/>
    <s v="Store A"/>
    <x v="0"/>
    <n v="0"/>
    <s v="Alice"/>
    <n v="3319.52"/>
    <x v="3"/>
    <x v="1"/>
    <n v="0"/>
    <s v="REG100429"/>
    <s v="Cust 4423"/>
    <n v="46.58"/>
    <x v="344"/>
    <d v="2024-11-26T00:00:00"/>
    <s v="Sophie"/>
  </r>
  <r>
    <d v="2024-02-09T00:00:00"/>
    <n v="7075.52"/>
    <n v="1415.1040000000003"/>
    <x v="3"/>
    <x v="1"/>
    <n v="16"/>
    <n v="442.22"/>
    <s v="Store B"/>
    <x v="1"/>
    <n v="0"/>
    <s v="Alice"/>
    <n v="7075.52"/>
    <x v="4"/>
    <x v="0"/>
    <n v="0"/>
    <s v="REG100430"/>
    <s v="Cust 9139"/>
    <n v="27.36"/>
    <x v="345"/>
    <d v="2024-02-18T00:00:00"/>
    <s v="Cameron"/>
  </r>
  <r>
    <d v="2023-11-16T00:00:00"/>
    <n v="6751.7226000000001"/>
    <n v="1350.3445200000001"/>
    <x v="3"/>
    <x v="6"/>
    <n v="14"/>
    <n v="595.39"/>
    <s v="Store A"/>
    <x v="0"/>
    <n v="0.1"/>
    <s v="Bob"/>
    <n v="7501.9139999999998"/>
    <x v="2"/>
    <x v="1"/>
    <n v="0"/>
    <s v="REG100431"/>
    <s v="Cust 6668"/>
    <n v="9.51"/>
    <x v="346"/>
    <d v="2023-11-22T00:00:00"/>
    <s v="Cameron"/>
  </r>
  <r>
    <d v="2025-01-24T00:00:00"/>
    <n v="759.92550000000006"/>
    <n v="151.98510000000002"/>
    <x v="3"/>
    <x v="4"/>
    <n v="6"/>
    <n v="175.3"/>
    <s v="Store A"/>
    <x v="0"/>
    <n v="0.15"/>
    <s v="Alice"/>
    <n v="894.03000000000009"/>
    <x v="4"/>
    <x v="1"/>
    <n v="1"/>
    <s v="REG100432"/>
    <s v="Cust 4315"/>
    <n v="17.920000000000002"/>
    <x v="239"/>
    <d v="2025-01-29T00:00:00"/>
    <s v="Cameron"/>
  </r>
  <r>
    <d v="2025-05-06T00:00:00"/>
    <n v="1616.326425"/>
    <n v="323.26528500000001"/>
    <x v="3"/>
    <x v="5"/>
    <n v="7"/>
    <n v="319.58999999999997"/>
    <s v="Store C"/>
    <x v="0"/>
    <n v="0.15"/>
    <s v="Carlos"/>
    <n v="1901.5605"/>
    <x v="1"/>
    <x v="2"/>
    <n v="1"/>
    <s v="REG100433"/>
    <s v="Cust 8000"/>
    <n v="8.4700000000000006"/>
    <x v="276"/>
    <d v="2025-05-09T00:00:00"/>
    <s v="Cameron"/>
  </r>
  <r>
    <d v="2025-05-17T00:00:00"/>
    <n v="5492.5533749999995"/>
    <n v="1098.510675"/>
    <x v="0"/>
    <x v="6"/>
    <n v="15"/>
    <n v="506.81"/>
    <s v="Store A"/>
    <x v="1"/>
    <n v="0.15"/>
    <s v="Bob"/>
    <n v="6461.8274999999994"/>
    <x v="4"/>
    <x v="0"/>
    <n v="1"/>
    <s v="REG100434"/>
    <s v="Cust 7585"/>
    <n v="41.03"/>
    <x v="347"/>
    <d v="2025-05-27T00:00:00"/>
    <s v="Eric"/>
  </r>
  <r>
    <d v="2023-11-29T00:00:00"/>
    <n v="8255.4923999999992"/>
    <n v="1651.0984799999999"/>
    <x v="3"/>
    <x v="0"/>
    <n v="17"/>
    <n v="538.08000000000004"/>
    <s v="Store A"/>
    <x v="1"/>
    <n v="0.05"/>
    <s v="Eva"/>
    <n v="8689.9920000000002"/>
    <x v="3"/>
    <x v="0"/>
    <n v="0"/>
    <s v="REG100435"/>
    <s v="Cust 3127"/>
    <n v="19.61"/>
    <x v="348"/>
    <d v="2023-12-01T00:00:00"/>
    <s v="Cameron"/>
  </r>
  <r>
    <d v="2023-02-24T00:00:00"/>
    <n v="3005.44"/>
    <n v="601.08800000000008"/>
    <x v="1"/>
    <x v="3"/>
    <n v="16"/>
    <n v="187.84"/>
    <s v="Store A"/>
    <x v="1"/>
    <n v="0"/>
    <s v="Alice"/>
    <n v="3005.44"/>
    <x v="2"/>
    <x v="1"/>
    <n v="0"/>
    <s v="REG100436"/>
    <s v="Cust 4130"/>
    <n v="18.649999999999999"/>
    <x v="349"/>
    <d v="2023-02-26T00:00:00"/>
    <s v="Sophie"/>
  </r>
  <r>
    <d v="2023-11-04T00:00:00"/>
    <n v="5544.0315000000001"/>
    <n v="1108.8063"/>
    <x v="1"/>
    <x v="0"/>
    <n v="18"/>
    <n v="426.3"/>
    <s v="Store A"/>
    <x v="0"/>
    <n v="0.15"/>
    <s v="Carlos"/>
    <n v="6522.39"/>
    <x v="2"/>
    <x v="3"/>
    <n v="1"/>
    <s v="REG100437"/>
    <s v="Cust 6956"/>
    <n v="29.81"/>
    <x v="350"/>
    <d v="2023-11-10T00:00:00"/>
    <s v="Sophie"/>
  </r>
  <r>
    <d v="2024-06-15T00:00:00"/>
    <n v="403.6635"/>
    <n v="80.732700000000008"/>
    <x v="0"/>
    <x v="2"/>
    <n v="1"/>
    <n v="498.35"/>
    <s v="Store B"/>
    <x v="1"/>
    <n v="0.1"/>
    <s v="Alice"/>
    <n v="448.51499999999999"/>
    <x v="0"/>
    <x v="0"/>
    <n v="0"/>
    <s v="REG100438"/>
    <s v="Cust 8155"/>
    <n v="34.700000000000003"/>
    <x v="351"/>
    <d v="2024-06-22T00:00:00"/>
    <s v="Eric"/>
  </r>
  <r>
    <d v="2024-10-02T00:00:00"/>
    <n v="6614.1336999999994"/>
    <n v="1322.82674"/>
    <x v="2"/>
    <x v="5"/>
    <n v="19"/>
    <n v="385.72"/>
    <s v="Store A"/>
    <x v="1"/>
    <n v="0.05"/>
    <s v="Carlos"/>
    <n v="6962.2460000000001"/>
    <x v="4"/>
    <x v="1"/>
    <n v="1"/>
    <s v="REG100439"/>
    <s v="Cust 8852"/>
    <n v="12.46"/>
    <x v="352"/>
    <d v="2024-10-06T00:00:00"/>
    <s v="Ryan"/>
  </r>
  <r>
    <d v="2023-06-03T00:00:00"/>
    <n v="132.1191"/>
    <n v="26.423820000000003"/>
    <x v="4"/>
    <x v="5"/>
    <n v="3"/>
    <n v="54.37"/>
    <s v="Store B"/>
    <x v="0"/>
    <n v="0.1"/>
    <s v="Frank"/>
    <n v="146.79900000000001"/>
    <x v="2"/>
    <x v="2"/>
    <n v="0"/>
    <s v="REG100440"/>
    <s v="Cust 2850"/>
    <n v="48.71"/>
    <x v="353"/>
    <d v="2023-06-13T00:00:00"/>
    <s v="Wendy"/>
  </r>
  <r>
    <d v="2023-09-10T00:00:00"/>
    <n v="2044.9928999999997"/>
    <n v="408.99857999999995"/>
    <x v="0"/>
    <x v="1"/>
    <n v="6"/>
    <n v="471.74"/>
    <s v="Store C"/>
    <x v="1"/>
    <n v="0.15"/>
    <s v="Carlos"/>
    <n v="2405.8739999999998"/>
    <x v="0"/>
    <x v="3"/>
    <n v="0"/>
    <s v="REG100441"/>
    <s v="Cust 9572"/>
    <n v="36.79"/>
    <x v="354"/>
    <d v="2023-09-18T00:00:00"/>
    <s v="Eric"/>
  </r>
  <r>
    <d v="2025-05-20T00:00:00"/>
    <n v="4424.5105250000006"/>
    <n v="884.90210500000012"/>
    <x v="3"/>
    <x v="6"/>
    <n v="19"/>
    <n v="322.31"/>
    <s v="Store B"/>
    <x v="1"/>
    <n v="0.15"/>
    <s v="Bob"/>
    <n v="5205.3065000000006"/>
    <x v="4"/>
    <x v="0"/>
    <n v="0"/>
    <s v="REG100442"/>
    <s v="Cust 6253"/>
    <n v="33.950000000000003"/>
    <x v="355"/>
    <d v="2025-05-22T00:00:00"/>
    <s v="Cameron"/>
  </r>
  <r>
    <d v="2023-09-24T00:00:00"/>
    <n v="1220.0057999999999"/>
    <n v="244.00116"/>
    <x v="2"/>
    <x v="5"/>
    <n v="13"/>
    <n v="115.86"/>
    <s v="Store A"/>
    <x v="0"/>
    <n v="0.1"/>
    <s v="Diana"/>
    <n v="1355.5619999999999"/>
    <x v="4"/>
    <x v="3"/>
    <n v="1"/>
    <s v="REG100443"/>
    <s v="Cust 4154"/>
    <n v="28.52"/>
    <x v="356"/>
    <d v="2023-10-03T00:00:00"/>
    <s v="Ryan"/>
  </r>
  <r>
    <d v="2025-03-29T00:00:00"/>
    <n v="5806.6308000000008"/>
    <n v="1161.3261600000003"/>
    <x v="0"/>
    <x v="5"/>
    <n v="18"/>
    <n v="398.26"/>
    <s v="Store B"/>
    <x v="1"/>
    <n v="0.1"/>
    <s v="Bob"/>
    <n v="6451.8120000000008"/>
    <x v="3"/>
    <x v="3"/>
    <n v="0"/>
    <s v="REG100444"/>
    <s v="Cust 2137"/>
    <n v="16.8"/>
    <x v="259"/>
    <d v="2025-04-04T00:00:00"/>
    <s v="Eric"/>
  </r>
  <r>
    <d v="2023-06-17T00:00:00"/>
    <n v="1894.7520000000002"/>
    <n v="378.95040000000006"/>
    <x v="0"/>
    <x v="3"/>
    <n v="4"/>
    <n v="584.79999999999995"/>
    <s v="Store B"/>
    <x v="1"/>
    <n v="0.1"/>
    <s v="Eva"/>
    <n v="2105.2800000000002"/>
    <x v="0"/>
    <x v="0"/>
    <n v="0"/>
    <s v="REG100445"/>
    <s v="Cust 8157"/>
    <n v="16.440000000000001"/>
    <x v="357"/>
    <d v="2023-06-25T00:00:00"/>
    <s v="Eric"/>
  </r>
  <r>
    <d v="2024-01-28T00:00:00"/>
    <n v="6136.915"/>
    <n v="1227.383"/>
    <x v="4"/>
    <x v="6"/>
    <n v="20"/>
    <n v="424.7"/>
    <s v="Store B"/>
    <x v="0"/>
    <n v="0.15"/>
    <s v="Bob"/>
    <n v="7219.9"/>
    <x v="0"/>
    <x v="0"/>
    <n v="0"/>
    <s v="REG100446"/>
    <s v="Cust 4861"/>
    <n v="42.03"/>
    <x v="275"/>
    <d v="2024-02-05T00:00:00"/>
    <s v="Wendy"/>
  </r>
  <r>
    <d v="2023-03-14T00:00:00"/>
    <n v="2322.6912000000002"/>
    <n v="464.53824000000009"/>
    <x v="3"/>
    <x v="3"/>
    <n v="16"/>
    <n v="179.22"/>
    <s v="Store D"/>
    <x v="1"/>
    <n v="0.1"/>
    <s v="Alice"/>
    <n v="2580.768"/>
    <x v="0"/>
    <x v="2"/>
    <n v="0"/>
    <s v="REG100447"/>
    <s v="Cust 7493"/>
    <n v="45.99"/>
    <x v="358"/>
    <d v="2023-03-17T00:00:00"/>
    <s v="Cameron"/>
  </r>
  <r>
    <d v="2025-01-09T00:00:00"/>
    <n v="1783.92"/>
    <n v="356.78400000000005"/>
    <x v="0"/>
    <x v="0"/>
    <n v="12"/>
    <n v="148.66"/>
    <s v="Store A"/>
    <x v="0"/>
    <n v="0"/>
    <s v="Diana"/>
    <n v="1783.92"/>
    <x v="0"/>
    <x v="3"/>
    <n v="1"/>
    <s v="REG100448"/>
    <s v="Cust 7073"/>
    <n v="27.16"/>
    <x v="359"/>
    <d v="2025-01-17T00:00:00"/>
    <s v="Eric"/>
  </r>
  <r>
    <d v="2025-03-30T00:00:00"/>
    <n v="5322.5707999999995"/>
    <n v="1064.5141599999999"/>
    <x v="3"/>
    <x v="1"/>
    <n v="16"/>
    <n v="460.43"/>
    <s v="Store B"/>
    <x v="0"/>
    <n v="0.15"/>
    <s v="Bob"/>
    <n v="6261.848"/>
    <x v="0"/>
    <x v="2"/>
    <n v="0"/>
    <s v="REG100449"/>
    <s v="Cust 9085"/>
    <n v="20.38"/>
    <x v="360"/>
    <d v="2025-04-06T00:00:00"/>
    <s v="Cameron"/>
  </r>
  <r>
    <d v="2023-10-23T00:00:00"/>
    <n v="1508.844625"/>
    <n v="301.76892500000002"/>
    <x v="0"/>
    <x v="5"/>
    <n v="5"/>
    <n v="334.37"/>
    <s v="Store B"/>
    <x v="1"/>
    <n v="0.05"/>
    <s v="Carlos"/>
    <n v="1588.2574999999999"/>
    <x v="2"/>
    <x v="3"/>
    <n v="0"/>
    <s v="REG100450"/>
    <s v="Cust 3247"/>
    <n v="32.130000000000003"/>
    <x v="25"/>
    <d v="2023-10-28T00:00:00"/>
    <s v="Eric"/>
  </r>
  <r>
    <d v="2025-06-08T00:00:00"/>
    <n v="1299.8931"/>
    <n v="259.97862000000003"/>
    <x v="4"/>
    <x v="4"/>
    <n v="3"/>
    <n v="599.72"/>
    <s v="Store D"/>
    <x v="1"/>
    <n v="0.15"/>
    <s v="Alice"/>
    <n v="1529.2860000000001"/>
    <x v="0"/>
    <x v="2"/>
    <n v="1"/>
    <s v="REG100451"/>
    <s v="Cust 8504"/>
    <n v="14.93"/>
    <x v="119"/>
    <d v="2025-06-14T00:00:00"/>
    <s v="Wendy"/>
  </r>
  <r>
    <d v="2024-02-26T00:00:00"/>
    <n v="4288.24"/>
    <n v="857.64800000000002"/>
    <x v="4"/>
    <x v="4"/>
    <n v="11"/>
    <n v="389.84"/>
    <s v="Store D"/>
    <x v="0"/>
    <n v="0"/>
    <s v="Alice"/>
    <n v="4288.24"/>
    <x v="1"/>
    <x v="1"/>
    <n v="1"/>
    <s v="REG100452"/>
    <s v="Cust 4164"/>
    <n v="10.24"/>
    <x v="361"/>
    <d v="2024-02-29T00:00:00"/>
    <s v="Wendy"/>
  </r>
  <r>
    <d v="2024-10-30T00:00:00"/>
    <n v="3971.6325000000002"/>
    <n v="794.32650000000012"/>
    <x v="0"/>
    <x v="3"/>
    <n v="11"/>
    <n v="445.75"/>
    <s v="Store A"/>
    <x v="0"/>
    <n v="0.1"/>
    <s v="Frank"/>
    <n v="4412.9250000000002"/>
    <x v="0"/>
    <x v="1"/>
    <n v="0"/>
    <s v="REG100453"/>
    <s v="Cust 9592"/>
    <n v="18.07"/>
    <x v="362"/>
    <d v="2024-11-07T00:00:00"/>
    <s v="Eric"/>
  </r>
  <r>
    <d v="2024-08-19T00:00:00"/>
    <n v="1259.4041999999999"/>
    <n v="251.88084000000001"/>
    <x v="1"/>
    <x v="0"/>
    <n v="18"/>
    <n v="96.84"/>
    <s v="Store A"/>
    <x v="0"/>
    <n v="0.15"/>
    <s v="Frank"/>
    <n v="1481.652"/>
    <x v="4"/>
    <x v="1"/>
    <n v="1"/>
    <s v="REG100454"/>
    <s v="Cust 7450"/>
    <n v="8.1"/>
    <x v="363"/>
    <d v="2024-08-23T00:00:00"/>
    <s v="Sophie"/>
  </r>
  <r>
    <d v="2023-07-30T00:00:00"/>
    <n v="427.93110000000001"/>
    <n v="85.586220000000012"/>
    <x v="3"/>
    <x v="3"/>
    <n v="1"/>
    <n v="528.30999999999995"/>
    <s v="Store C"/>
    <x v="0"/>
    <n v="0.1"/>
    <s v="Alice"/>
    <n v="475.47899999999998"/>
    <x v="0"/>
    <x v="0"/>
    <n v="0"/>
    <s v="REG100455"/>
    <s v="Cust 4186"/>
    <n v="24.55"/>
    <x v="364"/>
    <d v="2023-08-09T00:00:00"/>
    <s v="Cameron"/>
  </r>
  <r>
    <d v="2024-08-13T00:00:00"/>
    <n v="1024.48"/>
    <n v="204.89600000000002"/>
    <x v="2"/>
    <x v="4"/>
    <n v="16"/>
    <n v="64.03"/>
    <s v="Store A"/>
    <x v="0"/>
    <n v="0"/>
    <s v="Carlos"/>
    <n v="1024.48"/>
    <x v="1"/>
    <x v="2"/>
    <n v="1"/>
    <s v="REG100456"/>
    <s v="Cust 3305"/>
    <n v="16.71"/>
    <x v="365"/>
    <d v="2024-08-23T00:00:00"/>
    <s v="Ryan"/>
  </r>
  <r>
    <d v="2023-11-04T00:00:00"/>
    <n v="2104.458525"/>
    <n v="420.891705"/>
    <x v="2"/>
    <x v="6"/>
    <n v="13"/>
    <n v="179.37"/>
    <s v="Store A"/>
    <x v="1"/>
    <n v="0.05"/>
    <s v="Eva"/>
    <n v="2215.2195000000002"/>
    <x v="0"/>
    <x v="0"/>
    <n v="0"/>
    <s v="REG100457"/>
    <s v="Cust 9768"/>
    <n v="35.28"/>
    <x v="350"/>
    <d v="2023-11-12T00:00:00"/>
    <s v="Ryan"/>
  </r>
  <r>
    <d v="2025-06-05T00:00:00"/>
    <n v="9331.85"/>
    <n v="1866.3700000000001"/>
    <x v="0"/>
    <x v="6"/>
    <n v="19"/>
    <n v="491.15"/>
    <s v="Store C"/>
    <x v="1"/>
    <n v="0"/>
    <s v="Frank"/>
    <n v="9331.85"/>
    <x v="0"/>
    <x v="3"/>
    <n v="0"/>
    <s v="REG100458"/>
    <s v="Cust 1179"/>
    <n v="48.68"/>
    <x v="20"/>
    <d v="2025-06-15T00:00:00"/>
    <s v="Eric"/>
  </r>
  <r>
    <d v="2023-06-23T00:00:00"/>
    <n v="1801.7"/>
    <n v="360.34000000000003"/>
    <x v="2"/>
    <x v="6"/>
    <n v="5"/>
    <n v="360.34"/>
    <s v="Store C"/>
    <x v="0"/>
    <n v="0"/>
    <s v="Carlos"/>
    <n v="1801.7"/>
    <x v="1"/>
    <x v="3"/>
    <n v="0"/>
    <s v="REG100459"/>
    <s v="Cust 2546"/>
    <n v="33.76"/>
    <x v="366"/>
    <d v="2023-06-28T00:00:00"/>
    <s v="Ryan"/>
  </r>
  <r>
    <d v="2024-09-21T00:00:00"/>
    <n v="4808.1600000000008"/>
    <n v="961.63200000000018"/>
    <x v="1"/>
    <x v="0"/>
    <n v="20"/>
    <n v="296.8"/>
    <s v="Store A"/>
    <x v="1"/>
    <n v="0.1"/>
    <s v="Frank"/>
    <n v="5342.4000000000005"/>
    <x v="1"/>
    <x v="3"/>
    <n v="0"/>
    <s v="REG100460"/>
    <s v="Cust 2672"/>
    <n v="19.57"/>
    <x v="367"/>
    <d v="2024-09-28T00:00:00"/>
    <s v="Sophie"/>
  </r>
  <r>
    <d v="2024-01-01T00:00:00"/>
    <n v="1456.5906"/>
    <n v="291.31812000000002"/>
    <x v="1"/>
    <x v="2"/>
    <n v="3"/>
    <n v="599.41999999999996"/>
    <s v="Store A"/>
    <x v="0"/>
    <n v="0.1"/>
    <s v="Bob"/>
    <n v="1618.434"/>
    <x v="0"/>
    <x v="1"/>
    <n v="0"/>
    <s v="REG100461"/>
    <s v="Cust 3394"/>
    <n v="48.02"/>
    <x v="223"/>
    <d v="2024-01-03T00:00:00"/>
    <s v="Sophie"/>
  </r>
  <r>
    <d v="2025-01-02T00:00:00"/>
    <n v="374.33"/>
    <n v="74.866"/>
    <x v="4"/>
    <x v="0"/>
    <n v="1"/>
    <n v="374.33"/>
    <s v="Store B"/>
    <x v="0"/>
    <n v="0"/>
    <s v="Carlos"/>
    <n v="374.33"/>
    <x v="2"/>
    <x v="0"/>
    <n v="0"/>
    <s v="REG100462"/>
    <s v="Cust 1649"/>
    <n v="33.31"/>
    <x v="368"/>
    <d v="2025-01-12T00:00:00"/>
    <s v="Wendy"/>
  </r>
  <r>
    <d v="2024-03-14T00:00:00"/>
    <n v="5530.3040000000001"/>
    <n v="1106.0608"/>
    <x v="2"/>
    <x v="2"/>
    <n v="13"/>
    <n v="588.79999999999995"/>
    <s v="Store D"/>
    <x v="0"/>
    <n v="0.15"/>
    <s v="Frank"/>
    <n v="6506.24"/>
    <x v="4"/>
    <x v="1"/>
    <n v="0"/>
    <s v="REG100463"/>
    <s v="Cust 6994"/>
    <n v="45.03"/>
    <x v="47"/>
    <d v="2024-03-21T00:00:00"/>
    <s v="Ryan"/>
  </r>
  <r>
    <d v="2024-05-04T00:00:00"/>
    <n v="2579.7199999999998"/>
    <n v="515.94399999999996"/>
    <x v="4"/>
    <x v="4"/>
    <n v="13"/>
    <n v="198.44"/>
    <s v="Store D"/>
    <x v="0"/>
    <n v="0"/>
    <s v="Carlos"/>
    <n v="2579.7199999999998"/>
    <x v="4"/>
    <x v="1"/>
    <n v="1"/>
    <s v="REG100464"/>
    <s v="Cust 9879"/>
    <n v="31.51"/>
    <x v="369"/>
    <d v="2024-05-09T00:00:00"/>
    <s v="Wendy"/>
  </r>
  <r>
    <d v="2025-02-27T00:00:00"/>
    <n v="4610.3999999999996"/>
    <n v="922.07999999999993"/>
    <x v="1"/>
    <x v="6"/>
    <n v="12"/>
    <n v="384.2"/>
    <s v="Store A"/>
    <x v="1"/>
    <n v="0"/>
    <s v="Eva"/>
    <n v="4610.3999999999996"/>
    <x v="4"/>
    <x v="0"/>
    <n v="0"/>
    <s v="REG100465"/>
    <s v="Cust 9069"/>
    <n v="38.99"/>
    <x v="370"/>
    <d v="2025-03-02T00:00:00"/>
    <s v="Sophie"/>
  </r>
  <r>
    <d v="2024-11-13T00:00:00"/>
    <n v="1374.1660999999999"/>
    <n v="274.83321999999998"/>
    <x v="3"/>
    <x v="1"/>
    <n v="4"/>
    <n v="475.49"/>
    <s v="Store B"/>
    <x v="0"/>
    <n v="0.15"/>
    <s v="Frank"/>
    <n v="1616.6659999999999"/>
    <x v="4"/>
    <x v="2"/>
    <n v="0"/>
    <s v="REG100466"/>
    <s v="Cust 3712"/>
    <n v="11.6"/>
    <x v="371"/>
    <d v="2024-11-17T00:00:00"/>
    <s v="Cameron"/>
  </r>
  <r>
    <d v="2023-10-31T00:00:00"/>
    <n v="986.43420000000003"/>
    <n v="197.28684000000001"/>
    <x v="4"/>
    <x v="6"/>
    <n v="6"/>
    <n v="202.97"/>
    <s v="Store C"/>
    <x v="1"/>
    <n v="0.1"/>
    <s v="Eva"/>
    <n v="1096.038"/>
    <x v="1"/>
    <x v="2"/>
    <n v="0"/>
    <s v="REG100467"/>
    <s v="Cust 3829"/>
    <n v="43.55"/>
    <x v="372"/>
    <d v="2023-11-10T00:00:00"/>
    <s v="Wendy"/>
  </r>
  <r>
    <d v="2023-12-19T00:00:00"/>
    <n v="2434.14"/>
    <n v="486.82799999999997"/>
    <x v="3"/>
    <x v="5"/>
    <n v="18"/>
    <n v="135.22999999999999"/>
    <s v="Store C"/>
    <x v="0"/>
    <n v="0"/>
    <s v="Diana"/>
    <n v="2434.14"/>
    <x v="0"/>
    <x v="2"/>
    <n v="1"/>
    <s v="REG100468"/>
    <s v="Cust 1623"/>
    <n v="46.1"/>
    <x v="373"/>
    <d v="2023-12-24T00:00:00"/>
    <s v="Cameron"/>
  </r>
  <r>
    <d v="2023-11-27T00:00:00"/>
    <n v="6433.0199999999995"/>
    <n v="1286.604"/>
    <x v="1"/>
    <x v="5"/>
    <n v="20"/>
    <n v="356.4"/>
    <s v="Store C"/>
    <x v="0"/>
    <n v="0.05"/>
    <s v="Diana"/>
    <n v="6771.5999999999995"/>
    <x v="4"/>
    <x v="0"/>
    <n v="1"/>
    <s v="REG100469"/>
    <s v="Cust 3532"/>
    <n v="26.7"/>
    <x v="165"/>
    <d v="2023-12-03T00:00:00"/>
    <s v="Sophie"/>
  </r>
  <r>
    <d v="2023-08-15T00:00:00"/>
    <n v="797.95439999999996"/>
    <n v="159.59088"/>
    <x v="0"/>
    <x v="0"/>
    <n v="3"/>
    <n v="294.72000000000003"/>
    <s v="Store C"/>
    <x v="0"/>
    <n v="0.05"/>
    <s v="Alice"/>
    <n v="839.952"/>
    <x v="4"/>
    <x v="1"/>
    <n v="0"/>
    <s v="REG100470"/>
    <s v="Cust 4712"/>
    <n v="45.33"/>
    <x v="374"/>
    <d v="2023-08-18T00:00:00"/>
    <s v="Eric"/>
  </r>
  <r>
    <d v="2023-01-16T00:00:00"/>
    <n v="11077"/>
    <n v="2215.4"/>
    <x v="4"/>
    <x v="1"/>
    <n v="20"/>
    <n v="553.85"/>
    <s v="Store A"/>
    <x v="1"/>
    <n v="0"/>
    <s v="Frank"/>
    <n v="11077"/>
    <x v="4"/>
    <x v="2"/>
    <n v="0"/>
    <s v="REG100471"/>
    <s v="Cust 6211"/>
    <n v="33.21"/>
    <x v="375"/>
    <d v="2023-01-24T00:00:00"/>
    <s v="Wendy"/>
  </r>
  <r>
    <d v="2025-02-28T00:00:00"/>
    <n v="854.72010000000012"/>
    <n v="170.94402000000002"/>
    <x v="3"/>
    <x v="5"/>
    <n v="13"/>
    <n v="81.17"/>
    <s v="Store D"/>
    <x v="1"/>
    <n v="0.1"/>
    <s v="Frank"/>
    <n v="949.68900000000008"/>
    <x v="4"/>
    <x v="1"/>
    <n v="1"/>
    <s v="REG100472"/>
    <s v="Cust 1222"/>
    <n v="48.21"/>
    <x v="376"/>
    <d v="2025-03-08T00:00:00"/>
    <s v="Cameron"/>
  </r>
  <r>
    <d v="2023-11-28T00:00:00"/>
    <n v="1065.02"/>
    <n v="213.00400000000002"/>
    <x v="4"/>
    <x v="1"/>
    <n v="2"/>
    <n v="532.51"/>
    <s v="Store B"/>
    <x v="0"/>
    <n v="0"/>
    <s v="Carlos"/>
    <n v="1065.02"/>
    <x v="2"/>
    <x v="2"/>
    <n v="1"/>
    <s v="REG100473"/>
    <s v="Cust 6208"/>
    <n v="49.67"/>
    <x v="206"/>
    <d v="2023-12-01T00:00:00"/>
    <s v="Wendy"/>
  </r>
  <r>
    <d v="2023-12-04T00:00:00"/>
    <n v="217.23390000000001"/>
    <n v="43.446780000000004"/>
    <x v="4"/>
    <x v="6"/>
    <n v="1"/>
    <n v="268.19"/>
    <s v="Store B"/>
    <x v="0"/>
    <n v="0.1"/>
    <s v="Carlos"/>
    <n v="241.37100000000001"/>
    <x v="1"/>
    <x v="2"/>
    <n v="0"/>
    <s v="REG100474"/>
    <s v="Cust 5942"/>
    <n v="9.48"/>
    <x v="377"/>
    <d v="2023-12-13T00:00:00"/>
    <s v="Wendy"/>
  </r>
  <r>
    <d v="2024-06-21T00:00:00"/>
    <n v="5314.0236249999998"/>
    <n v="1062.804725"/>
    <x v="1"/>
    <x v="6"/>
    <n v="17"/>
    <n v="432.65"/>
    <s v="Store A"/>
    <x v="1"/>
    <n v="0.15"/>
    <s v="Frank"/>
    <n v="6251.7924999999996"/>
    <x v="4"/>
    <x v="0"/>
    <n v="0"/>
    <s v="REG100475"/>
    <s v="Cust 1745"/>
    <n v="18.850000000000001"/>
    <x v="378"/>
    <d v="2024-06-29T00:00:00"/>
    <s v="Sophie"/>
  </r>
  <r>
    <d v="2025-03-17T00:00:00"/>
    <n v="1395.2736000000002"/>
    <n v="279.05472000000003"/>
    <x v="0"/>
    <x v="2"/>
    <n v="14"/>
    <n v="123.04"/>
    <s v="Store A"/>
    <x v="0"/>
    <n v="0.1"/>
    <s v="Diana"/>
    <n v="1550.3040000000001"/>
    <x v="4"/>
    <x v="2"/>
    <n v="1"/>
    <s v="REG100476"/>
    <s v="Cust 2679"/>
    <n v="43.28"/>
    <x v="253"/>
    <d v="2025-03-26T00:00:00"/>
    <s v="Eric"/>
  </r>
  <r>
    <d v="2023-08-17T00:00:00"/>
    <n v="5890.8384000000005"/>
    <n v="1178.1676800000002"/>
    <x v="3"/>
    <x v="2"/>
    <n v="16"/>
    <n v="454.54"/>
    <s v="Store B"/>
    <x v="1"/>
    <n v="0.1"/>
    <s v="Bob"/>
    <n v="6545.3760000000002"/>
    <x v="0"/>
    <x v="0"/>
    <n v="0"/>
    <s v="REG100477"/>
    <s v="Cust 9907"/>
    <n v="20.55"/>
    <x v="379"/>
    <d v="2023-08-19T00:00:00"/>
    <s v="Cameron"/>
  </r>
  <r>
    <d v="2023-08-30T00:00:00"/>
    <n v="4115.7429499999998"/>
    <n v="823.14859000000001"/>
    <x v="3"/>
    <x v="4"/>
    <n v="11"/>
    <n v="414.58"/>
    <s v="Store D"/>
    <x v="0"/>
    <n v="0.05"/>
    <s v="Diana"/>
    <n v="4332.3609999999999"/>
    <x v="4"/>
    <x v="2"/>
    <n v="0"/>
    <s v="REG100478"/>
    <s v="Cust 5750"/>
    <n v="25.33"/>
    <x v="286"/>
    <d v="2023-09-05T00:00:00"/>
    <s v="Cameron"/>
  </r>
  <r>
    <d v="2025-06-16T00:00:00"/>
    <n v="2572.7139000000002"/>
    <n v="514.54278000000011"/>
    <x v="0"/>
    <x v="1"/>
    <n v="9"/>
    <n v="352.91"/>
    <s v="Store B"/>
    <x v="0"/>
    <n v="0.1"/>
    <s v="Bob"/>
    <n v="2858.5709999999999"/>
    <x v="4"/>
    <x v="0"/>
    <n v="0"/>
    <s v="REG100479"/>
    <s v="Cust 5717"/>
    <n v="30.57"/>
    <x v="26"/>
    <d v="2025-06-18T00:00:00"/>
    <s v="Eric"/>
  </r>
  <r>
    <d v="2023-06-29T00:00:00"/>
    <n v="1024.326"/>
    <n v="204.86520000000002"/>
    <x v="2"/>
    <x v="3"/>
    <n v="10"/>
    <n v="126.46"/>
    <s v="Store A"/>
    <x v="1"/>
    <n v="0.1"/>
    <s v="Eva"/>
    <n v="1138.1400000000001"/>
    <x v="0"/>
    <x v="2"/>
    <n v="0"/>
    <s v="REG100480"/>
    <s v="Cust 7995"/>
    <n v="26.96"/>
    <x v="380"/>
    <d v="2023-07-09T00:00:00"/>
    <s v="Ryan"/>
  </r>
  <r>
    <d v="2023-08-13T00:00:00"/>
    <n v="875.14"/>
    <n v="175.02800000000002"/>
    <x v="2"/>
    <x v="4"/>
    <n v="7"/>
    <n v="125.02"/>
    <s v="Store D"/>
    <x v="0"/>
    <n v="0"/>
    <s v="Carlos"/>
    <n v="875.14"/>
    <x v="2"/>
    <x v="0"/>
    <n v="0"/>
    <s v="REG100481"/>
    <s v="Cust 5572"/>
    <n v="12.45"/>
    <x v="381"/>
    <d v="2023-08-20T00:00:00"/>
    <s v="Ryan"/>
  </r>
  <r>
    <d v="2024-04-29T00:00:00"/>
    <n v="6628.681999999998"/>
    <n v="1325.7363999999998"/>
    <x v="4"/>
    <x v="5"/>
    <n v="20"/>
    <n v="367.24"/>
    <s v="Store A"/>
    <x v="0"/>
    <n v="0.05"/>
    <s v="Carlos"/>
    <n v="6977.5599999999986"/>
    <x v="1"/>
    <x v="0"/>
    <n v="0"/>
    <s v="REG100482"/>
    <s v="Cust 1721"/>
    <n v="45.67"/>
    <x v="131"/>
    <d v="2024-05-07T00:00:00"/>
    <s v="Wendy"/>
  </r>
  <r>
    <d v="2023-07-15T00:00:00"/>
    <n v="3456.96"/>
    <n v="691.39200000000005"/>
    <x v="4"/>
    <x v="4"/>
    <n v="8"/>
    <n v="432.12"/>
    <s v="Store B"/>
    <x v="1"/>
    <n v="0"/>
    <s v="Diana"/>
    <n v="3456.96"/>
    <x v="2"/>
    <x v="2"/>
    <n v="0"/>
    <s v="REG100483"/>
    <s v="Cust 2641"/>
    <n v="42.1"/>
    <x v="382"/>
    <d v="2023-07-25T00:00:00"/>
    <s v="Wendy"/>
  </r>
  <r>
    <d v="2025-01-17T00:00:00"/>
    <n v="32.3919"/>
    <n v="6.4783800000000005"/>
    <x v="2"/>
    <x v="5"/>
    <n v="3"/>
    <n v="13.33"/>
    <s v="Store D"/>
    <x v="1"/>
    <n v="0.1"/>
    <s v="Eva"/>
    <n v="35.991"/>
    <x v="4"/>
    <x v="1"/>
    <n v="0"/>
    <s v="REG100484"/>
    <s v="Cust 9769"/>
    <n v="17.62"/>
    <x v="50"/>
    <d v="2025-01-23T00:00:00"/>
    <s v="Ryan"/>
  </r>
  <r>
    <d v="2025-02-21T00:00:00"/>
    <n v="1377.09"/>
    <n v="275.41800000000001"/>
    <x v="0"/>
    <x v="6"/>
    <n v="13"/>
    <n v="105.93"/>
    <s v="Store C"/>
    <x v="1"/>
    <n v="0"/>
    <s v="Bob"/>
    <n v="1377.09"/>
    <x v="3"/>
    <x v="0"/>
    <n v="0"/>
    <s v="REG100485"/>
    <s v="Cust 1718"/>
    <n v="38.96"/>
    <x v="383"/>
    <d v="2025-03-03T00:00:00"/>
    <s v="Eric"/>
  </r>
  <r>
    <d v="2023-07-19T00:00:00"/>
    <n v="10531"/>
    <n v="2106.2000000000003"/>
    <x v="4"/>
    <x v="4"/>
    <n v="20"/>
    <n v="526.54999999999995"/>
    <s v="Store A"/>
    <x v="0"/>
    <n v="0"/>
    <s v="Alice"/>
    <n v="10531"/>
    <x v="3"/>
    <x v="0"/>
    <n v="1"/>
    <s v="REG100486"/>
    <s v="Cust 1210"/>
    <n v="25.64"/>
    <x v="384"/>
    <d v="2023-07-26T00:00:00"/>
    <s v="Wendy"/>
  </r>
  <r>
    <d v="2024-09-29T00:00:00"/>
    <n v="3373.1659500000001"/>
    <n v="674.63319000000001"/>
    <x v="4"/>
    <x v="1"/>
    <n v="11"/>
    <n v="339.78"/>
    <s v="Store A"/>
    <x v="1"/>
    <n v="0.05"/>
    <s v="Diana"/>
    <n v="3550.701"/>
    <x v="3"/>
    <x v="2"/>
    <n v="1"/>
    <s v="REG100487"/>
    <s v="Cust 7710"/>
    <n v="11.56"/>
    <x v="385"/>
    <d v="2024-10-06T00:00:00"/>
    <s v="Wendy"/>
  </r>
  <r>
    <d v="2024-10-17T00:00:00"/>
    <n v="662.89374999999995"/>
    <n v="132.57874999999999"/>
    <x v="0"/>
    <x v="0"/>
    <n v="10"/>
    <n v="91.75"/>
    <s v="Store D"/>
    <x v="0"/>
    <n v="0.15"/>
    <s v="Frank"/>
    <n v="779.875"/>
    <x v="4"/>
    <x v="2"/>
    <n v="0"/>
    <s v="REG100488"/>
    <s v="Cust 1428"/>
    <n v="37.270000000000003"/>
    <x v="386"/>
    <d v="2024-10-21T00:00:00"/>
    <s v="Eric"/>
  </r>
  <r>
    <d v="2025-06-11T00:00:00"/>
    <n v="165.96899999999999"/>
    <n v="33.193800000000003"/>
    <x v="0"/>
    <x v="1"/>
    <n v="15"/>
    <n v="13.66"/>
    <s v="Store B"/>
    <x v="1"/>
    <n v="0.1"/>
    <s v="Alice"/>
    <n v="184.41"/>
    <x v="3"/>
    <x v="0"/>
    <n v="0"/>
    <s v="REG100489"/>
    <s v="Cust 2810"/>
    <n v="38.04"/>
    <x v="54"/>
    <d v="2025-06-17T00:00:00"/>
    <s v="Eric"/>
  </r>
  <r>
    <d v="2024-01-19T00:00:00"/>
    <n v="720.39779999999996"/>
    <n v="144.07955999999999"/>
    <x v="4"/>
    <x v="2"/>
    <n v="6"/>
    <n v="148.22999999999999"/>
    <s v="Store B"/>
    <x v="1"/>
    <n v="0.1"/>
    <s v="Eva"/>
    <n v="800.44199999999989"/>
    <x v="2"/>
    <x v="0"/>
    <n v="0"/>
    <s v="REG100490"/>
    <s v="Cust 2234"/>
    <n v="19.579999999999998"/>
    <x v="387"/>
    <d v="2024-01-29T00:00:00"/>
    <s v="Wendy"/>
  </r>
  <r>
    <d v="2023-12-03T00:00:00"/>
    <n v="3934.2509249999998"/>
    <n v="786.85018500000001"/>
    <x v="0"/>
    <x v="3"/>
    <n v="11"/>
    <n v="495.03"/>
    <s v="Store D"/>
    <x v="0"/>
    <n v="0.15"/>
    <s v="Frank"/>
    <n v="4628.5304999999998"/>
    <x v="4"/>
    <x v="2"/>
    <n v="0"/>
    <s v="REG100491"/>
    <s v="Cust 9602"/>
    <n v="27.37"/>
    <x v="388"/>
    <d v="2023-12-05T00:00:00"/>
    <s v="Eric"/>
  </r>
  <r>
    <d v="2024-06-19T00:00:00"/>
    <n v="1338.588"/>
    <n v="267.7176"/>
    <x v="3"/>
    <x v="3"/>
    <n v="6"/>
    <n v="247.2"/>
    <s v="Store A"/>
    <x v="0"/>
    <n v="0.05"/>
    <s v="Diana"/>
    <n v="1409.04"/>
    <x v="2"/>
    <x v="0"/>
    <n v="0"/>
    <s v="REG100492"/>
    <s v="Cust 2546"/>
    <n v="18.75"/>
    <x v="389"/>
    <d v="2024-06-27T00:00:00"/>
    <s v="Cameron"/>
  </r>
  <r>
    <d v="2024-10-16T00:00:00"/>
    <n v="3557.2488749999989"/>
    <n v="711.44977499999982"/>
    <x v="4"/>
    <x v="5"/>
    <n v="19"/>
    <n v="207.45"/>
    <s v="Store C"/>
    <x v="1"/>
    <n v="0.05"/>
    <s v="Bob"/>
    <n v="3744.4724999999989"/>
    <x v="3"/>
    <x v="1"/>
    <n v="0"/>
    <s v="REG100493"/>
    <s v="Cust 5032"/>
    <n v="11.5"/>
    <x v="8"/>
    <d v="2024-10-21T00:00:00"/>
    <s v="Wendy"/>
  </r>
  <r>
    <d v="2025-01-23T00:00:00"/>
    <n v="535.7770999999999"/>
    <n v="107.15541999999999"/>
    <x v="0"/>
    <x v="0"/>
    <n v="2"/>
    <n v="370.78"/>
    <s v="Store D"/>
    <x v="0"/>
    <n v="0.15"/>
    <s v="Diana"/>
    <n v="630.32599999999991"/>
    <x v="0"/>
    <x v="0"/>
    <n v="0"/>
    <s v="REG100494"/>
    <s v="Cust 4297"/>
    <n v="20.45"/>
    <x v="187"/>
    <d v="2025-01-27T00:00:00"/>
    <s v="Eric"/>
  </r>
  <r>
    <d v="2023-10-02T00:00:00"/>
    <n v="1069.5888"/>
    <n v="213.91776000000002"/>
    <x v="3"/>
    <x v="0"/>
    <n v="9"/>
    <n v="146.72"/>
    <s v="Store A"/>
    <x v="0"/>
    <n v="0.1"/>
    <s v="Diana"/>
    <n v="1188.432"/>
    <x v="2"/>
    <x v="3"/>
    <n v="0"/>
    <s v="REG100495"/>
    <s v="Cust 6944"/>
    <n v="10.45"/>
    <x v="390"/>
    <d v="2023-10-10T00:00:00"/>
    <s v="Cameron"/>
  </r>
  <r>
    <d v="2023-11-05T00:00:00"/>
    <n v="1553.7420000000002"/>
    <n v="310.74840000000006"/>
    <x v="0"/>
    <x v="2"/>
    <n v="12"/>
    <n v="159.85"/>
    <s v="Store D"/>
    <x v="1"/>
    <n v="0.1"/>
    <s v="Alice"/>
    <n v="1726.38"/>
    <x v="4"/>
    <x v="2"/>
    <n v="0"/>
    <s v="REG100496"/>
    <s v="Cust 4136"/>
    <n v="32.61"/>
    <x v="321"/>
    <d v="2023-11-07T00:00:00"/>
    <s v="Eric"/>
  </r>
  <r>
    <d v="2023-06-18T00:00:00"/>
    <n v="2131.5605999999998"/>
    <n v="426.31211999999999"/>
    <x v="1"/>
    <x v="6"/>
    <n v="13"/>
    <n v="181.68"/>
    <s v="Store C"/>
    <x v="0"/>
    <n v="0.05"/>
    <s v="Diana"/>
    <n v="2243.748"/>
    <x v="1"/>
    <x v="1"/>
    <n v="0"/>
    <s v="REG100497"/>
    <s v="Cust 7460"/>
    <n v="14.69"/>
    <x v="391"/>
    <d v="2023-06-23T00:00:00"/>
    <s v="Sophie"/>
  </r>
  <r>
    <d v="2024-07-15T00:00:00"/>
    <n v="394.88960000000003"/>
    <n v="78.977920000000012"/>
    <x v="3"/>
    <x v="1"/>
    <n v="16"/>
    <n v="34.159999999999997"/>
    <s v="Store A"/>
    <x v="1"/>
    <n v="0.15"/>
    <s v="Bob"/>
    <n v="464.57600000000002"/>
    <x v="4"/>
    <x v="1"/>
    <n v="0"/>
    <s v="REG100498"/>
    <s v="Cust 3960"/>
    <n v="36.33"/>
    <x v="236"/>
    <d v="2024-07-21T00:00:00"/>
    <s v="Cameron"/>
  </r>
  <r>
    <d v="2024-06-14T00:00:00"/>
    <n v="465.63660000000004"/>
    <n v="93.127320000000012"/>
    <x v="3"/>
    <x v="0"/>
    <n v="2"/>
    <n v="287.43"/>
    <s v="Store C"/>
    <x v="0"/>
    <n v="0.1"/>
    <s v="Diana"/>
    <n v="517.37400000000002"/>
    <x v="4"/>
    <x v="2"/>
    <n v="0"/>
    <s v="REG100499"/>
    <s v="Cust 5530"/>
    <n v="25.34"/>
    <x v="392"/>
    <d v="2024-06-23T00:00:00"/>
    <s v="Cameron"/>
  </r>
  <r>
    <d v="2024-04-05T00:00:00"/>
    <n v="4399.4831249999997"/>
    <n v="879.89662499999997"/>
    <x v="0"/>
    <x v="4"/>
    <n v="15"/>
    <n v="405.95"/>
    <s v="Store D"/>
    <x v="0"/>
    <n v="0.15"/>
    <s v="Eva"/>
    <n v="5175.8625000000002"/>
    <x v="1"/>
    <x v="3"/>
    <n v="0"/>
    <s v="REG100500"/>
    <s v="Cust 3160"/>
    <n v="32.04"/>
    <x v="393"/>
    <d v="2024-04-10T00:00:00"/>
    <s v="Eric"/>
  </r>
  <r>
    <d v="2023-02-27T00:00:00"/>
    <n v="430.61"/>
    <n v="86.122000000000014"/>
    <x v="2"/>
    <x v="0"/>
    <n v="1"/>
    <n v="430.61"/>
    <s v="Store B"/>
    <x v="1"/>
    <n v="0"/>
    <s v="Alice"/>
    <n v="430.61"/>
    <x v="1"/>
    <x v="2"/>
    <n v="0"/>
    <s v="REG100501"/>
    <s v="Cust 9641"/>
    <n v="14.53"/>
    <x v="274"/>
    <d v="2023-03-07T00:00:00"/>
    <s v="Ryan"/>
  </r>
  <r>
    <d v="2023-07-31T00:00:00"/>
    <n v="2540.25"/>
    <n v="508.05"/>
    <x v="4"/>
    <x v="0"/>
    <n v="5"/>
    <n v="508.05"/>
    <s v="Store D"/>
    <x v="1"/>
    <n v="0"/>
    <s v="Frank"/>
    <n v="2540.25"/>
    <x v="2"/>
    <x v="2"/>
    <n v="1"/>
    <s v="REG100502"/>
    <s v="Cust 9742"/>
    <n v="35.630000000000003"/>
    <x v="65"/>
    <d v="2023-08-09T00:00:00"/>
    <s v="Wendy"/>
  </r>
  <r>
    <d v="2023-03-03T00:00:00"/>
    <n v="4911.9957249999998"/>
    <n v="982.39914499999998"/>
    <x v="4"/>
    <x v="0"/>
    <n v="13"/>
    <n v="522.97"/>
    <s v="Store C"/>
    <x v="1"/>
    <n v="0.15"/>
    <s v="Carlos"/>
    <n v="5778.8185000000003"/>
    <x v="3"/>
    <x v="0"/>
    <n v="0"/>
    <s v="REG100503"/>
    <s v="Cust 1144"/>
    <n v="33.9"/>
    <x v="21"/>
    <d v="2023-03-10T00:00:00"/>
    <s v="Wendy"/>
  </r>
  <r>
    <d v="2023-04-26T00:00:00"/>
    <n v="3583.6424999999999"/>
    <n v="716.72850000000005"/>
    <x v="1"/>
    <x v="0"/>
    <n v="17"/>
    <n v="260.25"/>
    <s v="Store D"/>
    <x v="0"/>
    <n v="0.1"/>
    <s v="Frank"/>
    <n v="3981.8249999999998"/>
    <x v="2"/>
    <x v="1"/>
    <n v="0"/>
    <s v="REG100504"/>
    <s v="Cust 2936"/>
    <n v="23.26"/>
    <x v="394"/>
    <d v="2023-04-28T00:00:00"/>
    <s v="Sophie"/>
  </r>
  <r>
    <d v="2024-10-19T00:00:00"/>
    <n v="2669.1606000000002"/>
    <n v="533.83212000000003"/>
    <x v="0"/>
    <x v="1"/>
    <n v="6"/>
    <n v="549.21"/>
    <s v="Store B"/>
    <x v="1"/>
    <n v="0.1"/>
    <s v="Eva"/>
    <n v="2965.7339999999999"/>
    <x v="2"/>
    <x v="2"/>
    <n v="1"/>
    <s v="REG100505"/>
    <s v="Cust 3035"/>
    <n v="12.29"/>
    <x v="272"/>
    <d v="2024-10-27T00:00:00"/>
    <s v="Eric"/>
  </r>
  <r>
    <d v="2024-06-30T00:00:00"/>
    <n v="5801.3932249999998"/>
    <n v="1160.2786450000001"/>
    <x v="3"/>
    <x v="6"/>
    <n v="17"/>
    <n v="472.33"/>
    <s v="Store C"/>
    <x v="1"/>
    <n v="0.15"/>
    <s v="Carlos"/>
    <n v="6825.1684999999998"/>
    <x v="3"/>
    <x v="2"/>
    <n v="0"/>
    <s v="REG100506"/>
    <s v="Cust 1717"/>
    <n v="22.63"/>
    <x v="261"/>
    <d v="2024-07-04T00:00:00"/>
    <s v="Cameron"/>
  </r>
  <r>
    <d v="2024-10-11T00:00:00"/>
    <n v="5371.47"/>
    <n v="1074.2940000000001"/>
    <x v="4"/>
    <x v="0"/>
    <n v="9"/>
    <n v="596.83000000000004"/>
    <s v="Store A"/>
    <x v="1"/>
    <n v="0"/>
    <s v="Eva"/>
    <n v="5371.47"/>
    <x v="4"/>
    <x v="2"/>
    <n v="0"/>
    <s v="REG100507"/>
    <s v="Cust 4456"/>
    <n v="6.43"/>
    <x v="395"/>
    <d v="2024-10-19T00:00:00"/>
    <s v="Wendy"/>
  </r>
  <r>
    <d v="2025-06-14T00:00:00"/>
    <n v="1871.586"/>
    <n v="374.31720000000001"/>
    <x v="3"/>
    <x v="4"/>
    <n v="15"/>
    <n v="154.04"/>
    <s v="Store D"/>
    <x v="1"/>
    <n v="0.1"/>
    <s v="Alice"/>
    <n v="2079.54"/>
    <x v="4"/>
    <x v="0"/>
    <n v="1"/>
    <s v="REG100508"/>
    <s v="Cust 6435"/>
    <n v="24.53"/>
    <x v="396"/>
    <d v="2025-06-23T00:00:00"/>
    <s v="Cameron"/>
  </r>
  <r>
    <d v="2024-12-22T00:00:00"/>
    <n v="7296.4152000000004"/>
    <n v="1459.2830400000003"/>
    <x v="0"/>
    <x v="0"/>
    <n v="18"/>
    <n v="500.44"/>
    <s v="Store D"/>
    <x v="0"/>
    <n v="0.1"/>
    <s v="Bob"/>
    <n v="8107.1280000000006"/>
    <x v="2"/>
    <x v="3"/>
    <n v="0"/>
    <s v="REG100509"/>
    <s v="Cust 9352"/>
    <n v="8.8699999999999992"/>
    <x v="397"/>
    <d v="2024-12-30T00:00:00"/>
    <s v="Eric"/>
  </r>
  <r>
    <d v="2024-04-22T00:00:00"/>
    <n v="1910.85"/>
    <n v="382.17"/>
    <x v="4"/>
    <x v="5"/>
    <n v="5"/>
    <n v="382.17"/>
    <s v="Store C"/>
    <x v="0"/>
    <n v="0"/>
    <s v="Diana"/>
    <n v="1910.85"/>
    <x v="2"/>
    <x v="0"/>
    <n v="0"/>
    <s v="REG100510"/>
    <s v="Cust 6746"/>
    <n v="17.72"/>
    <x v="398"/>
    <d v="2024-04-25T00:00:00"/>
    <s v="Wendy"/>
  </r>
  <r>
    <d v="2025-01-25T00:00:00"/>
    <n v="792.30795000000001"/>
    <n v="158.46159"/>
    <x v="2"/>
    <x v="3"/>
    <n v="3"/>
    <n v="365.54"/>
    <s v="Store B"/>
    <x v="1"/>
    <n v="0.15"/>
    <s v="Frank"/>
    <n v="932.12700000000007"/>
    <x v="0"/>
    <x v="3"/>
    <n v="0"/>
    <s v="REG100511"/>
    <s v="Cust 8189"/>
    <n v="45.89"/>
    <x v="59"/>
    <d v="2025-01-29T00:00:00"/>
    <s v="Ryan"/>
  </r>
  <r>
    <d v="2024-11-13T00:00:00"/>
    <n v="975.84462499999995"/>
    <n v="195.168925"/>
    <x v="2"/>
    <x v="0"/>
    <n v="5"/>
    <n v="270.13"/>
    <s v="Store C"/>
    <x v="1"/>
    <n v="0.15"/>
    <s v="Eva"/>
    <n v="1148.0525"/>
    <x v="2"/>
    <x v="3"/>
    <n v="0"/>
    <s v="REG100512"/>
    <s v="Cust 8470"/>
    <n v="15.74"/>
    <x v="371"/>
    <d v="2024-11-19T00:00:00"/>
    <s v="Ryan"/>
  </r>
  <r>
    <d v="2023-03-16T00:00:00"/>
    <n v="693.81674999999996"/>
    <n v="138.76335"/>
    <x v="0"/>
    <x v="5"/>
    <n v="2"/>
    <n v="480.15"/>
    <s v="Store D"/>
    <x v="1"/>
    <n v="0.15"/>
    <s v="Diana"/>
    <n v="816.255"/>
    <x v="0"/>
    <x v="3"/>
    <n v="0"/>
    <s v="REG100513"/>
    <s v="Cust 1044"/>
    <n v="42.07"/>
    <x v="399"/>
    <d v="2023-03-21T00:00:00"/>
    <s v="Eric"/>
  </r>
  <r>
    <d v="2023-05-06T00:00:00"/>
    <n v="6047.3465999999999"/>
    <n v="1209.4693199999999"/>
    <x v="2"/>
    <x v="0"/>
    <n v="18"/>
    <n v="414.77"/>
    <s v="Store C"/>
    <x v="0"/>
    <n v="0.1"/>
    <s v="Eva"/>
    <n v="6719.2739999999994"/>
    <x v="2"/>
    <x v="3"/>
    <n v="1"/>
    <s v="REG100514"/>
    <s v="Cust 4010"/>
    <n v="28.55"/>
    <x v="400"/>
    <d v="2023-05-15T00:00:00"/>
    <s v="Ryan"/>
  </r>
  <r>
    <d v="2024-11-15T00:00:00"/>
    <n v="982.4"/>
    <n v="196.48000000000002"/>
    <x v="0"/>
    <x v="4"/>
    <n v="10"/>
    <n v="98.24"/>
    <s v="Store C"/>
    <x v="0"/>
    <n v="0"/>
    <s v="Frank"/>
    <n v="982.4"/>
    <x v="2"/>
    <x v="0"/>
    <n v="1"/>
    <s v="REG100515"/>
    <s v="Cust 1385"/>
    <n v="21.01"/>
    <x v="67"/>
    <d v="2024-11-17T00:00:00"/>
    <s v="Eric"/>
  </r>
  <r>
    <d v="2024-06-28T00:00:00"/>
    <n v="1232.454"/>
    <n v="246.49080000000001"/>
    <x v="3"/>
    <x v="0"/>
    <n v="6"/>
    <n v="227.6"/>
    <s v="Store D"/>
    <x v="1"/>
    <n v="0.05"/>
    <s v="Carlos"/>
    <n v="1297.32"/>
    <x v="3"/>
    <x v="0"/>
    <n v="0"/>
    <s v="REG100516"/>
    <s v="Cust 1904"/>
    <n v="38.22"/>
    <x v="163"/>
    <d v="2024-07-05T00:00:00"/>
    <s v="Cameron"/>
  </r>
  <r>
    <d v="2025-05-11T00:00:00"/>
    <n v="491.76962500000002"/>
    <n v="98.353925000000004"/>
    <x v="3"/>
    <x v="4"/>
    <n v="5"/>
    <n v="136.13"/>
    <s v="Store C"/>
    <x v="1"/>
    <n v="0.15"/>
    <s v="Carlos"/>
    <n v="578.55250000000001"/>
    <x v="0"/>
    <x v="3"/>
    <n v="0"/>
    <s v="REG100517"/>
    <s v="Cust 6034"/>
    <n v="10.02"/>
    <x v="15"/>
    <d v="2025-05-20T00:00:00"/>
    <s v="Cameron"/>
  </r>
  <r>
    <d v="2023-02-26T00:00:00"/>
    <n v="1980.9765"/>
    <n v="396.19530000000003"/>
    <x v="3"/>
    <x v="5"/>
    <n v="5"/>
    <n v="489.13"/>
    <s v="Store C"/>
    <x v="1"/>
    <n v="0.1"/>
    <s v="Diana"/>
    <n v="2201.085"/>
    <x v="1"/>
    <x v="0"/>
    <n v="0"/>
    <s v="REG100518"/>
    <s v="Cust 9239"/>
    <n v="44.73"/>
    <x v="16"/>
    <d v="2023-03-04T00:00:00"/>
    <s v="Cameron"/>
  </r>
  <r>
    <d v="2024-04-30T00:00:00"/>
    <n v="1657.44"/>
    <n v="331.48800000000006"/>
    <x v="1"/>
    <x v="0"/>
    <n v="4"/>
    <n v="414.36"/>
    <s v="Store A"/>
    <x v="1"/>
    <n v="0"/>
    <s v="Bob"/>
    <n v="1657.44"/>
    <x v="3"/>
    <x v="0"/>
    <n v="0"/>
    <s v="REG100519"/>
    <s v="Cust 5678"/>
    <n v="8.02"/>
    <x v="401"/>
    <d v="2024-05-07T00:00:00"/>
    <s v="Sophie"/>
  </r>
  <r>
    <d v="2025-03-11T00:00:00"/>
    <n v="599.35709999999995"/>
    <n v="119.87142"/>
    <x v="0"/>
    <x v="0"/>
    <n v="6"/>
    <n v="138.26"/>
    <s v="Store B"/>
    <x v="1"/>
    <n v="0.15"/>
    <s v="Eva"/>
    <n v="705.12599999999998"/>
    <x v="0"/>
    <x v="3"/>
    <n v="1"/>
    <s v="REG100520"/>
    <s v="Cust 3696"/>
    <n v="31.4"/>
    <x v="402"/>
    <d v="2025-03-13T00:00:00"/>
    <s v="Eric"/>
  </r>
  <r>
    <d v="2025-06-30T00:00:00"/>
    <n v="5280.3830999999991"/>
    <n v="1056.0766199999998"/>
    <x v="0"/>
    <x v="1"/>
    <n v="12"/>
    <n v="487.57"/>
    <s v="Store A"/>
    <x v="0"/>
    <n v="0.05"/>
    <s v="Eva"/>
    <n v="5558.2979999999998"/>
    <x v="4"/>
    <x v="3"/>
    <n v="0"/>
    <s v="REG100521"/>
    <s v="Cust 9025"/>
    <n v="37.33"/>
    <x v="148"/>
    <d v="2025-07-10T00:00:00"/>
    <s v="Eric"/>
  </r>
  <r>
    <d v="2024-06-02T00:00:00"/>
    <n v="7712.7649999999994"/>
    <n v="1542.5529999999999"/>
    <x v="2"/>
    <x v="3"/>
    <n v="20"/>
    <n v="427.3"/>
    <s v="Store C"/>
    <x v="0"/>
    <n v="0.05"/>
    <s v="Frank"/>
    <n v="8118.7"/>
    <x v="1"/>
    <x v="0"/>
    <n v="1"/>
    <s v="REG100522"/>
    <s v="Cust 9924"/>
    <n v="25.19"/>
    <x v="403"/>
    <d v="2024-06-08T00:00:00"/>
    <s v="Ryan"/>
  </r>
  <r>
    <d v="2024-09-01T00:00:00"/>
    <n v="6807.9151999999985"/>
    <n v="1361.5830399999998"/>
    <x v="1"/>
    <x v="0"/>
    <n v="16"/>
    <n v="588.91999999999996"/>
    <s v="Store D"/>
    <x v="0"/>
    <n v="0.15"/>
    <s v="Alice"/>
    <n v="8009.311999999999"/>
    <x v="4"/>
    <x v="0"/>
    <n v="0"/>
    <s v="REG100523"/>
    <s v="Cust 3887"/>
    <n v="7.89"/>
    <x v="404"/>
    <d v="2024-09-05T00:00:00"/>
    <s v="Sophie"/>
  </r>
  <r>
    <d v="2025-01-11T00:00:00"/>
    <n v="2087.1270000000004"/>
    <n v="417.42540000000008"/>
    <x v="1"/>
    <x v="0"/>
    <n v="6"/>
    <n v="429.45"/>
    <s v="Store B"/>
    <x v="1"/>
    <n v="0.1"/>
    <s v="Alice"/>
    <n v="2319.0300000000002"/>
    <x v="4"/>
    <x v="3"/>
    <n v="0"/>
    <s v="REG100524"/>
    <s v="Cust 5302"/>
    <n v="47.18"/>
    <x v="405"/>
    <d v="2025-01-18T00:00:00"/>
    <s v="Sophie"/>
  </r>
  <r>
    <d v="2025-03-31T00:00:00"/>
    <n v="343.91"/>
    <n v="68.782000000000011"/>
    <x v="1"/>
    <x v="1"/>
    <n v="1"/>
    <n v="476"/>
    <s v="Store A"/>
    <x v="0"/>
    <n v="0.15"/>
    <s v="Carlos"/>
    <n v="404.6"/>
    <x v="4"/>
    <x v="0"/>
    <n v="0"/>
    <s v="REG100525"/>
    <s v="Cust 2290"/>
    <n v="18.95"/>
    <x v="314"/>
    <d v="2025-04-03T00:00:00"/>
    <s v="Sophie"/>
  </r>
  <r>
    <d v="2024-11-28T00:00:00"/>
    <n v="1836.38"/>
    <n v="367.27600000000007"/>
    <x v="1"/>
    <x v="1"/>
    <n v="13"/>
    <n v="141.26"/>
    <s v="Store B"/>
    <x v="1"/>
    <n v="0"/>
    <s v="Frank"/>
    <n v="1836.38"/>
    <x v="0"/>
    <x v="3"/>
    <n v="0"/>
    <s v="REG100526"/>
    <s v="Cust 2227"/>
    <n v="23.68"/>
    <x v="406"/>
    <d v="2024-12-05T00:00:00"/>
    <s v="Sophie"/>
  </r>
  <r>
    <d v="2023-07-05T00:00:00"/>
    <n v="543.28387499999997"/>
    <n v="108.656775"/>
    <x v="2"/>
    <x v="3"/>
    <n v="3"/>
    <n v="250.65"/>
    <s v="Store D"/>
    <x v="1"/>
    <n v="0.15"/>
    <s v="Eva"/>
    <n v="639.15750000000003"/>
    <x v="2"/>
    <x v="1"/>
    <n v="0"/>
    <s v="REG100527"/>
    <s v="Cust 1726"/>
    <n v="44.46"/>
    <x v="407"/>
    <d v="2023-07-07T00:00:00"/>
    <s v="Ryan"/>
  </r>
  <r>
    <d v="2024-10-24T00:00:00"/>
    <n v="5164.312574999999"/>
    <n v="1032.8625149999998"/>
    <x v="4"/>
    <x v="4"/>
    <n v="19"/>
    <n v="301.17"/>
    <s v="Store D"/>
    <x v="1"/>
    <n v="0.05"/>
    <s v="Alice"/>
    <n v="5436.1184999999996"/>
    <x v="3"/>
    <x v="2"/>
    <n v="0"/>
    <s v="REG100528"/>
    <s v="Cust 9874"/>
    <n v="5.71"/>
    <x v="408"/>
    <d v="2024-11-03T00:00:00"/>
    <s v="Wendy"/>
  </r>
  <r>
    <d v="2025-04-08T00:00:00"/>
    <n v="174.57930000000002"/>
    <n v="34.915860000000002"/>
    <x v="2"/>
    <x v="3"/>
    <n v="7"/>
    <n v="30.79"/>
    <s v="Store C"/>
    <x v="1"/>
    <n v="0.1"/>
    <s v="Bob"/>
    <n v="193.977"/>
    <x v="4"/>
    <x v="2"/>
    <n v="1"/>
    <s v="REG100529"/>
    <s v="Cust 1774"/>
    <n v="11.39"/>
    <x v="409"/>
    <d v="2025-04-16T00:00:00"/>
    <s v="Ryan"/>
  </r>
  <r>
    <d v="2024-06-05T00:00:00"/>
    <n v="405.75600000000003"/>
    <n v="81.151200000000017"/>
    <x v="0"/>
    <x v="0"/>
    <n v="1"/>
    <n v="561.6"/>
    <s v="Store A"/>
    <x v="0"/>
    <n v="0.15"/>
    <s v="Alice"/>
    <n v="477.36"/>
    <x v="3"/>
    <x v="1"/>
    <n v="0"/>
    <s v="REG100530"/>
    <s v="Cust 2414"/>
    <n v="38.020000000000003"/>
    <x v="410"/>
    <d v="2024-06-10T00:00:00"/>
    <s v="Eric"/>
  </r>
  <r>
    <d v="2025-01-23T00:00:00"/>
    <n v="2239.172"/>
    <n v="447.83440000000002"/>
    <x v="4"/>
    <x v="1"/>
    <n v="16"/>
    <n v="193.7"/>
    <s v="Store A"/>
    <x v="1"/>
    <n v="0.15"/>
    <s v="Bob"/>
    <n v="2634.32"/>
    <x v="2"/>
    <x v="1"/>
    <n v="0"/>
    <s v="REG100531"/>
    <s v="Cust 6534"/>
    <n v="6.83"/>
    <x v="187"/>
    <d v="2025-01-29T00:00:00"/>
    <s v="Wendy"/>
  </r>
  <r>
    <d v="2024-11-04T00:00:00"/>
    <n v="4756.6352749999987"/>
    <n v="951.32705499999975"/>
    <x v="3"/>
    <x v="5"/>
    <n v="17"/>
    <n v="310.02999999999997"/>
    <s v="Store D"/>
    <x v="1"/>
    <n v="0.05"/>
    <s v="Carlos"/>
    <n v="5006.9844999999987"/>
    <x v="0"/>
    <x v="0"/>
    <n v="0"/>
    <s v="REG100532"/>
    <s v="Cust 3170"/>
    <n v="8.06"/>
    <x v="208"/>
    <d v="2024-11-12T00:00:00"/>
    <s v="Cameron"/>
  </r>
  <r>
    <d v="2024-01-01T00:00:00"/>
    <n v="1922.362975"/>
    <n v="384.47259500000001"/>
    <x v="4"/>
    <x v="6"/>
    <n v="13"/>
    <n v="204.67"/>
    <s v="Store A"/>
    <x v="1"/>
    <n v="0.15"/>
    <s v="Alice"/>
    <n v="2261.6035000000002"/>
    <x v="0"/>
    <x v="3"/>
    <n v="0"/>
    <s v="REG100533"/>
    <s v="Cust 5438"/>
    <n v="6.76"/>
    <x v="223"/>
    <d v="2024-01-05T00:00:00"/>
    <s v="Wendy"/>
  </r>
  <r>
    <d v="2024-04-09T00:00:00"/>
    <n v="750.33"/>
    <n v="150.066"/>
    <x v="3"/>
    <x v="6"/>
    <n v="3"/>
    <n v="250.11"/>
    <s v="Store D"/>
    <x v="0"/>
    <n v="0"/>
    <s v="Alice"/>
    <n v="750.33"/>
    <x v="1"/>
    <x v="0"/>
    <n v="0"/>
    <s v="REG100534"/>
    <s v="Cust 2670"/>
    <n v="36.35"/>
    <x v="173"/>
    <d v="2024-04-17T00:00:00"/>
    <s v="Cameron"/>
  </r>
  <r>
    <d v="2025-01-17T00:00:00"/>
    <n v="6321.84"/>
    <n v="1264.3680000000002"/>
    <x v="2"/>
    <x v="2"/>
    <n v="12"/>
    <n v="526.82000000000005"/>
    <s v="Store A"/>
    <x v="1"/>
    <n v="0"/>
    <s v="Frank"/>
    <n v="6321.84"/>
    <x v="2"/>
    <x v="2"/>
    <n v="0"/>
    <s v="REG100535"/>
    <s v="Cust 8949"/>
    <n v="29.75"/>
    <x v="50"/>
    <d v="2025-01-25T00:00:00"/>
    <s v="Ryan"/>
  </r>
  <r>
    <d v="2024-09-22T00:00:00"/>
    <n v="10351.799999999999"/>
    <n v="2070.36"/>
    <x v="0"/>
    <x v="3"/>
    <n v="18"/>
    <n v="575.1"/>
    <s v="Store D"/>
    <x v="0"/>
    <n v="0"/>
    <s v="Bob"/>
    <n v="10351.799999999999"/>
    <x v="0"/>
    <x v="0"/>
    <n v="0"/>
    <s v="REG100536"/>
    <s v="Cust 9748"/>
    <n v="35.32"/>
    <x v="309"/>
    <d v="2024-09-29T00:00:00"/>
    <s v="Eric"/>
  </r>
  <r>
    <d v="2023-01-20T00:00:00"/>
    <n v="2109.3696"/>
    <n v="421.87392"/>
    <x v="0"/>
    <x v="4"/>
    <n v="8"/>
    <n v="325.52"/>
    <s v="Store C"/>
    <x v="1"/>
    <n v="0.1"/>
    <s v="Frank"/>
    <n v="2343.7440000000001"/>
    <x v="3"/>
    <x v="2"/>
    <n v="0"/>
    <s v="REG100537"/>
    <s v="Cust 1220"/>
    <n v="45.59"/>
    <x v="411"/>
    <d v="2023-01-25T00:00:00"/>
    <s v="Eric"/>
  </r>
  <r>
    <d v="2024-01-12T00:00:00"/>
    <n v="1589.4711"/>
    <n v="317.89422000000002"/>
    <x v="2"/>
    <x v="4"/>
    <n v="14"/>
    <n v="157.13999999999999"/>
    <s v="Store A"/>
    <x v="0"/>
    <n v="0.15"/>
    <s v="Diana"/>
    <n v="1869.9659999999999"/>
    <x v="1"/>
    <x v="1"/>
    <n v="0"/>
    <s v="REG100538"/>
    <s v="Cust 5645"/>
    <n v="36.04"/>
    <x v="412"/>
    <d v="2024-01-22T00:00:00"/>
    <s v="Ryan"/>
  </r>
  <r>
    <d v="2024-04-08T00:00:00"/>
    <n v="904.84649999999999"/>
    <n v="180.9693"/>
    <x v="3"/>
    <x v="0"/>
    <n v="10"/>
    <n v="100.26"/>
    <s v="Store D"/>
    <x v="0"/>
    <n v="0.05"/>
    <s v="Carlos"/>
    <n v="952.47"/>
    <x v="1"/>
    <x v="1"/>
    <n v="0"/>
    <s v="REG100539"/>
    <s v="Cust 6577"/>
    <n v="36.71"/>
    <x v="413"/>
    <d v="2024-04-15T00:00:00"/>
    <s v="Cameron"/>
  </r>
  <r>
    <d v="2023-04-27T00:00:00"/>
    <n v="4990.32"/>
    <n v="998.06399999999996"/>
    <x v="3"/>
    <x v="0"/>
    <n v="9"/>
    <n v="554.48"/>
    <s v="Store C"/>
    <x v="0"/>
    <n v="0"/>
    <s v="Carlos"/>
    <n v="4990.32"/>
    <x v="0"/>
    <x v="3"/>
    <n v="0"/>
    <s v="REG100540"/>
    <s v="Cust 9506"/>
    <n v="48.26"/>
    <x v="178"/>
    <d v="2023-05-01T00:00:00"/>
    <s v="Cameron"/>
  </r>
  <r>
    <d v="2024-07-17T00:00:00"/>
    <n v="1086.5243999999998"/>
    <n v="217.30487999999997"/>
    <x v="2"/>
    <x v="1"/>
    <n v="4"/>
    <n v="375.96"/>
    <s v="Store C"/>
    <x v="1"/>
    <n v="0.15"/>
    <s v="Carlos"/>
    <n v="1278.2639999999999"/>
    <x v="3"/>
    <x v="3"/>
    <n v="0"/>
    <s v="REG100541"/>
    <s v="Cust 9302"/>
    <n v="44.99"/>
    <x v="414"/>
    <d v="2024-07-25T00:00:00"/>
    <s v="Ryan"/>
  </r>
  <r>
    <d v="2024-02-17T00:00:00"/>
    <n v="6792.94"/>
    <n v="1358.588"/>
    <x v="3"/>
    <x v="4"/>
    <n v="14"/>
    <n v="485.21"/>
    <s v="Store A"/>
    <x v="1"/>
    <n v="0"/>
    <s v="Frank"/>
    <n v="6792.94"/>
    <x v="0"/>
    <x v="0"/>
    <n v="0"/>
    <s v="REG100542"/>
    <s v="Cust 3030"/>
    <n v="41.72"/>
    <x v="415"/>
    <d v="2024-02-23T00:00:00"/>
    <s v="Cameron"/>
  </r>
  <r>
    <d v="2024-01-25T00:00:00"/>
    <n v="3025.1439"/>
    <n v="605.02877999999998"/>
    <x v="1"/>
    <x v="4"/>
    <n v="9"/>
    <n v="372.44"/>
    <s v="Store A"/>
    <x v="0"/>
    <n v="0.05"/>
    <s v="Diana"/>
    <n v="3184.3620000000001"/>
    <x v="1"/>
    <x v="0"/>
    <n v="0"/>
    <s v="REG100543"/>
    <s v="Cust 5896"/>
    <n v="41.87"/>
    <x v="109"/>
    <d v="2024-02-02T00:00:00"/>
    <s v="Sophie"/>
  </r>
  <r>
    <d v="2024-03-24T00:00:00"/>
    <n v="983.71"/>
    <n v="196.74200000000002"/>
    <x v="3"/>
    <x v="0"/>
    <n v="7"/>
    <n v="140.53"/>
    <s v="Store D"/>
    <x v="1"/>
    <n v="0"/>
    <s v="Frank"/>
    <n v="983.71"/>
    <x v="3"/>
    <x v="3"/>
    <n v="1"/>
    <s v="REG100544"/>
    <s v="Cust 3763"/>
    <n v="24.53"/>
    <x v="214"/>
    <d v="2024-04-02T00:00:00"/>
    <s v="Cameron"/>
  </r>
  <r>
    <d v="2023-06-25T00:00:00"/>
    <n v="3962.2983749999999"/>
    <n v="792.45967500000006"/>
    <x v="2"/>
    <x v="2"/>
    <n v="15"/>
    <n v="365.61"/>
    <s v="Store D"/>
    <x v="1"/>
    <n v="0.15"/>
    <s v="Bob"/>
    <n v="4661.5275000000001"/>
    <x v="4"/>
    <x v="0"/>
    <n v="0"/>
    <s v="REG100545"/>
    <s v="Cust 9510"/>
    <n v="35.840000000000003"/>
    <x v="416"/>
    <d v="2023-06-27T00:00:00"/>
    <s v="Ryan"/>
  </r>
  <r>
    <d v="2023-04-17T00:00:00"/>
    <n v="5114.8665000000001"/>
    <n v="1022.9733000000001"/>
    <x v="1"/>
    <x v="0"/>
    <n v="20"/>
    <n v="353.97"/>
    <s v="Store B"/>
    <x v="0"/>
    <n v="0.15"/>
    <s v="Frank"/>
    <n v="6017.4900000000007"/>
    <x v="4"/>
    <x v="2"/>
    <n v="1"/>
    <s v="REG100546"/>
    <s v="Cust 7637"/>
    <n v="22.05"/>
    <x v="417"/>
    <d v="2023-04-20T00:00:00"/>
    <s v="Sophie"/>
  </r>
  <r>
    <d v="2023-06-28T00:00:00"/>
    <n v="4106.34"/>
    <n v="821.26800000000003"/>
    <x v="0"/>
    <x v="3"/>
    <n v="14"/>
    <n v="293.31"/>
    <s v="Store D"/>
    <x v="0"/>
    <n v="0"/>
    <s v="Alice"/>
    <n v="4106.34"/>
    <x v="1"/>
    <x v="3"/>
    <n v="0"/>
    <s v="REG100547"/>
    <s v="Cust 8382"/>
    <n v="21.61"/>
    <x v="418"/>
    <d v="2023-06-30T00:00:00"/>
    <s v="Eric"/>
  </r>
  <r>
    <d v="2024-04-06T00:00:00"/>
    <n v="2871.14275"/>
    <n v="574.22855000000004"/>
    <x v="3"/>
    <x v="3"/>
    <n v="10"/>
    <n v="397.39"/>
    <s v="Store D"/>
    <x v="1"/>
    <n v="0.15"/>
    <s v="Alice"/>
    <n v="3377.8150000000001"/>
    <x v="1"/>
    <x v="3"/>
    <n v="0"/>
    <s v="REG100548"/>
    <s v="Cust 4015"/>
    <n v="25.27"/>
    <x v="419"/>
    <d v="2024-04-16T00:00:00"/>
    <s v="Cameron"/>
  </r>
  <r>
    <d v="2025-02-17T00:00:00"/>
    <n v="196.7"/>
    <n v="39.340000000000003"/>
    <x v="1"/>
    <x v="3"/>
    <n v="2"/>
    <n v="98.35"/>
    <s v="Store C"/>
    <x v="1"/>
    <n v="0"/>
    <s v="Eva"/>
    <n v="196.7"/>
    <x v="3"/>
    <x v="0"/>
    <n v="0"/>
    <s v="REG100549"/>
    <s v="Cust 5172"/>
    <n v="28.65"/>
    <x v="130"/>
    <d v="2025-02-19T00:00:00"/>
    <s v="Sophie"/>
  </r>
  <r>
    <d v="2023-01-08T00:00:00"/>
    <n v="3490.02"/>
    <n v="698.00400000000002"/>
    <x v="1"/>
    <x v="2"/>
    <n v="6"/>
    <n v="581.66999999999996"/>
    <s v="Store A"/>
    <x v="0"/>
    <n v="0"/>
    <s v="Frank"/>
    <n v="3490.02"/>
    <x v="3"/>
    <x v="3"/>
    <n v="0"/>
    <s v="REG100550"/>
    <s v="Cust 7584"/>
    <n v="39.4"/>
    <x v="420"/>
    <d v="2023-01-11T00:00:00"/>
    <s v="Sophie"/>
  </r>
  <r>
    <d v="2023-12-21T00:00:00"/>
    <n v="521.45547499999998"/>
    <n v="104.291095"/>
    <x v="1"/>
    <x v="1"/>
    <n v="19"/>
    <n v="30.41"/>
    <s v="Store D"/>
    <x v="1"/>
    <n v="0.05"/>
    <s v="Frank"/>
    <n v="548.90049999999997"/>
    <x v="3"/>
    <x v="0"/>
    <n v="0"/>
    <s v="REG100551"/>
    <s v="Cust 6809"/>
    <n v="48.33"/>
    <x v="146"/>
    <d v="2023-12-31T00:00:00"/>
    <s v="Sophie"/>
  </r>
  <r>
    <d v="2024-07-13T00:00:00"/>
    <n v="4480.7985000000008"/>
    <n v="896.15970000000016"/>
    <x v="2"/>
    <x v="4"/>
    <n v="15"/>
    <n v="368.79"/>
    <s v="Store C"/>
    <x v="0"/>
    <n v="0.1"/>
    <s v="Bob"/>
    <n v="4978.6650000000009"/>
    <x v="1"/>
    <x v="2"/>
    <n v="0"/>
    <s v="REG100552"/>
    <s v="Cust 7540"/>
    <n v="16.899999999999999"/>
    <x v="421"/>
    <d v="2024-07-15T00:00:00"/>
    <s v="Ryan"/>
  </r>
  <r>
    <d v="2024-03-23T00:00:00"/>
    <n v="162.01340000000002"/>
    <n v="32.402680000000004"/>
    <x v="4"/>
    <x v="4"/>
    <n v="4"/>
    <n v="56.06"/>
    <s v="Store D"/>
    <x v="1"/>
    <n v="0.15"/>
    <s v="Carlos"/>
    <n v="190.60400000000001"/>
    <x v="4"/>
    <x v="1"/>
    <n v="0"/>
    <s v="REG100553"/>
    <s v="Cust 6888"/>
    <n v="10.77"/>
    <x v="105"/>
    <d v="2024-04-01T00:00:00"/>
    <s v="Wendy"/>
  </r>
  <r>
    <d v="2024-03-19T00:00:00"/>
    <n v="109.55"/>
    <n v="21.91"/>
    <x v="4"/>
    <x v="3"/>
    <n v="7"/>
    <n v="15.65"/>
    <s v="Store D"/>
    <x v="0"/>
    <n v="0"/>
    <s v="Carlos"/>
    <n v="109.55"/>
    <x v="3"/>
    <x v="3"/>
    <n v="0"/>
    <s v="REG100554"/>
    <s v="Cust 3304"/>
    <n v="13.28"/>
    <x v="422"/>
    <d v="2024-03-25T00:00:00"/>
    <s v="Wendy"/>
  </r>
  <r>
    <d v="2025-05-20T00:00:00"/>
    <n v="3427.65"/>
    <n v="685.53000000000009"/>
    <x v="3"/>
    <x v="5"/>
    <n v="9"/>
    <n v="380.85"/>
    <s v="Store B"/>
    <x v="0"/>
    <n v="0"/>
    <s v="Carlos"/>
    <n v="3427.65"/>
    <x v="4"/>
    <x v="0"/>
    <n v="0"/>
    <s v="REG100555"/>
    <s v="Cust 4196"/>
    <n v="33.4"/>
    <x v="355"/>
    <d v="2025-05-29T00:00:00"/>
    <s v="Cameron"/>
  </r>
  <r>
    <d v="2025-01-19T00:00:00"/>
    <n v="6459.31"/>
    <n v="1291.8620000000001"/>
    <x v="1"/>
    <x v="3"/>
    <n v="11"/>
    <n v="587.21"/>
    <s v="Store C"/>
    <x v="0"/>
    <n v="0"/>
    <s v="Carlos"/>
    <n v="6459.31"/>
    <x v="3"/>
    <x v="2"/>
    <n v="0"/>
    <s v="REG100556"/>
    <s v="Cust 6596"/>
    <n v="34.32"/>
    <x v="423"/>
    <d v="2025-01-26T00:00:00"/>
    <s v="Sophie"/>
  </r>
  <r>
    <d v="2023-05-28T00:00:00"/>
    <n v="7632.0225"/>
    <n v="1526.4045000000001"/>
    <x v="1"/>
    <x v="6"/>
    <n v="17"/>
    <n v="554.25"/>
    <s v="Store A"/>
    <x v="0"/>
    <n v="0.1"/>
    <s v="Diana"/>
    <n v="8480.0249999999996"/>
    <x v="3"/>
    <x v="3"/>
    <n v="0"/>
    <s v="REG100557"/>
    <s v="Cust 5588"/>
    <n v="8.66"/>
    <x v="424"/>
    <d v="2023-06-01T00:00:00"/>
    <s v="Sophie"/>
  </r>
  <r>
    <d v="2023-10-28T00:00:00"/>
    <n v="889.17352499999993"/>
    <n v="177.83470499999999"/>
    <x v="0"/>
    <x v="6"/>
    <n v="3"/>
    <n v="410.23"/>
    <s v="Store A"/>
    <x v="0"/>
    <n v="0.15"/>
    <s v="Diana"/>
    <n v="1046.0864999999999"/>
    <x v="2"/>
    <x v="0"/>
    <n v="0"/>
    <s v="REG100558"/>
    <s v="Cust 1518"/>
    <n v="6.04"/>
    <x v="301"/>
    <d v="2023-11-03T00:00:00"/>
    <s v="Eric"/>
  </r>
  <r>
    <d v="2023-11-25T00:00:00"/>
    <n v="496.15"/>
    <n v="99.23"/>
    <x v="4"/>
    <x v="4"/>
    <n v="5"/>
    <n v="99.23"/>
    <s v="Store B"/>
    <x v="1"/>
    <n v="0"/>
    <s v="Eva"/>
    <n v="496.15"/>
    <x v="3"/>
    <x v="3"/>
    <n v="0"/>
    <s v="REG100559"/>
    <s v="Cust 2819"/>
    <n v="37.659999999999997"/>
    <x v="425"/>
    <d v="2023-12-02T00:00:00"/>
    <s v="Wendy"/>
  </r>
  <r>
    <d v="2024-11-17T00:00:00"/>
    <n v="4528.62"/>
    <n v="905.72400000000005"/>
    <x v="1"/>
    <x v="4"/>
    <n v="9"/>
    <n v="503.18"/>
    <s v="Store B"/>
    <x v="0"/>
    <n v="0"/>
    <s v="Diana"/>
    <n v="4528.62"/>
    <x v="1"/>
    <x v="1"/>
    <n v="1"/>
    <s v="REG100560"/>
    <s v="Cust 1947"/>
    <n v="46.02"/>
    <x v="426"/>
    <d v="2024-11-24T00:00:00"/>
    <s v="Sophie"/>
  </r>
  <r>
    <d v="2024-01-24T00:00:00"/>
    <n v="1907.595075"/>
    <n v="381.51901500000002"/>
    <x v="3"/>
    <x v="4"/>
    <n v="17"/>
    <n v="155.31"/>
    <s v="Store C"/>
    <x v="1"/>
    <n v="0.15"/>
    <s v="Bob"/>
    <n v="2244.2294999999999"/>
    <x v="2"/>
    <x v="2"/>
    <n v="0"/>
    <s v="REG100561"/>
    <s v="Cust 7332"/>
    <n v="27.1"/>
    <x v="113"/>
    <d v="2024-01-29T00:00:00"/>
    <s v="Cameron"/>
  </r>
  <r>
    <d v="2023-06-19T00:00:00"/>
    <n v="1536.417925"/>
    <n v="307.28358500000002"/>
    <x v="2"/>
    <x v="3"/>
    <n v="7"/>
    <n v="303.79000000000002"/>
    <s v="Store D"/>
    <x v="0"/>
    <n v="0.15"/>
    <s v="Frank"/>
    <n v="1807.5505000000001"/>
    <x v="2"/>
    <x v="1"/>
    <n v="0"/>
    <s v="REG100562"/>
    <s v="Cust 7314"/>
    <n v="38.85"/>
    <x v="182"/>
    <d v="2023-06-29T00:00:00"/>
    <s v="Ryan"/>
  </r>
  <r>
    <d v="2025-01-13T00:00:00"/>
    <n v="4483.75"/>
    <n v="896.75"/>
    <x v="0"/>
    <x v="1"/>
    <n v="17"/>
    <n v="263.75"/>
    <s v="Store B"/>
    <x v="1"/>
    <n v="0"/>
    <s v="Alice"/>
    <n v="4483.75"/>
    <x v="0"/>
    <x v="3"/>
    <n v="1"/>
    <s v="REG100563"/>
    <s v="Cust 5296"/>
    <n v="12.97"/>
    <x v="427"/>
    <d v="2025-01-18T00:00:00"/>
    <s v="Eric"/>
  </r>
  <r>
    <d v="2024-01-24T00:00:00"/>
    <n v="582.94079999999997"/>
    <n v="116.58816"/>
    <x v="0"/>
    <x v="1"/>
    <n v="4"/>
    <n v="179.92"/>
    <s v="Store D"/>
    <x v="1"/>
    <n v="0.1"/>
    <s v="Diana"/>
    <n v="647.71199999999999"/>
    <x v="0"/>
    <x v="2"/>
    <n v="0"/>
    <s v="REG100564"/>
    <s v="Cust 2964"/>
    <n v="35.26"/>
    <x v="113"/>
    <d v="2024-02-01T00:00:00"/>
    <s v="Eric"/>
  </r>
  <r>
    <d v="2025-01-06T00:00:00"/>
    <n v="528"/>
    <n v="105.60000000000001"/>
    <x v="1"/>
    <x v="6"/>
    <n v="2"/>
    <n v="264"/>
    <s v="Store D"/>
    <x v="1"/>
    <n v="0"/>
    <s v="Bob"/>
    <n v="528"/>
    <x v="1"/>
    <x v="1"/>
    <n v="0"/>
    <s v="REG100565"/>
    <s v="Cust 5381"/>
    <n v="26.73"/>
    <x v="428"/>
    <d v="2025-01-14T00:00:00"/>
    <s v="Sophie"/>
  </r>
  <r>
    <d v="2025-01-02T00:00:00"/>
    <n v="1458.3317"/>
    <n v="291.66633999999999"/>
    <x v="3"/>
    <x v="0"/>
    <n v="4"/>
    <n v="403.97"/>
    <s v="Store A"/>
    <x v="0"/>
    <n v="0.05"/>
    <s v="Alice"/>
    <n v="1535.086"/>
    <x v="4"/>
    <x v="2"/>
    <n v="0"/>
    <s v="REG100566"/>
    <s v="Cust 5436"/>
    <n v="39.92"/>
    <x v="368"/>
    <d v="2025-01-09T00:00:00"/>
    <s v="Cameron"/>
  </r>
  <r>
    <d v="2023-02-22T00:00:00"/>
    <n v="278.5104"/>
    <n v="55.702080000000002"/>
    <x v="2"/>
    <x v="2"/>
    <n v="4"/>
    <n v="85.96"/>
    <s v="Store A"/>
    <x v="1"/>
    <n v="0.1"/>
    <s v="Frank"/>
    <n v="309.45600000000002"/>
    <x v="2"/>
    <x v="3"/>
    <n v="0"/>
    <s v="REG100567"/>
    <s v="Cust 1494"/>
    <n v="32.119999999999997"/>
    <x v="429"/>
    <d v="2023-03-03T00:00:00"/>
    <s v="Ryan"/>
  </r>
  <r>
    <d v="2025-02-06T00:00:00"/>
    <n v="151.4538"/>
    <n v="30.290760000000002"/>
    <x v="0"/>
    <x v="2"/>
    <n v="2"/>
    <n v="93.49"/>
    <s v="Store A"/>
    <x v="0"/>
    <n v="0.1"/>
    <s v="Alice"/>
    <n v="168.28200000000001"/>
    <x v="3"/>
    <x v="2"/>
    <n v="0"/>
    <s v="REG100568"/>
    <s v="Cust 4380"/>
    <n v="26.31"/>
    <x v="323"/>
    <d v="2025-02-16T00:00:00"/>
    <s v="Eric"/>
  </r>
  <r>
    <d v="2024-09-26T00:00:00"/>
    <n v="1432.438975"/>
    <n v="286.48779500000001"/>
    <x v="0"/>
    <x v="2"/>
    <n v="11"/>
    <n v="144.29"/>
    <s v="Store B"/>
    <x v="1"/>
    <n v="0.05"/>
    <s v="Bob"/>
    <n v="1507.8305"/>
    <x v="2"/>
    <x v="2"/>
    <n v="0"/>
    <s v="REG100569"/>
    <s v="Cust 7054"/>
    <n v="11.91"/>
    <x v="217"/>
    <d v="2024-09-30T00:00:00"/>
    <s v="Eric"/>
  </r>
  <r>
    <d v="2025-03-28T00:00:00"/>
    <n v="9958.14"/>
    <n v="1991.6279999999999"/>
    <x v="2"/>
    <x v="3"/>
    <n v="18"/>
    <n v="553.23"/>
    <s v="Store D"/>
    <x v="0"/>
    <n v="0"/>
    <s v="Frank"/>
    <n v="9958.14"/>
    <x v="4"/>
    <x v="0"/>
    <n v="0"/>
    <s v="REG100570"/>
    <s v="Cust 1375"/>
    <n v="31.76"/>
    <x v="136"/>
    <d v="2025-04-01T00:00:00"/>
    <s v="Ryan"/>
  </r>
  <r>
    <d v="2023-07-01T00:00:00"/>
    <n v="1854.3667499999999"/>
    <n v="370.87335000000002"/>
    <x v="0"/>
    <x v="3"/>
    <n v="9"/>
    <n v="228.3"/>
    <s v="Store B"/>
    <x v="1"/>
    <n v="0.05"/>
    <s v="Eva"/>
    <n v="1951.9649999999999"/>
    <x v="3"/>
    <x v="0"/>
    <n v="0"/>
    <s v="REG100571"/>
    <s v="Cust 5698"/>
    <n v="8.75"/>
    <x v="430"/>
    <d v="2023-07-09T00:00:00"/>
    <s v="Eric"/>
  </r>
  <r>
    <d v="2023-04-29T00:00:00"/>
    <n v="1337.7798"/>
    <n v="267.55596000000003"/>
    <x v="4"/>
    <x v="2"/>
    <n v="7"/>
    <n v="235.94"/>
    <s v="Store D"/>
    <x v="0"/>
    <n v="0.1"/>
    <s v="Alice"/>
    <n v="1486.422"/>
    <x v="1"/>
    <x v="0"/>
    <n v="0"/>
    <s v="REG100572"/>
    <s v="Cust 3259"/>
    <n v="8.44"/>
    <x v="431"/>
    <d v="2023-05-04T00:00:00"/>
    <s v="Wendy"/>
  </r>
  <r>
    <d v="2023-04-30T00:00:00"/>
    <n v="6281.84"/>
    <n v="1256.3680000000002"/>
    <x v="0"/>
    <x v="6"/>
    <n v="17"/>
    <n v="369.52"/>
    <s v="Store C"/>
    <x v="0"/>
    <n v="0"/>
    <s v="Carlos"/>
    <n v="6281.84"/>
    <x v="1"/>
    <x v="3"/>
    <n v="0"/>
    <s v="REG100573"/>
    <s v="Cust 9295"/>
    <n v="17.12"/>
    <x v="432"/>
    <d v="2023-05-06T00:00:00"/>
    <s v="Eric"/>
  </r>
  <r>
    <d v="2024-03-14T00:00:00"/>
    <n v="1136.72"/>
    <n v="227.34400000000002"/>
    <x v="4"/>
    <x v="1"/>
    <n v="8"/>
    <n v="142.09"/>
    <s v="Store A"/>
    <x v="0"/>
    <n v="0"/>
    <s v="Eva"/>
    <n v="1136.72"/>
    <x v="2"/>
    <x v="2"/>
    <n v="0"/>
    <s v="REG100574"/>
    <s v="Cust 7035"/>
    <n v="38.97"/>
    <x v="47"/>
    <d v="2024-03-20T00:00:00"/>
    <s v="Wendy"/>
  </r>
  <r>
    <d v="2023-06-27T00:00:00"/>
    <n v="1078.569675"/>
    <n v="215.71393499999999"/>
    <x v="3"/>
    <x v="3"/>
    <n v="3"/>
    <n v="497.61"/>
    <s v="Store B"/>
    <x v="0"/>
    <n v="0.15"/>
    <s v="Alice"/>
    <n v="1268.9055000000001"/>
    <x v="4"/>
    <x v="0"/>
    <n v="1"/>
    <s v="REG100575"/>
    <s v="Cust 9049"/>
    <n v="13.97"/>
    <x v="161"/>
    <d v="2023-07-02T00:00:00"/>
    <s v="Cameron"/>
  </r>
  <r>
    <d v="2024-04-10T00:00:00"/>
    <n v="180.12"/>
    <n v="36.024000000000001"/>
    <x v="2"/>
    <x v="0"/>
    <n v="19"/>
    <n v="9.48"/>
    <s v="Store A"/>
    <x v="0"/>
    <n v="0"/>
    <s v="Carlos"/>
    <n v="180.12"/>
    <x v="0"/>
    <x v="3"/>
    <n v="0"/>
    <s v="REG100576"/>
    <s v="Cust 6173"/>
    <n v="22.33"/>
    <x v="10"/>
    <d v="2024-04-12T00:00:00"/>
    <s v="Ryan"/>
  </r>
  <r>
    <d v="2023-08-30T00:00:00"/>
    <n v="319.4606"/>
    <n v="63.892120000000006"/>
    <x v="3"/>
    <x v="6"/>
    <n v="8"/>
    <n v="55.27"/>
    <s v="Store A"/>
    <x v="0"/>
    <n v="0.15"/>
    <s v="Bob"/>
    <n v="375.83600000000001"/>
    <x v="4"/>
    <x v="2"/>
    <n v="0"/>
    <s v="REG100577"/>
    <s v="Cust 3447"/>
    <n v="16.84"/>
    <x v="286"/>
    <d v="2023-09-01T00:00:00"/>
    <s v="Cameron"/>
  </r>
  <r>
    <d v="2023-10-23T00:00:00"/>
    <n v="398.13787499999995"/>
    <n v="79.627574999999993"/>
    <x v="4"/>
    <x v="0"/>
    <n v="17"/>
    <n v="25.95"/>
    <s v="Store B"/>
    <x v="0"/>
    <n v="0.05"/>
    <s v="Bob"/>
    <n v="419.09249999999997"/>
    <x v="1"/>
    <x v="3"/>
    <n v="0"/>
    <s v="REG100578"/>
    <s v="Cust 2218"/>
    <n v="27.68"/>
    <x v="25"/>
    <d v="2023-10-30T00:00:00"/>
    <s v="Wendy"/>
  </r>
  <r>
    <d v="2023-03-23T00:00:00"/>
    <n v="3056.6970000000001"/>
    <n v="611.33940000000007"/>
    <x v="2"/>
    <x v="2"/>
    <n v="18"/>
    <n v="209.65"/>
    <s v="Store A"/>
    <x v="0"/>
    <n v="0.1"/>
    <s v="Carlos"/>
    <n v="3396.33"/>
    <x v="3"/>
    <x v="3"/>
    <n v="0"/>
    <s v="REG100579"/>
    <s v="Cust 8882"/>
    <n v="42.04"/>
    <x v="433"/>
    <d v="2023-03-30T00:00:00"/>
    <s v="Ryan"/>
  </r>
  <r>
    <d v="2024-09-21T00:00:00"/>
    <n v="711.66972499999997"/>
    <n v="142.333945"/>
    <x v="3"/>
    <x v="0"/>
    <n v="13"/>
    <n v="75.77"/>
    <s v="Store B"/>
    <x v="0"/>
    <n v="0.15"/>
    <s v="Frank"/>
    <n v="837.25850000000003"/>
    <x v="3"/>
    <x v="1"/>
    <n v="0"/>
    <s v="REG100580"/>
    <s v="Cust 6709"/>
    <n v="41.94"/>
    <x v="367"/>
    <d v="2024-09-30T00:00:00"/>
    <s v="Cameron"/>
  </r>
  <r>
    <d v="2024-12-26T00:00:00"/>
    <n v="1246.752"/>
    <n v="249.35040000000001"/>
    <x v="4"/>
    <x v="5"/>
    <n v="5"/>
    <n v="307.83999999999997"/>
    <s v="Store B"/>
    <x v="0"/>
    <n v="0.1"/>
    <s v="Bob"/>
    <n v="1385.28"/>
    <x v="0"/>
    <x v="1"/>
    <n v="0"/>
    <s v="REG100581"/>
    <s v="Cust 8727"/>
    <n v="13.61"/>
    <x v="215"/>
    <d v="2025-01-03T00:00:00"/>
    <s v="Wendy"/>
  </r>
  <r>
    <d v="2023-02-26T00:00:00"/>
    <n v="84.5"/>
    <n v="16.900000000000002"/>
    <x v="0"/>
    <x v="1"/>
    <n v="13"/>
    <n v="6.5"/>
    <s v="Store A"/>
    <x v="0"/>
    <n v="0"/>
    <s v="Diana"/>
    <n v="84.5"/>
    <x v="4"/>
    <x v="3"/>
    <n v="0"/>
    <s v="REG100582"/>
    <s v="Cust 8359"/>
    <n v="20.02"/>
    <x v="16"/>
    <d v="2023-03-03T00:00:00"/>
    <s v="Eric"/>
  </r>
  <r>
    <d v="2024-12-10T00:00:00"/>
    <n v="566.32000000000005"/>
    <n v="113.26400000000001"/>
    <x v="2"/>
    <x v="4"/>
    <n v="8"/>
    <n v="70.790000000000006"/>
    <s v="Store B"/>
    <x v="0"/>
    <n v="0"/>
    <s v="Diana"/>
    <n v="566.32000000000005"/>
    <x v="0"/>
    <x v="3"/>
    <n v="0"/>
    <s v="REG100583"/>
    <s v="Cust 1514"/>
    <n v="46.35"/>
    <x v="434"/>
    <d v="2024-12-14T00:00:00"/>
    <s v="Ryan"/>
  </r>
  <r>
    <d v="2025-01-01T00:00:00"/>
    <n v="8051.3190000000013"/>
    <n v="1610.2638000000004"/>
    <x v="0"/>
    <x v="0"/>
    <n v="17"/>
    <n v="584.70000000000005"/>
    <s v="Store D"/>
    <x v="1"/>
    <n v="0.1"/>
    <s v="Eva"/>
    <n v="8945.9100000000017"/>
    <x v="0"/>
    <x v="3"/>
    <n v="1"/>
    <s v="REG100584"/>
    <s v="Cust 2774"/>
    <n v="46.59"/>
    <x v="435"/>
    <d v="2025-01-03T00:00:00"/>
    <s v="Eric"/>
  </r>
  <r>
    <d v="2025-03-14T00:00:00"/>
    <n v="67.250299999999996"/>
    <n v="13.450060000000001"/>
    <x v="0"/>
    <x v="1"/>
    <n v="4"/>
    <n v="23.27"/>
    <s v="Store C"/>
    <x v="0"/>
    <n v="0.15"/>
    <s v="Diana"/>
    <n v="79.117999999999995"/>
    <x v="0"/>
    <x v="1"/>
    <n v="0"/>
    <s v="REG100585"/>
    <s v="Cust 4270"/>
    <n v="32.86"/>
    <x v="95"/>
    <d v="2025-03-21T00:00:00"/>
    <s v="Eric"/>
  </r>
  <r>
    <d v="2024-01-16T00:00:00"/>
    <n v="1785.7665"/>
    <n v="357.1533"/>
    <x v="1"/>
    <x v="5"/>
    <n v="5"/>
    <n v="440.93"/>
    <s v="Store B"/>
    <x v="0"/>
    <n v="0.1"/>
    <s v="Carlos"/>
    <n v="1984.1849999999999"/>
    <x v="1"/>
    <x v="3"/>
    <n v="0"/>
    <s v="REG100586"/>
    <s v="Cust 3123"/>
    <n v="23.84"/>
    <x v="436"/>
    <d v="2024-01-20T00:00:00"/>
    <s v="Sophie"/>
  </r>
  <r>
    <d v="2024-04-19T00:00:00"/>
    <n v="2784.5"/>
    <n v="556.9"/>
    <x v="4"/>
    <x v="5"/>
    <n v="10"/>
    <n v="278.45"/>
    <s v="Store D"/>
    <x v="0"/>
    <n v="0"/>
    <s v="Eva"/>
    <n v="2784.5"/>
    <x v="2"/>
    <x v="1"/>
    <n v="0"/>
    <s v="REG100587"/>
    <s v="Cust 7414"/>
    <n v="11.13"/>
    <x v="53"/>
    <d v="2024-04-25T00:00:00"/>
    <s v="Wendy"/>
  </r>
  <r>
    <d v="2023-12-08T00:00:00"/>
    <n v="4828.9706499999984"/>
    <n v="965.79412999999977"/>
    <x v="2"/>
    <x v="4"/>
    <n v="14"/>
    <n v="382.19"/>
    <s v="Store B"/>
    <x v="0"/>
    <n v="0.05"/>
    <s v="Frank"/>
    <n v="5083.1269999999986"/>
    <x v="4"/>
    <x v="0"/>
    <n v="1"/>
    <s v="REG100588"/>
    <s v="Cust 5051"/>
    <n v="49.12"/>
    <x v="437"/>
    <d v="2023-12-11T00:00:00"/>
    <s v="Ryan"/>
  </r>
  <r>
    <d v="2023-03-15T00:00:00"/>
    <n v="2937.5111499999998"/>
    <n v="587.50222999999994"/>
    <x v="2"/>
    <x v="4"/>
    <n v="14"/>
    <n v="232.49"/>
    <s v="Store D"/>
    <x v="0"/>
    <n v="0.05"/>
    <s v="Diana"/>
    <n v="3092.1170000000002"/>
    <x v="0"/>
    <x v="1"/>
    <n v="1"/>
    <s v="REG100589"/>
    <s v="Cust 5975"/>
    <n v="5.32"/>
    <x v="438"/>
    <d v="2023-03-19T00:00:00"/>
    <s v="Ryan"/>
  </r>
  <r>
    <d v="2025-02-07T00:00:00"/>
    <n v="184.36032499999999"/>
    <n v="36.872064999999999"/>
    <x v="1"/>
    <x v="0"/>
    <n v="17"/>
    <n v="15.01"/>
    <s v="Store D"/>
    <x v="0"/>
    <n v="0.15"/>
    <s v="Diana"/>
    <n v="216.89449999999999"/>
    <x v="3"/>
    <x v="1"/>
    <n v="1"/>
    <s v="REG100590"/>
    <s v="Cust 6948"/>
    <n v="22"/>
    <x v="439"/>
    <d v="2025-02-13T00:00:00"/>
    <s v="Sophie"/>
  </r>
  <r>
    <d v="2025-06-27T00:00:00"/>
    <n v="291.96777499999996"/>
    <n v="58.393554999999992"/>
    <x v="2"/>
    <x v="4"/>
    <n v="11"/>
    <n v="29.41"/>
    <s v="Store D"/>
    <x v="1"/>
    <n v="0.05"/>
    <s v="Carlos"/>
    <n v="307.33449999999999"/>
    <x v="2"/>
    <x v="1"/>
    <n v="0"/>
    <s v="REG100591"/>
    <s v="Cust 8253"/>
    <n v="6.16"/>
    <x v="440"/>
    <d v="2025-07-02T00:00:00"/>
    <s v="Ryan"/>
  </r>
  <r>
    <d v="2024-12-17T00:00:00"/>
    <n v="438.78647499999994"/>
    <n v="87.757294999999999"/>
    <x v="3"/>
    <x v="5"/>
    <n v="1"/>
    <n v="486.19"/>
    <s v="Store B"/>
    <x v="1"/>
    <n v="0.05"/>
    <s v="Frank"/>
    <n v="461.88049999999998"/>
    <x v="0"/>
    <x v="1"/>
    <n v="0"/>
    <s v="REG100592"/>
    <s v="Cust 7238"/>
    <n v="41.73"/>
    <x v="441"/>
    <d v="2024-12-20T00:00:00"/>
    <s v="Cameron"/>
  </r>
  <r>
    <d v="2024-05-03T00:00:00"/>
    <n v="1444.0180499999999"/>
    <n v="288.80360999999999"/>
    <x v="1"/>
    <x v="0"/>
    <n v="6"/>
    <n v="266.67"/>
    <s v="Store B"/>
    <x v="0"/>
    <n v="0.05"/>
    <s v="Eva"/>
    <n v="1520.019"/>
    <x v="3"/>
    <x v="3"/>
    <n v="0"/>
    <s v="REG100593"/>
    <s v="Cust 2219"/>
    <n v="48.49"/>
    <x v="80"/>
    <d v="2024-05-11T00:00:00"/>
    <s v="Sophie"/>
  </r>
  <r>
    <d v="2023-12-26T00:00:00"/>
    <n v="730.94400000000007"/>
    <n v="146.18880000000001"/>
    <x v="1"/>
    <x v="6"/>
    <n v="3"/>
    <n v="300.8"/>
    <s v="Store B"/>
    <x v="0"/>
    <n v="0.1"/>
    <s v="Carlos"/>
    <n v="812.16000000000008"/>
    <x v="4"/>
    <x v="3"/>
    <n v="1"/>
    <s v="REG100594"/>
    <s v="Cust 4297"/>
    <n v="15.98"/>
    <x v="442"/>
    <d v="2024-01-01T00:00:00"/>
    <s v="Sophie"/>
  </r>
  <r>
    <d v="2024-05-13T00:00:00"/>
    <n v="790.52682499999992"/>
    <n v="158.10536500000001"/>
    <x v="3"/>
    <x v="6"/>
    <n v="11"/>
    <n v="79.63"/>
    <s v="Store B"/>
    <x v="0"/>
    <n v="0.05"/>
    <s v="Frank"/>
    <n v="832.13349999999991"/>
    <x v="0"/>
    <x v="3"/>
    <n v="0"/>
    <s v="REG100595"/>
    <s v="Cust 6665"/>
    <n v="43.84"/>
    <x v="443"/>
    <d v="2024-05-19T00:00:00"/>
    <s v="Cameron"/>
  </r>
  <r>
    <d v="2023-10-07T00:00:00"/>
    <n v="3034.2"/>
    <n v="606.84"/>
    <x v="1"/>
    <x v="0"/>
    <n v="6"/>
    <n v="505.7"/>
    <s v="Store C"/>
    <x v="1"/>
    <n v="0"/>
    <s v="Alice"/>
    <n v="3034.2"/>
    <x v="4"/>
    <x v="3"/>
    <n v="0"/>
    <s v="REG100596"/>
    <s v="Cust 4252"/>
    <n v="40.380000000000003"/>
    <x v="444"/>
    <d v="2023-10-16T00:00:00"/>
    <s v="Sophie"/>
  </r>
  <r>
    <d v="2023-07-11T00:00:00"/>
    <n v="2848.1"/>
    <n v="569.62"/>
    <x v="4"/>
    <x v="6"/>
    <n v="5"/>
    <n v="569.62"/>
    <s v="Store C"/>
    <x v="0"/>
    <n v="0"/>
    <s v="Diana"/>
    <n v="2848.1"/>
    <x v="3"/>
    <x v="0"/>
    <n v="0"/>
    <s v="REG100597"/>
    <s v="Cust 6104"/>
    <n v="48.8"/>
    <x v="445"/>
    <d v="2023-07-13T00:00:00"/>
    <s v="Wendy"/>
  </r>
  <r>
    <d v="2025-01-31T00:00:00"/>
    <n v="1557.850375"/>
    <n v="311.57007500000003"/>
    <x v="1"/>
    <x v="5"/>
    <n v="19"/>
    <n v="90.85"/>
    <s v="Store C"/>
    <x v="1"/>
    <n v="0.05"/>
    <s v="Alice"/>
    <n v="1639.8425"/>
    <x v="2"/>
    <x v="1"/>
    <n v="0"/>
    <s v="REG100598"/>
    <s v="Cust 6407"/>
    <n v="22.28"/>
    <x v="94"/>
    <d v="2025-02-06T00:00:00"/>
    <s v="Sophie"/>
  </r>
  <r>
    <d v="2023-02-04T00:00:00"/>
    <n v="535.92255"/>
    <n v="107.18451"/>
    <x v="1"/>
    <x v="3"/>
    <n v="2"/>
    <n v="296.91000000000003"/>
    <s v="Store A"/>
    <x v="0"/>
    <n v="0.05"/>
    <s v="Carlos"/>
    <n v="564.12900000000002"/>
    <x v="3"/>
    <x v="2"/>
    <n v="0"/>
    <s v="REG100599"/>
    <s v="Cust 3573"/>
    <n v="44.35"/>
    <x v="446"/>
    <d v="2023-02-07T00:00:00"/>
    <s v="Sophie"/>
  </r>
  <r>
    <d v="2023-09-02T00:00:00"/>
    <n v="10.027799999999999"/>
    <n v="2.00556"/>
    <x v="1"/>
    <x v="6"/>
    <n v="2"/>
    <n v="6.19"/>
    <s v="Store B"/>
    <x v="1"/>
    <n v="0.1"/>
    <s v="Frank"/>
    <n v="11.141999999999999"/>
    <x v="2"/>
    <x v="0"/>
    <n v="1"/>
    <s v="REG100600"/>
    <s v="Cust 5280"/>
    <n v="47.24"/>
    <x v="447"/>
    <d v="2023-09-12T00:00:00"/>
    <s v="Sophie"/>
  </r>
  <r>
    <d v="2024-12-13T00:00:00"/>
    <n v="2696.586749999999"/>
    <n v="539.31734999999981"/>
    <x v="3"/>
    <x v="4"/>
    <n v="18"/>
    <n v="207.35"/>
    <s v="Store D"/>
    <x v="0"/>
    <n v="0.15"/>
    <s v="Alice"/>
    <n v="3172.454999999999"/>
    <x v="3"/>
    <x v="0"/>
    <n v="0"/>
    <s v="REG100601"/>
    <s v="Cust 2365"/>
    <n v="11.17"/>
    <x v="167"/>
    <d v="2024-12-15T00:00:00"/>
    <s v="Cameron"/>
  </r>
  <r>
    <d v="2023-10-13T00:00:00"/>
    <n v="376.35"/>
    <n v="75.27000000000001"/>
    <x v="3"/>
    <x v="5"/>
    <n v="5"/>
    <n v="75.27"/>
    <s v="Store A"/>
    <x v="0"/>
    <n v="0"/>
    <s v="Carlos"/>
    <n v="376.35"/>
    <x v="4"/>
    <x v="3"/>
    <n v="0"/>
    <s v="REG100602"/>
    <s v="Cust 7130"/>
    <n v="31.61"/>
    <x v="448"/>
    <d v="2023-10-22T00:00:00"/>
    <s v="Cameron"/>
  </r>
  <r>
    <d v="2024-10-03T00:00:00"/>
    <n v="330.8445000000001"/>
    <n v="66.168900000000022"/>
    <x v="1"/>
    <x v="4"/>
    <n v="3"/>
    <n v="136.15"/>
    <s v="Store A"/>
    <x v="1"/>
    <n v="0.1"/>
    <s v="Diana"/>
    <n v="367.60500000000008"/>
    <x v="1"/>
    <x v="1"/>
    <n v="0"/>
    <s v="REG100603"/>
    <s v="Cust 6539"/>
    <n v="48.38"/>
    <x v="449"/>
    <d v="2024-10-07T00:00:00"/>
    <s v="Sophie"/>
  </r>
  <r>
    <d v="2024-04-28T00:00:00"/>
    <n v="2205.873"/>
    <n v="441.17460000000005"/>
    <x v="3"/>
    <x v="2"/>
    <n v="5"/>
    <n v="544.66"/>
    <s v="Store B"/>
    <x v="1"/>
    <n v="0.1"/>
    <s v="Diana"/>
    <n v="2450.9699999999998"/>
    <x v="0"/>
    <x v="1"/>
    <n v="0"/>
    <s v="REG100604"/>
    <s v="Cust 1656"/>
    <n v="8.39"/>
    <x v="450"/>
    <d v="2024-05-04T00:00:00"/>
    <s v="Cameron"/>
  </r>
  <r>
    <d v="2024-02-07T00:00:00"/>
    <n v="3247.7820000000002"/>
    <n v="649.55640000000005"/>
    <x v="3"/>
    <x v="2"/>
    <n v="8"/>
    <n v="561.9"/>
    <s v="Store A"/>
    <x v="1"/>
    <n v="0.15"/>
    <s v="Bob"/>
    <n v="3820.92"/>
    <x v="0"/>
    <x v="0"/>
    <n v="1"/>
    <s v="REG100605"/>
    <s v="Cust 1932"/>
    <n v="15.97"/>
    <x v="451"/>
    <d v="2024-02-14T00:00:00"/>
    <s v="Cameron"/>
  </r>
  <r>
    <d v="2023-02-08T00:00:00"/>
    <n v="4529.6415000000006"/>
    <n v="905.92830000000015"/>
    <x v="1"/>
    <x v="3"/>
    <n v="20"/>
    <n v="313.47000000000003"/>
    <s v="Store C"/>
    <x v="1"/>
    <n v="0.15"/>
    <s v="Alice"/>
    <n v="5328.9900000000007"/>
    <x v="0"/>
    <x v="0"/>
    <n v="0"/>
    <s v="REG100606"/>
    <s v="Cust 7367"/>
    <n v="18.170000000000002"/>
    <x v="162"/>
    <d v="2023-02-11T00:00:00"/>
    <s v="Sophie"/>
  </r>
  <r>
    <d v="2023-06-17T00:00:00"/>
    <n v="302.33012500000001"/>
    <n v="60.466025000000002"/>
    <x v="1"/>
    <x v="1"/>
    <n v="1"/>
    <n v="418.45"/>
    <s v="Store C"/>
    <x v="1"/>
    <n v="0.15"/>
    <s v="Diana"/>
    <n v="355.6825"/>
    <x v="4"/>
    <x v="2"/>
    <n v="0"/>
    <s v="REG100607"/>
    <s v="Cust 1116"/>
    <n v="35.58"/>
    <x v="357"/>
    <d v="2023-06-19T00:00:00"/>
    <s v="Sophie"/>
  </r>
  <r>
    <d v="2024-07-29T00:00:00"/>
    <n v="2726.46"/>
    <n v="545.29200000000003"/>
    <x v="4"/>
    <x v="4"/>
    <n v="8"/>
    <n v="420.75"/>
    <s v="Store B"/>
    <x v="0"/>
    <n v="0.1"/>
    <s v="Bob"/>
    <n v="3029.4"/>
    <x v="0"/>
    <x v="1"/>
    <n v="1"/>
    <s v="REG100608"/>
    <s v="Cust 4464"/>
    <n v="44.61"/>
    <x v="452"/>
    <d v="2024-08-01T00:00:00"/>
    <s v="Wendy"/>
  </r>
  <r>
    <d v="2024-01-29T00:00:00"/>
    <n v="8229.76"/>
    <n v="1645.9520000000002"/>
    <x v="4"/>
    <x v="6"/>
    <n v="16"/>
    <n v="514.36"/>
    <s v="Store D"/>
    <x v="0"/>
    <n v="0"/>
    <s v="Alice"/>
    <n v="8229.76"/>
    <x v="0"/>
    <x v="1"/>
    <n v="0"/>
    <s v="REG100609"/>
    <s v="Cust 2543"/>
    <n v="40.75"/>
    <x v="282"/>
    <d v="2024-02-01T00:00:00"/>
    <s v="Wendy"/>
  </r>
  <r>
    <d v="2024-01-18T00:00:00"/>
    <n v="481.46400000000006"/>
    <n v="96.292800000000014"/>
    <x v="0"/>
    <x v="1"/>
    <n v="2"/>
    <n v="297.2"/>
    <s v="Store B"/>
    <x v="1"/>
    <n v="0.1"/>
    <s v="Frank"/>
    <n v="534.96"/>
    <x v="1"/>
    <x v="0"/>
    <n v="0"/>
    <s v="REG100610"/>
    <s v="Cust 7948"/>
    <n v="8.7100000000000009"/>
    <x v="453"/>
    <d v="2024-01-23T00:00:00"/>
    <s v="Eric"/>
  </r>
  <r>
    <d v="2024-08-12T00:00:00"/>
    <n v="2780"/>
    <n v="556"/>
    <x v="2"/>
    <x v="3"/>
    <n v="10"/>
    <n v="278"/>
    <s v="Store C"/>
    <x v="1"/>
    <n v="0"/>
    <s v="Bob"/>
    <n v="2780"/>
    <x v="2"/>
    <x v="3"/>
    <n v="0"/>
    <s v="REG100611"/>
    <s v="Cust 3199"/>
    <n v="24.25"/>
    <x v="305"/>
    <d v="2024-08-22T00:00:00"/>
    <s v="Ryan"/>
  </r>
  <r>
    <d v="2025-04-16T00:00:00"/>
    <n v="3778.9415999999997"/>
    <n v="755.78832"/>
    <x v="4"/>
    <x v="4"/>
    <n v="8"/>
    <n v="583.16999999999996"/>
    <s v="Store D"/>
    <x v="0"/>
    <n v="0.1"/>
    <s v="Frank"/>
    <n v="4198.8239999999996"/>
    <x v="2"/>
    <x v="2"/>
    <n v="0"/>
    <s v="REG100612"/>
    <s v="Cust 2800"/>
    <n v="49.18"/>
    <x v="454"/>
    <d v="2025-04-20T00:00:00"/>
    <s v="Wendy"/>
  </r>
  <r>
    <d v="2023-02-26T00:00:00"/>
    <n v="980.03520000000015"/>
    <n v="196.00704000000005"/>
    <x v="3"/>
    <x v="2"/>
    <n v="16"/>
    <n v="75.62"/>
    <s v="Store D"/>
    <x v="1"/>
    <n v="0.1"/>
    <s v="Diana"/>
    <n v="1088.9280000000001"/>
    <x v="4"/>
    <x v="2"/>
    <n v="0"/>
    <s v="REG100613"/>
    <s v="Cust 3863"/>
    <n v="27.39"/>
    <x v="16"/>
    <d v="2023-03-02T00:00:00"/>
    <s v="Cameron"/>
  </r>
  <r>
    <d v="2023-01-07T00:00:00"/>
    <n v="6589.2066499999992"/>
    <n v="1317.84133"/>
    <x v="0"/>
    <x v="2"/>
    <n v="13"/>
    <n v="561.62"/>
    <s v="Store C"/>
    <x v="0"/>
    <n v="0.05"/>
    <s v="Frank"/>
    <n v="6936.0069999999996"/>
    <x v="1"/>
    <x v="0"/>
    <n v="0"/>
    <s v="REG100614"/>
    <s v="Cust 8391"/>
    <n v="12.91"/>
    <x v="455"/>
    <d v="2023-01-11T00:00:00"/>
    <s v="Eric"/>
  </r>
  <r>
    <d v="2023-10-24T00:00:00"/>
    <n v="1798.05"/>
    <n v="359.61"/>
    <x v="1"/>
    <x v="2"/>
    <n v="5"/>
    <n v="359.61"/>
    <s v="Store A"/>
    <x v="1"/>
    <n v="0"/>
    <s v="Bob"/>
    <n v="1798.05"/>
    <x v="0"/>
    <x v="0"/>
    <n v="0"/>
    <s v="REG100615"/>
    <s v="Cust 6711"/>
    <n v="41.31"/>
    <x v="456"/>
    <d v="2023-11-03T00:00:00"/>
    <s v="Sophie"/>
  </r>
  <r>
    <d v="2024-01-02T00:00:00"/>
    <n v="1251.5144999999998"/>
    <n v="250.30289999999997"/>
    <x v="2"/>
    <x v="5"/>
    <n v="15"/>
    <n v="115.48"/>
    <s v="Store A"/>
    <x v="1"/>
    <n v="0.15"/>
    <s v="Frank"/>
    <n v="1472.37"/>
    <x v="2"/>
    <x v="3"/>
    <n v="0"/>
    <s v="REG100616"/>
    <s v="Cust 8653"/>
    <n v="6.04"/>
    <x v="78"/>
    <d v="2024-01-12T00:00:00"/>
    <s v="Ryan"/>
  </r>
  <r>
    <d v="2024-09-17T00:00:00"/>
    <n v="5169.5742"/>
    <n v="1033.9148400000001"/>
    <x v="1"/>
    <x v="0"/>
    <n v="12"/>
    <n v="596.26"/>
    <s v="Store D"/>
    <x v="0"/>
    <n v="0.15"/>
    <s v="Eva"/>
    <n v="6081.8519999999999"/>
    <x v="1"/>
    <x v="2"/>
    <n v="0"/>
    <s v="REG100617"/>
    <s v="Cust 7937"/>
    <n v="28.27"/>
    <x v="457"/>
    <d v="2024-09-25T00:00:00"/>
    <s v="Sophie"/>
  </r>
  <r>
    <d v="2024-05-05T00:00:00"/>
    <n v="6887.8077999999996"/>
    <n v="1377.5615600000001"/>
    <x v="3"/>
    <x v="5"/>
    <n v="19"/>
    <n v="401.68"/>
    <s v="Store C"/>
    <x v="0"/>
    <n v="0.05"/>
    <s v="Alice"/>
    <n v="7250.3239999999996"/>
    <x v="3"/>
    <x v="2"/>
    <n v="1"/>
    <s v="REG100618"/>
    <s v="Cust 5972"/>
    <n v="37.770000000000003"/>
    <x v="458"/>
    <d v="2024-05-11T00:00:00"/>
    <s v="Cameron"/>
  </r>
  <r>
    <d v="2025-06-27T00:00:00"/>
    <n v="1467.44"/>
    <n v="293.488"/>
    <x v="4"/>
    <x v="2"/>
    <n v="13"/>
    <n v="112.88"/>
    <s v="Store D"/>
    <x v="1"/>
    <n v="0"/>
    <s v="Frank"/>
    <n v="1467.44"/>
    <x v="3"/>
    <x v="3"/>
    <n v="0"/>
    <s v="REG100619"/>
    <s v="Cust 8597"/>
    <n v="12.39"/>
    <x v="440"/>
    <d v="2025-06-29T00:00:00"/>
    <s v="Wendy"/>
  </r>
  <r>
    <d v="2024-05-14T00:00:00"/>
    <n v="1604.2967999999998"/>
    <n v="320.85935999999998"/>
    <x v="4"/>
    <x v="1"/>
    <n v="6"/>
    <n v="370.08"/>
    <s v="Store D"/>
    <x v="1"/>
    <n v="0.15"/>
    <s v="Alice"/>
    <n v="1887.4079999999999"/>
    <x v="0"/>
    <x v="1"/>
    <n v="0"/>
    <s v="REG100620"/>
    <s v="Cust 5382"/>
    <n v="7.39"/>
    <x v="125"/>
    <d v="2024-05-22T00:00:00"/>
    <s v="Wendy"/>
  </r>
  <r>
    <d v="2024-02-29T00:00:00"/>
    <n v="1298.9827499999999"/>
    <n v="259.79654999999997"/>
    <x v="2"/>
    <x v="3"/>
    <n v="15"/>
    <n v="119.86"/>
    <s v="Store A"/>
    <x v="0"/>
    <n v="0.15"/>
    <s v="Bob"/>
    <n v="1528.2149999999999"/>
    <x v="3"/>
    <x v="3"/>
    <n v="1"/>
    <s v="REG100621"/>
    <s v="Cust 4323"/>
    <n v="30.78"/>
    <x v="459"/>
    <d v="2024-03-05T00:00:00"/>
    <s v="Ryan"/>
  </r>
  <r>
    <d v="2025-05-19T00:00:00"/>
    <n v="980.57699999999988"/>
    <n v="196.11539999999999"/>
    <x v="0"/>
    <x v="1"/>
    <n v="5"/>
    <n v="271.44"/>
    <s v="Store A"/>
    <x v="0"/>
    <n v="0.15"/>
    <s v="Diana"/>
    <n v="1153.6199999999999"/>
    <x v="3"/>
    <x v="0"/>
    <n v="0"/>
    <s v="REG100622"/>
    <s v="Cust 1767"/>
    <n v="5.98"/>
    <x v="460"/>
    <d v="2025-05-27T00:00:00"/>
    <s v="Eric"/>
  </r>
  <r>
    <d v="2024-12-02T00:00:00"/>
    <n v="2951.6352750000001"/>
    <n v="590.32705500000009"/>
    <x v="0"/>
    <x v="2"/>
    <n v="9"/>
    <n v="363.39"/>
    <s v="Store B"/>
    <x v="0"/>
    <n v="0.05"/>
    <s v="Diana"/>
    <n v="3106.9845"/>
    <x v="1"/>
    <x v="3"/>
    <n v="0"/>
    <s v="REG100623"/>
    <s v="Cust 3845"/>
    <n v="41.64"/>
    <x v="461"/>
    <d v="2024-12-04T00:00:00"/>
    <s v="Eric"/>
  </r>
  <r>
    <d v="2024-07-30T00:00:00"/>
    <n v="4627.7858999999999"/>
    <n v="925.55718000000002"/>
    <x v="4"/>
    <x v="6"/>
    <n v="12"/>
    <n v="533.77"/>
    <s v="Store D"/>
    <x v="0"/>
    <n v="0.15"/>
    <s v="Alice"/>
    <n v="5444.4539999999997"/>
    <x v="4"/>
    <x v="1"/>
    <n v="0"/>
    <s v="REG100624"/>
    <s v="Cust 5912"/>
    <n v="48.71"/>
    <x v="117"/>
    <d v="2024-08-04T00:00:00"/>
    <s v="Wendy"/>
  </r>
  <r>
    <d v="2023-06-25T00:00:00"/>
    <n v="1866.5316"/>
    <n v="373.30632000000003"/>
    <x v="1"/>
    <x v="2"/>
    <n v="12"/>
    <n v="192.03"/>
    <s v="Store B"/>
    <x v="0"/>
    <n v="0.1"/>
    <s v="Carlos"/>
    <n v="2073.924"/>
    <x v="2"/>
    <x v="3"/>
    <n v="0"/>
    <s v="REG100625"/>
    <s v="Cust 4446"/>
    <n v="41.08"/>
    <x v="416"/>
    <d v="2023-07-03T00:00:00"/>
    <s v="Sophie"/>
  </r>
  <r>
    <d v="2024-07-10T00:00:00"/>
    <n v="10084.4"/>
    <n v="2016.88"/>
    <x v="1"/>
    <x v="3"/>
    <n v="20"/>
    <n v="504.22"/>
    <s v="Store D"/>
    <x v="0"/>
    <n v="0"/>
    <s v="Frank"/>
    <n v="10084.4"/>
    <x v="0"/>
    <x v="2"/>
    <n v="0"/>
    <s v="REG100626"/>
    <s v="Cust 6107"/>
    <n v="14.61"/>
    <x v="462"/>
    <d v="2024-07-19T00:00:00"/>
    <s v="Sophie"/>
  </r>
  <r>
    <d v="2023-01-06T00:00:00"/>
    <n v="1098.0522000000001"/>
    <n v="219.61044000000004"/>
    <x v="0"/>
    <x v="0"/>
    <n v="7"/>
    <n v="193.66"/>
    <s v="Store A"/>
    <x v="0"/>
    <n v="0.1"/>
    <s v="Diana"/>
    <n v="1220.058"/>
    <x v="2"/>
    <x v="0"/>
    <n v="0"/>
    <s v="REG100627"/>
    <s v="Cust 3330"/>
    <n v="39.01"/>
    <x v="463"/>
    <d v="2023-01-15T00:00:00"/>
    <s v="Eric"/>
  </r>
  <r>
    <d v="2024-02-24T00:00:00"/>
    <n v="658.11689999999999"/>
    <n v="131.62338"/>
    <x v="1"/>
    <x v="3"/>
    <n v="3"/>
    <n v="270.83"/>
    <s v="Store B"/>
    <x v="0"/>
    <n v="0.1"/>
    <s v="Carlos"/>
    <n v="731.24099999999999"/>
    <x v="0"/>
    <x v="1"/>
    <n v="1"/>
    <s v="REG100628"/>
    <s v="Cust 3604"/>
    <n v="17.2"/>
    <x v="62"/>
    <d v="2024-02-29T00:00:00"/>
    <s v="Sophie"/>
  </r>
  <r>
    <d v="2023-12-11T00:00:00"/>
    <n v="1117.44"/>
    <n v="223.48800000000003"/>
    <x v="3"/>
    <x v="5"/>
    <n v="18"/>
    <n v="62.08"/>
    <s v="Store B"/>
    <x v="1"/>
    <n v="0"/>
    <s v="Diana"/>
    <n v="1117.44"/>
    <x v="2"/>
    <x v="1"/>
    <n v="1"/>
    <s v="REG100629"/>
    <s v="Cust 7412"/>
    <n v="8.67"/>
    <x v="464"/>
    <d v="2023-12-20T00:00:00"/>
    <s v="Cameron"/>
  </r>
  <r>
    <d v="2025-02-19T00:00:00"/>
    <n v="4021.1170999999995"/>
    <n v="804.22341999999992"/>
    <x v="1"/>
    <x v="6"/>
    <n v="11"/>
    <n v="505.96"/>
    <s v="Store C"/>
    <x v="0"/>
    <n v="0.15"/>
    <s v="Eva"/>
    <n v="4730.7259999999997"/>
    <x v="3"/>
    <x v="0"/>
    <n v="1"/>
    <s v="REG100630"/>
    <s v="Cust 5183"/>
    <n v="22.84"/>
    <x v="465"/>
    <d v="2025-02-23T00:00:00"/>
    <s v="Sophie"/>
  </r>
  <r>
    <d v="2025-03-18T00:00:00"/>
    <n v="180.5094"/>
    <n v="36.101880000000001"/>
    <x v="4"/>
    <x v="5"/>
    <n v="4"/>
    <n v="62.46"/>
    <s v="Store D"/>
    <x v="0"/>
    <n v="0.15"/>
    <s v="Alice"/>
    <n v="212.364"/>
    <x v="3"/>
    <x v="2"/>
    <n v="0"/>
    <s v="REG100631"/>
    <s v="Cust 4825"/>
    <n v="31.91"/>
    <x v="213"/>
    <d v="2025-03-26T00:00:00"/>
    <s v="Wendy"/>
  </r>
  <r>
    <d v="2023-09-22T00:00:00"/>
    <n v="2722.0536000000002"/>
    <n v="544.41072000000008"/>
    <x v="1"/>
    <x v="1"/>
    <n v="7"/>
    <n v="480.08"/>
    <s v="Store B"/>
    <x v="0"/>
    <n v="0.1"/>
    <s v="Diana"/>
    <n v="3024.5039999999999"/>
    <x v="0"/>
    <x v="3"/>
    <n v="1"/>
    <s v="REG100632"/>
    <s v="Cust 2123"/>
    <n v="44.37"/>
    <x v="466"/>
    <d v="2023-09-27T00:00:00"/>
    <s v="Sophie"/>
  </r>
  <r>
    <d v="2023-12-23T00:00:00"/>
    <n v="1091.8800000000001"/>
    <n v="218.37600000000003"/>
    <x v="4"/>
    <x v="5"/>
    <n v="18"/>
    <n v="60.66"/>
    <s v="Store A"/>
    <x v="1"/>
    <n v="0"/>
    <s v="Bob"/>
    <n v="1091.8800000000001"/>
    <x v="0"/>
    <x v="0"/>
    <n v="1"/>
    <s v="REG100633"/>
    <s v="Cust 8684"/>
    <n v="10.08"/>
    <x v="467"/>
    <d v="2023-12-28T00:00:00"/>
    <s v="Wendy"/>
  </r>
  <r>
    <d v="2025-05-04T00:00:00"/>
    <n v="1348.8223500000001"/>
    <n v="269.76447000000002"/>
    <x v="2"/>
    <x v="2"/>
    <n v="6"/>
    <n v="249.09"/>
    <s v="Store B"/>
    <x v="1"/>
    <n v="0.05"/>
    <s v="Frank"/>
    <n v="1419.8130000000001"/>
    <x v="4"/>
    <x v="3"/>
    <n v="0"/>
    <s v="REG100634"/>
    <s v="Cust 5964"/>
    <n v="20.38"/>
    <x v="291"/>
    <d v="2025-05-10T00:00:00"/>
    <s v="Ryan"/>
  </r>
  <r>
    <d v="2025-01-11T00:00:00"/>
    <n v="6480.81"/>
    <n v="1296.1620000000003"/>
    <x v="0"/>
    <x v="1"/>
    <n v="20"/>
    <n v="400.05"/>
    <s v="Store D"/>
    <x v="0"/>
    <n v="0.1"/>
    <s v="Diana"/>
    <n v="7200.9000000000005"/>
    <x v="3"/>
    <x v="2"/>
    <n v="0"/>
    <s v="REG100635"/>
    <s v="Cust 1810"/>
    <n v="24.41"/>
    <x v="405"/>
    <d v="2025-01-13T00:00:00"/>
    <s v="Eric"/>
  </r>
  <r>
    <d v="2025-04-21T00:00:00"/>
    <n v="118.11017499999998"/>
    <n v="23.622034999999997"/>
    <x v="1"/>
    <x v="6"/>
    <n v="1"/>
    <n v="130.87"/>
    <s v="Store B"/>
    <x v="1"/>
    <n v="0.05"/>
    <s v="Diana"/>
    <n v="124.3265"/>
    <x v="0"/>
    <x v="2"/>
    <n v="0"/>
    <s v="REG100636"/>
    <s v="Cust 2685"/>
    <n v="43.21"/>
    <x v="468"/>
    <d v="2025-04-24T00:00:00"/>
    <s v="Sophie"/>
  </r>
  <r>
    <d v="2023-12-13T00:00:00"/>
    <n v="1057.6532999999999"/>
    <n v="211.53066000000001"/>
    <x v="3"/>
    <x v="5"/>
    <n v="11"/>
    <n v="133.08000000000001"/>
    <s v="Store A"/>
    <x v="0"/>
    <n v="0.15"/>
    <s v="Frank"/>
    <n v="1244.298"/>
    <x v="2"/>
    <x v="2"/>
    <n v="0"/>
    <s v="REG100637"/>
    <s v="Cust 7855"/>
    <n v="44.61"/>
    <x v="469"/>
    <d v="2023-12-22T00:00:00"/>
    <s v="Cameron"/>
  </r>
  <r>
    <d v="2024-02-07T00:00:00"/>
    <n v="4724.6003999999994"/>
    <n v="944.92007999999987"/>
    <x v="0"/>
    <x v="3"/>
    <n v="13"/>
    <n v="448.68"/>
    <s v="Store B"/>
    <x v="0"/>
    <n v="0.1"/>
    <s v="Diana"/>
    <n v="5249.5559999999996"/>
    <x v="2"/>
    <x v="0"/>
    <n v="1"/>
    <s v="REG100638"/>
    <s v="Cust 4101"/>
    <n v="16.82"/>
    <x v="451"/>
    <d v="2024-02-11T00:00:00"/>
    <s v="Eric"/>
  </r>
  <r>
    <d v="2024-04-24T00:00:00"/>
    <n v="688.36999999999989"/>
    <n v="137.67399999999998"/>
    <x v="2"/>
    <x v="5"/>
    <n v="19"/>
    <n v="36.229999999999997"/>
    <s v="Store B"/>
    <x v="0"/>
    <n v="0"/>
    <s v="Diana"/>
    <n v="688.36999999999989"/>
    <x v="3"/>
    <x v="2"/>
    <n v="0"/>
    <s v="REG100639"/>
    <s v="Cust 7964"/>
    <n v="33.94"/>
    <x v="470"/>
    <d v="2024-04-27T00:00:00"/>
    <s v="Ryan"/>
  </r>
  <r>
    <d v="2023-09-11T00:00:00"/>
    <n v="1592.78"/>
    <n v="318.55600000000004"/>
    <x v="4"/>
    <x v="3"/>
    <n v="14"/>
    <n v="113.77"/>
    <s v="Store C"/>
    <x v="1"/>
    <n v="0"/>
    <s v="Eva"/>
    <n v="1592.78"/>
    <x v="4"/>
    <x v="0"/>
    <n v="0"/>
    <s v="REG100640"/>
    <s v="Cust 5857"/>
    <n v="25.35"/>
    <x v="471"/>
    <d v="2023-09-16T00:00:00"/>
    <s v="Wendy"/>
  </r>
  <r>
    <d v="2025-06-09T00:00:00"/>
    <n v="179.2"/>
    <n v="35.839999999999996"/>
    <x v="3"/>
    <x v="6"/>
    <n v="2"/>
    <n v="89.6"/>
    <s v="Store A"/>
    <x v="1"/>
    <n v="0"/>
    <s v="Diana"/>
    <n v="179.2"/>
    <x v="1"/>
    <x v="0"/>
    <n v="0"/>
    <s v="REG100641"/>
    <s v="Cust 7010"/>
    <n v="23.69"/>
    <x v="102"/>
    <d v="2025-06-12T00:00:00"/>
    <s v="Cameron"/>
  </r>
  <r>
    <d v="2025-06-06T00:00:00"/>
    <n v="849.48659999999995"/>
    <n v="169.89732000000001"/>
    <x v="0"/>
    <x v="2"/>
    <n v="3"/>
    <n v="391.92"/>
    <s v="Store A"/>
    <x v="0"/>
    <n v="0.15"/>
    <s v="Alice"/>
    <n v="999.39599999999996"/>
    <x v="3"/>
    <x v="1"/>
    <n v="0"/>
    <s v="REG100642"/>
    <s v="Cust 7917"/>
    <n v="9.86"/>
    <x v="472"/>
    <d v="2025-06-16T00:00:00"/>
    <s v="Eric"/>
  </r>
  <r>
    <d v="2024-12-23T00:00:00"/>
    <n v="3393.3330000000001"/>
    <n v="678.66660000000002"/>
    <x v="1"/>
    <x v="3"/>
    <n v="10"/>
    <n v="418.93"/>
    <s v="Store C"/>
    <x v="0"/>
    <n v="0.1"/>
    <s v="Bob"/>
    <n v="3770.37"/>
    <x v="2"/>
    <x v="0"/>
    <n v="0"/>
    <s v="REG100643"/>
    <s v="Cust 8111"/>
    <n v="45.63"/>
    <x v="473"/>
    <d v="2024-12-28T00:00:00"/>
    <s v="Sophie"/>
  </r>
  <r>
    <d v="2023-08-27T00:00:00"/>
    <n v="3637.08"/>
    <n v="727.41600000000005"/>
    <x v="0"/>
    <x v="4"/>
    <n v="12"/>
    <n v="303.08999999999997"/>
    <s v="Store B"/>
    <x v="0"/>
    <n v="0"/>
    <s v="Alice"/>
    <n v="3637.08"/>
    <x v="1"/>
    <x v="2"/>
    <n v="1"/>
    <s v="REG100644"/>
    <s v="Cust 4715"/>
    <n v="5.48"/>
    <x v="474"/>
    <d v="2023-09-03T00:00:00"/>
    <s v="Eric"/>
  </r>
  <r>
    <d v="2023-01-09T00:00:00"/>
    <n v="1700.595"/>
    <n v="340.11900000000003"/>
    <x v="0"/>
    <x v="4"/>
    <n v="10"/>
    <n v="209.95"/>
    <s v="Store A"/>
    <x v="0"/>
    <n v="0.1"/>
    <s v="Eva"/>
    <n v="1889.55"/>
    <x v="4"/>
    <x v="2"/>
    <n v="0"/>
    <s v="REG100645"/>
    <s v="Cust 8720"/>
    <n v="10.99"/>
    <x v="7"/>
    <d v="2023-01-13T00:00:00"/>
    <s v="Eric"/>
  </r>
  <r>
    <d v="2025-04-22T00:00:00"/>
    <n v="1837.9223999999999"/>
    <n v="367.58447999999999"/>
    <x v="0"/>
    <x v="0"/>
    <n v="8"/>
    <n v="283.63"/>
    <s v="Store C"/>
    <x v="0"/>
    <n v="0.1"/>
    <s v="Alice"/>
    <n v="2042.136"/>
    <x v="4"/>
    <x v="1"/>
    <n v="0"/>
    <s v="REG100646"/>
    <s v="Cust 8216"/>
    <n v="49.91"/>
    <x v="475"/>
    <d v="2025-04-25T00:00:00"/>
    <s v="Eric"/>
  </r>
  <r>
    <d v="2023-09-06T00:00:00"/>
    <n v="104.10120000000001"/>
    <n v="20.820240000000002"/>
    <x v="1"/>
    <x v="1"/>
    <n v="7"/>
    <n v="18.36"/>
    <s v="Store D"/>
    <x v="1"/>
    <n v="0.1"/>
    <s v="Alice"/>
    <n v="115.66800000000001"/>
    <x v="0"/>
    <x v="3"/>
    <n v="0"/>
    <s v="REG100647"/>
    <s v="Cust 6946"/>
    <n v="48.92"/>
    <x v="476"/>
    <d v="2023-09-11T00:00:00"/>
    <s v="Sophie"/>
  </r>
  <r>
    <d v="2023-01-21T00:00:00"/>
    <n v="3465.5201999999999"/>
    <n v="693.10404000000005"/>
    <x v="0"/>
    <x v="4"/>
    <n v="9"/>
    <n v="475.38"/>
    <s v="Store A"/>
    <x v="0"/>
    <n v="0.1"/>
    <s v="Carlos"/>
    <n v="3850.578"/>
    <x v="3"/>
    <x v="1"/>
    <n v="0"/>
    <s v="REG100648"/>
    <s v="Cust 9888"/>
    <n v="39.979999999999997"/>
    <x v="477"/>
    <d v="2023-01-27T00:00:00"/>
    <s v="Eric"/>
  </r>
  <r>
    <d v="2024-04-26T00:00:00"/>
    <n v="7103.0399999999991"/>
    <n v="1420.6079999999999"/>
    <x v="3"/>
    <x v="3"/>
    <n v="12"/>
    <n v="591.91999999999996"/>
    <s v="Store D"/>
    <x v="1"/>
    <n v="0"/>
    <s v="Eva"/>
    <n v="7103.0399999999991"/>
    <x v="3"/>
    <x v="1"/>
    <n v="0"/>
    <s v="REG100649"/>
    <s v="Cust 4009"/>
    <n v="25.2"/>
    <x v="478"/>
    <d v="2024-05-06T00:00:00"/>
    <s v="Cameron"/>
  </r>
  <r>
    <d v="2023-06-27T00:00:00"/>
    <n v="588.98052500000006"/>
    <n v="117.79610500000001"/>
    <x v="2"/>
    <x v="1"/>
    <n v="7"/>
    <n v="93.23"/>
    <s v="Store B"/>
    <x v="1"/>
    <n v="0.05"/>
    <s v="Alice"/>
    <n v="619.97950000000003"/>
    <x v="2"/>
    <x v="0"/>
    <n v="1"/>
    <s v="REG100650"/>
    <s v="Cust 9489"/>
    <n v="6.47"/>
    <x v="161"/>
    <d v="2023-06-30T00:00:00"/>
    <s v="Ryan"/>
  </r>
  <r>
    <d v="2023-01-01T00:00:00"/>
    <n v="4480.6499999999996"/>
    <n v="896.13"/>
    <x v="0"/>
    <x v="5"/>
    <n v="15"/>
    <n v="298.70999999999998"/>
    <s v="Store C"/>
    <x v="1"/>
    <n v="0"/>
    <s v="Bob"/>
    <n v="4480.6499999999996"/>
    <x v="3"/>
    <x v="1"/>
    <n v="0"/>
    <s v="REG100651"/>
    <s v="Cust 2446"/>
    <n v="11.38"/>
    <x v="209"/>
    <d v="2023-01-08T00:00:00"/>
    <s v="Eric"/>
  </r>
  <r>
    <d v="2023-12-30T00:00:00"/>
    <n v="567.55987499999992"/>
    <n v="113.51197499999999"/>
    <x v="4"/>
    <x v="5"/>
    <n v="15"/>
    <n v="52.37"/>
    <s v="Store A"/>
    <x v="1"/>
    <n v="0.15"/>
    <s v="Diana"/>
    <n v="667.71749999999997"/>
    <x v="0"/>
    <x v="1"/>
    <n v="0"/>
    <s v="REG100652"/>
    <s v="Cust 4150"/>
    <n v="8.93"/>
    <x v="479"/>
    <d v="2024-01-02T00:00:00"/>
    <s v="Wendy"/>
  </r>
  <r>
    <d v="2023-01-22T00:00:00"/>
    <n v="506.36340000000001"/>
    <n v="101.27268000000001"/>
    <x v="3"/>
    <x v="1"/>
    <n v="6"/>
    <n v="104.19"/>
    <s v="Store C"/>
    <x v="1"/>
    <n v="0.1"/>
    <s v="Diana"/>
    <n v="562.62599999999998"/>
    <x v="0"/>
    <x v="3"/>
    <n v="0"/>
    <s v="REG100653"/>
    <s v="Cust 3569"/>
    <n v="8.6199999999999992"/>
    <x v="229"/>
    <d v="2023-01-24T00:00:00"/>
    <s v="Cameron"/>
  </r>
  <r>
    <d v="2024-07-27T00:00:00"/>
    <n v="3560.1097999999988"/>
    <n v="712.02195999999981"/>
    <x v="1"/>
    <x v="0"/>
    <n v="8"/>
    <n v="493.09"/>
    <s v="Store A"/>
    <x v="1"/>
    <n v="0.05"/>
    <s v="Diana"/>
    <n v="3747.483999999999"/>
    <x v="2"/>
    <x v="0"/>
    <n v="0"/>
    <s v="REG100654"/>
    <s v="Cust 1023"/>
    <n v="11.49"/>
    <x v="480"/>
    <d v="2024-08-05T00:00:00"/>
    <s v="Sophie"/>
  </r>
  <r>
    <d v="2024-01-15T00:00:00"/>
    <n v="1749.48"/>
    <n v="349.89600000000002"/>
    <x v="1"/>
    <x v="3"/>
    <n v="6"/>
    <n v="291.58"/>
    <s v="Store B"/>
    <x v="0"/>
    <n v="0"/>
    <s v="Frank"/>
    <n v="1749.48"/>
    <x v="2"/>
    <x v="0"/>
    <n v="0"/>
    <s v="REG100655"/>
    <s v="Cust 3748"/>
    <n v="30.25"/>
    <x v="481"/>
    <d v="2024-01-17T00:00:00"/>
    <s v="Sophie"/>
  </r>
  <r>
    <d v="2024-01-04T00:00:00"/>
    <n v="103.13"/>
    <n v="20.626000000000001"/>
    <x v="4"/>
    <x v="5"/>
    <n v="1"/>
    <n v="103.13"/>
    <s v="Store B"/>
    <x v="0"/>
    <n v="0"/>
    <s v="Bob"/>
    <n v="103.13"/>
    <x v="0"/>
    <x v="0"/>
    <n v="0"/>
    <s v="REG100656"/>
    <s v="Cust 4798"/>
    <n v="42.38"/>
    <x v="482"/>
    <d v="2024-01-14T00:00:00"/>
    <s v="Wendy"/>
  </r>
  <r>
    <d v="2023-02-09T00:00:00"/>
    <n v="489.06474999999995"/>
    <n v="97.812950000000001"/>
    <x v="0"/>
    <x v="4"/>
    <n v="1"/>
    <n v="541.9"/>
    <s v="Store A"/>
    <x v="1"/>
    <n v="0.05"/>
    <s v="Eva"/>
    <n v="514.80499999999995"/>
    <x v="4"/>
    <x v="2"/>
    <n v="0"/>
    <s v="REG100657"/>
    <s v="Cust 8305"/>
    <n v="40.35"/>
    <x v="483"/>
    <d v="2023-02-19T00:00:00"/>
    <s v="Eric"/>
  </r>
  <r>
    <d v="2024-06-20T00:00:00"/>
    <n v="2700.5319"/>
    <n v="540.10638000000006"/>
    <x v="2"/>
    <x v="1"/>
    <n v="11"/>
    <n v="303.08999999999997"/>
    <s v="Store D"/>
    <x v="0"/>
    <n v="0.1"/>
    <s v="Diana"/>
    <n v="3000.5909999999999"/>
    <x v="0"/>
    <x v="1"/>
    <n v="0"/>
    <s v="REG100658"/>
    <s v="Cust 3864"/>
    <n v="21.88"/>
    <x v="249"/>
    <d v="2024-06-24T00:00:00"/>
    <s v="Ryan"/>
  </r>
  <r>
    <d v="2023-02-21T00:00:00"/>
    <n v="613.61877500000003"/>
    <n v="122.72375500000001"/>
    <x v="3"/>
    <x v="2"/>
    <n v="11"/>
    <n v="61.81"/>
    <s v="Store C"/>
    <x v="1"/>
    <n v="0.05"/>
    <s v="Bob"/>
    <n v="645.91450000000009"/>
    <x v="1"/>
    <x v="2"/>
    <n v="0"/>
    <s v="REG100659"/>
    <s v="Cust 3459"/>
    <n v="47.95"/>
    <x v="220"/>
    <d v="2023-03-03T00:00:00"/>
    <s v="Cameron"/>
  </r>
  <r>
    <d v="2023-08-16T00:00:00"/>
    <n v="2301.3719999999998"/>
    <n v="460.27440000000001"/>
    <x v="3"/>
    <x v="2"/>
    <n v="8"/>
    <n v="355.15"/>
    <s v="Store B"/>
    <x v="1"/>
    <n v="0.1"/>
    <s v="Carlos"/>
    <n v="2557.08"/>
    <x v="0"/>
    <x v="3"/>
    <n v="1"/>
    <s v="REG100660"/>
    <s v="Cust 1187"/>
    <n v="38.590000000000003"/>
    <x v="484"/>
    <d v="2023-08-24T00:00:00"/>
    <s v="Cameron"/>
  </r>
  <r>
    <d v="2023-11-03T00:00:00"/>
    <n v="1067.7744"/>
    <n v="213.55488000000003"/>
    <x v="4"/>
    <x v="4"/>
    <n v="11"/>
    <n v="119.84"/>
    <s v="Store D"/>
    <x v="0"/>
    <n v="0.1"/>
    <s v="Eva"/>
    <n v="1186.4159999999999"/>
    <x v="0"/>
    <x v="1"/>
    <n v="0"/>
    <s v="REG100661"/>
    <s v="Cust 7509"/>
    <n v="16.64"/>
    <x v="257"/>
    <d v="2023-11-11T00:00:00"/>
    <s v="Wendy"/>
  </r>
  <r>
    <d v="2024-04-26T00:00:00"/>
    <n v="4596.5407999999998"/>
    <n v="919.30816000000004"/>
    <x v="1"/>
    <x v="0"/>
    <n v="16"/>
    <n v="318.32"/>
    <s v="Store C"/>
    <x v="0"/>
    <n v="0.05"/>
    <s v="Diana"/>
    <n v="4838.4639999999999"/>
    <x v="2"/>
    <x v="0"/>
    <n v="0"/>
    <s v="REG100662"/>
    <s v="Cust 1869"/>
    <n v="40.78"/>
    <x v="478"/>
    <d v="2024-05-01T00:00:00"/>
    <s v="Sophie"/>
  </r>
  <r>
    <d v="2024-10-08T00:00:00"/>
    <n v="2903.3012249999997"/>
    <n v="580.66024499999992"/>
    <x v="1"/>
    <x v="2"/>
    <n v="9"/>
    <n v="446.49"/>
    <s v="Store D"/>
    <x v="0"/>
    <n v="0.15"/>
    <s v="Carlos"/>
    <n v="3415.6484999999998"/>
    <x v="4"/>
    <x v="0"/>
    <n v="0"/>
    <s v="REG100663"/>
    <s v="Cust 5943"/>
    <n v="5.77"/>
    <x v="485"/>
    <d v="2024-10-17T00:00:00"/>
    <s v="Sophie"/>
  </r>
  <r>
    <d v="2023-01-09T00:00:00"/>
    <n v="3354.3071999999997"/>
    <n v="670.86144000000002"/>
    <x v="1"/>
    <x v="2"/>
    <n v="16"/>
    <n v="258.82"/>
    <s v="Store D"/>
    <x v="1"/>
    <n v="0.1"/>
    <s v="Diana"/>
    <n v="3727.0079999999998"/>
    <x v="0"/>
    <x v="1"/>
    <n v="0"/>
    <s v="REG100664"/>
    <s v="Cust 8364"/>
    <n v="46.93"/>
    <x v="7"/>
    <d v="2023-01-17T00:00:00"/>
    <s v="Sophie"/>
  </r>
  <r>
    <d v="2023-12-25T00:00:00"/>
    <n v="2214.8433"/>
    <n v="442.96866"/>
    <x v="2"/>
    <x v="6"/>
    <n v="9"/>
    <n v="272.68"/>
    <s v="Store D"/>
    <x v="0"/>
    <n v="0.05"/>
    <s v="Eva"/>
    <n v="2331.4140000000002"/>
    <x v="0"/>
    <x v="1"/>
    <n v="0"/>
    <s v="REG100665"/>
    <s v="Cust 8401"/>
    <n v="16.43"/>
    <x v="486"/>
    <d v="2024-01-02T00:00:00"/>
    <s v="Ryan"/>
  </r>
  <r>
    <d v="2024-05-11T00:00:00"/>
    <n v="5265.24"/>
    <n v="1053.048"/>
    <x v="3"/>
    <x v="4"/>
    <n v="12"/>
    <n v="438.77"/>
    <s v="Store C"/>
    <x v="1"/>
    <n v="0"/>
    <s v="Eva"/>
    <n v="5265.24"/>
    <x v="3"/>
    <x v="1"/>
    <n v="0"/>
    <s v="REG100666"/>
    <s v="Cust 4047"/>
    <n v="9.31"/>
    <x v="487"/>
    <d v="2024-05-20T00:00:00"/>
    <s v="Cameron"/>
  </r>
  <r>
    <d v="2023-11-23T00:00:00"/>
    <n v="4817.34"/>
    <n v="963.46800000000007"/>
    <x v="4"/>
    <x v="5"/>
    <n v="18"/>
    <n v="267.63"/>
    <s v="Store B"/>
    <x v="1"/>
    <n v="0"/>
    <s v="Carlos"/>
    <n v="4817.34"/>
    <x v="1"/>
    <x v="1"/>
    <n v="0"/>
    <s v="REG100667"/>
    <s v="Cust 6019"/>
    <n v="44.48"/>
    <x v="488"/>
    <d v="2023-11-26T00:00:00"/>
    <s v="Wendy"/>
  </r>
  <r>
    <d v="2023-12-10T00:00:00"/>
    <n v="627.81509999999992"/>
    <n v="125.56301999999999"/>
    <x v="3"/>
    <x v="6"/>
    <n v="6"/>
    <n v="115.94"/>
    <s v="Store A"/>
    <x v="0"/>
    <n v="0.05"/>
    <s v="Carlos"/>
    <n v="660.85799999999995"/>
    <x v="2"/>
    <x v="1"/>
    <n v="0"/>
    <s v="REG100668"/>
    <s v="Cust 8750"/>
    <n v="23.91"/>
    <x v="489"/>
    <d v="2023-12-12T00:00:00"/>
    <s v="Cameron"/>
  </r>
  <r>
    <d v="2024-02-03T00:00:00"/>
    <n v="5239.82"/>
    <n v="1047.9639999999999"/>
    <x v="2"/>
    <x v="6"/>
    <n v="19"/>
    <n v="275.77999999999997"/>
    <s v="Store C"/>
    <x v="1"/>
    <n v="0"/>
    <s v="Frank"/>
    <n v="5239.82"/>
    <x v="4"/>
    <x v="1"/>
    <n v="0"/>
    <s v="REG100669"/>
    <s v="Cust 5782"/>
    <n v="47"/>
    <x v="490"/>
    <d v="2024-02-05T00:00:00"/>
    <s v="Ryan"/>
  </r>
  <r>
    <d v="2024-11-24T00:00:00"/>
    <n v="3071.16"/>
    <n v="614.23199999999997"/>
    <x v="3"/>
    <x v="3"/>
    <n v="12"/>
    <n v="255.93"/>
    <s v="Store B"/>
    <x v="1"/>
    <n v="0"/>
    <s v="Eva"/>
    <n v="3071.16"/>
    <x v="4"/>
    <x v="2"/>
    <n v="0"/>
    <s v="REG100670"/>
    <s v="Cust 4090"/>
    <n v="23.74"/>
    <x v="224"/>
    <d v="2024-12-04T00:00:00"/>
    <s v="Cameron"/>
  </r>
  <r>
    <d v="2024-03-06T00:00:00"/>
    <n v="275.42422499999998"/>
    <n v="55.084845000000001"/>
    <x v="4"/>
    <x v="1"/>
    <n v="1"/>
    <n v="381.21"/>
    <s v="Store D"/>
    <x v="0"/>
    <n v="0.15"/>
    <s v="Bob"/>
    <n v="324.02850000000001"/>
    <x v="0"/>
    <x v="3"/>
    <n v="0"/>
    <s v="REG100671"/>
    <s v="Cust 4730"/>
    <n v="9.9499999999999993"/>
    <x v="491"/>
    <d v="2024-03-11T00:00:00"/>
    <s v="Wendy"/>
  </r>
  <r>
    <d v="2025-02-01T00:00:00"/>
    <n v="138.105875"/>
    <n v="27.621175000000001"/>
    <x v="1"/>
    <x v="2"/>
    <n v="5"/>
    <n v="38.229999999999997"/>
    <s v="Store C"/>
    <x v="0"/>
    <n v="0.15"/>
    <s v="Bob"/>
    <n v="162.47749999999999"/>
    <x v="3"/>
    <x v="3"/>
    <n v="0"/>
    <s v="REG100672"/>
    <s v="Cust 5648"/>
    <n v="21.06"/>
    <x v="492"/>
    <d v="2025-02-11T00:00:00"/>
    <s v="Sophie"/>
  </r>
  <r>
    <d v="2024-06-04T00:00:00"/>
    <n v="1581.02"/>
    <n v="316.20400000000001"/>
    <x v="3"/>
    <x v="0"/>
    <n v="7"/>
    <n v="225.86"/>
    <s v="Store B"/>
    <x v="0"/>
    <n v="0"/>
    <s v="Carlos"/>
    <n v="1581.02"/>
    <x v="3"/>
    <x v="3"/>
    <n v="0"/>
    <s v="REG100673"/>
    <s v="Cust 8933"/>
    <n v="24.48"/>
    <x v="44"/>
    <d v="2024-06-09T00:00:00"/>
    <s v="Cameron"/>
  </r>
  <r>
    <d v="2023-08-06T00:00:00"/>
    <n v="3956.7043999999992"/>
    <n v="791.34087999999986"/>
    <x v="3"/>
    <x v="2"/>
    <n v="8"/>
    <n v="548.02"/>
    <s v="Store D"/>
    <x v="1"/>
    <n v="0.05"/>
    <s v="Eva"/>
    <n v="4164.9519999999993"/>
    <x v="0"/>
    <x v="3"/>
    <n v="0"/>
    <s v="REG100674"/>
    <s v="Cust 9280"/>
    <n v="33.4"/>
    <x v="23"/>
    <d v="2023-08-13T00:00:00"/>
    <s v="Cameron"/>
  </r>
  <r>
    <d v="2023-06-30T00:00:00"/>
    <n v="7883.6984999999986"/>
    <n v="1576.7396999999999"/>
    <x v="4"/>
    <x v="6"/>
    <n v="18"/>
    <n v="485.3"/>
    <s v="Store D"/>
    <x v="0"/>
    <n v="0.05"/>
    <s v="Bob"/>
    <n v="8298.6299999999992"/>
    <x v="3"/>
    <x v="0"/>
    <n v="1"/>
    <s v="REG100675"/>
    <s v="Cust 8696"/>
    <n v="47.77"/>
    <x v="43"/>
    <d v="2023-07-05T00:00:00"/>
    <s v="Wendy"/>
  </r>
  <r>
    <d v="2023-02-15T00:00:00"/>
    <n v="6376.2309000000005"/>
    <n v="1275.2461800000001"/>
    <x v="4"/>
    <x v="6"/>
    <n v="19"/>
    <n v="414.31"/>
    <s v="Store A"/>
    <x v="1"/>
    <n v="0.1"/>
    <s v="Eva"/>
    <n v="7084.701"/>
    <x v="2"/>
    <x v="1"/>
    <n v="0"/>
    <s v="REG100676"/>
    <s v="Cust 1944"/>
    <n v="17.43"/>
    <x v="493"/>
    <d v="2023-02-19T00:00:00"/>
    <s v="Wendy"/>
  </r>
  <r>
    <d v="2024-01-23T00:00:00"/>
    <n v="366.19839999999994"/>
    <n v="73.239679999999993"/>
    <x v="2"/>
    <x v="6"/>
    <n v="8"/>
    <n v="50.72"/>
    <s v="Store A"/>
    <x v="0"/>
    <n v="0.05"/>
    <s v="Carlos"/>
    <n v="385.47199999999998"/>
    <x v="3"/>
    <x v="3"/>
    <n v="0"/>
    <s v="REG100677"/>
    <s v="Cust 7780"/>
    <n v="12.35"/>
    <x v="145"/>
    <d v="2024-01-30T00:00:00"/>
    <s v="Ryan"/>
  </r>
  <r>
    <d v="2024-10-31T00:00:00"/>
    <n v="1022.64095"/>
    <n v="204.52819"/>
    <x v="2"/>
    <x v="5"/>
    <n v="17"/>
    <n v="83.26"/>
    <s v="Store A"/>
    <x v="0"/>
    <n v="0.15"/>
    <s v="Eva"/>
    <n v="1203.107"/>
    <x v="4"/>
    <x v="1"/>
    <n v="0"/>
    <s v="REG100678"/>
    <s v="Cust 8055"/>
    <n v="42.68"/>
    <x v="335"/>
    <d v="2024-11-06T00:00:00"/>
    <s v="Ryan"/>
  </r>
  <r>
    <d v="2023-12-19T00:00:00"/>
    <n v="749.23249999999996"/>
    <n v="149.84649999999999"/>
    <x v="3"/>
    <x v="2"/>
    <n v="20"/>
    <n v="51.85"/>
    <s v="Store C"/>
    <x v="0"/>
    <n v="0.15"/>
    <s v="Carlos"/>
    <n v="881.44999999999993"/>
    <x v="4"/>
    <x v="3"/>
    <n v="0"/>
    <s v="REG100679"/>
    <s v="Cust 4707"/>
    <n v="33.159999999999997"/>
    <x v="373"/>
    <d v="2023-12-21T00:00:00"/>
    <s v="Cameron"/>
  </r>
  <r>
    <d v="2023-07-04T00:00:00"/>
    <n v="1326.7833000000001"/>
    <n v="265.35666000000003"/>
    <x v="1"/>
    <x v="5"/>
    <n v="12"/>
    <n v="122.51"/>
    <s v="Store B"/>
    <x v="0"/>
    <n v="0.05"/>
    <s v="Diana"/>
    <n v="1396.614"/>
    <x v="1"/>
    <x v="2"/>
    <n v="0"/>
    <s v="REG100680"/>
    <s v="Cust 8088"/>
    <n v="43.47"/>
    <x v="250"/>
    <d v="2023-07-06T00:00:00"/>
    <s v="Sophie"/>
  </r>
  <r>
    <d v="2024-05-16T00:00:00"/>
    <n v="1765.3781750000001"/>
    <n v="353.07563500000003"/>
    <x v="0"/>
    <x v="0"/>
    <n v="11"/>
    <n v="222.13"/>
    <s v="Store D"/>
    <x v="0"/>
    <n v="0.15"/>
    <s v="Eva"/>
    <n v="2076.9155000000001"/>
    <x v="4"/>
    <x v="2"/>
    <n v="1"/>
    <s v="REG100681"/>
    <s v="Cust 7806"/>
    <n v="9.8800000000000008"/>
    <x v="494"/>
    <d v="2024-05-18T00:00:00"/>
    <s v="Eric"/>
  </r>
  <r>
    <d v="2023-09-16T00:00:00"/>
    <n v="1638.72"/>
    <n v="327.74400000000003"/>
    <x v="2"/>
    <x v="4"/>
    <n v="8"/>
    <n v="204.84"/>
    <s v="Store C"/>
    <x v="1"/>
    <n v="0"/>
    <s v="Bob"/>
    <n v="1638.72"/>
    <x v="4"/>
    <x v="3"/>
    <n v="0"/>
    <s v="REG100682"/>
    <s v="Cust 7033"/>
    <n v="43.4"/>
    <x v="292"/>
    <d v="2023-09-21T00:00:00"/>
    <s v="Ryan"/>
  </r>
  <r>
    <d v="2024-11-22T00:00:00"/>
    <n v="1610.91"/>
    <n v="322.18200000000002"/>
    <x v="0"/>
    <x v="3"/>
    <n v="3"/>
    <n v="536.97"/>
    <s v="Store C"/>
    <x v="0"/>
    <n v="0"/>
    <s v="Carlos"/>
    <n v="1610.91"/>
    <x v="3"/>
    <x v="3"/>
    <n v="0"/>
    <s v="REG100683"/>
    <s v="Cust 8372"/>
    <n v="13.86"/>
    <x v="196"/>
    <d v="2024-12-01T00:00:00"/>
    <s v="Eric"/>
  </r>
  <r>
    <d v="2024-04-13T00:00:00"/>
    <n v="6719.0715"/>
    <n v="1343.8143"/>
    <x v="4"/>
    <x v="3"/>
    <n v="15"/>
    <n v="553.01"/>
    <s v="Store A"/>
    <x v="1"/>
    <n v="0.1"/>
    <s v="Carlos"/>
    <n v="7465.6350000000002"/>
    <x v="2"/>
    <x v="1"/>
    <n v="1"/>
    <s v="REG100684"/>
    <s v="Cust 1935"/>
    <n v="23.3"/>
    <x v="495"/>
    <d v="2024-04-21T00:00:00"/>
    <s v="Wendy"/>
  </r>
  <r>
    <d v="2024-06-30T00:00:00"/>
    <n v="4614.0840000000007"/>
    <n v="922.81680000000017"/>
    <x v="1"/>
    <x v="3"/>
    <n v="20"/>
    <n v="284.82"/>
    <s v="Store D"/>
    <x v="1"/>
    <n v="0.1"/>
    <s v="Alice"/>
    <n v="5126.76"/>
    <x v="2"/>
    <x v="2"/>
    <n v="1"/>
    <s v="REG100685"/>
    <s v="Cust 8417"/>
    <n v="27"/>
    <x v="261"/>
    <d v="2024-07-06T00:00:00"/>
    <s v="Sophie"/>
  </r>
  <r>
    <d v="2024-08-29T00:00:00"/>
    <n v="6812.9293499999994"/>
    <n v="1362.5858699999999"/>
    <x v="2"/>
    <x v="2"/>
    <n v="18"/>
    <n v="523.87"/>
    <s v="Store C"/>
    <x v="1"/>
    <n v="0.15"/>
    <s v="Diana"/>
    <n v="8015.2109999999993"/>
    <x v="1"/>
    <x v="2"/>
    <n v="0"/>
    <s v="REG100686"/>
    <s v="Cust 3370"/>
    <n v="42.63"/>
    <x v="496"/>
    <d v="2024-09-02T00:00:00"/>
    <s v="Ryan"/>
  </r>
  <r>
    <d v="2023-12-26T00:00:00"/>
    <n v="564.07590000000005"/>
    <n v="112.81518000000001"/>
    <x v="3"/>
    <x v="2"/>
    <n v="3"/>
    <n v="232.13"/>
    <s v="Store B"/>
    <x v="1"/>
    <n v="0.1"/>
    <s v="Diana"/>
    <n v="626.75099999999998"/>
    <x v="4"/>
    <x v="3"/>
    <n v="1"/>
    <s v="REG100687"/>
    <s v="Cust 3664"/>
    <n v="46.65"/>
    <x v="442"/>
    <d v="2023-12-31T00:00:00"/>
    <s v="Cameron"/>
  </r>
  <r>
    <d v="2025-01-30T00:00:00"/>
    <n v="2469.2364000000002"/>
    <n v="493.84728000000007"/>
    <x v="2"/>
    <x v="1"/>
    <n v="17"/>
    <n v="179.32"/>
    <s v="Store A"/>
    <x v="1"/>
    <n v="0.1"/>
    <s v="Bob"/>
    <n v="2743.596"/>
    <x v="3"/>
    <x v="1"/>
    <n v="1"/>
    <s v="REG100688"/>
    <s v="Cust 5760"/>
    <n v="26.74"/>
    <x v="258"/>
    <d v="2025-02-06T00:00:00"/>
    <s v="Ryan"/>
  </r>
  <r>
    <d v="2023-05-17T00:00:00"/>
    <n v="286.36287499999997"/>
    <n v="57.272574999999996"/>
    <x v="1"/>
    <x v="3"/>
    <n v="1"/>
    <n v="396.35"/>
    <s v="Store B"/>
    <x v="1"/>
    <n v="0.15"/>
    <s v="Frank"/>
    <n v="336.89749999999998"/>
    <x v="3"/>
    <x v="1"/>
    <n v="1"/>
    <s v="REG100689"/>
    <s v="Cust 3037"/>
    <n v="19.89"/>
    <x v="497"/>
    <d v="2023-05-25T00:00:00"/>
    <s v="Sophie"/>
  </r>
  <r>
    <d v="2024-01-27T00:00:00"/>
    <n v="1493.7695999999999"/>
    <n v="298.75391999999999"/>
    <x v="3"/>
    <x v="2"/>
    <n v="17"/>
    <n v="108.48"/>
    <s v="Store A"/>
    <x v="0"/>
    <n v="0.1"/>
    <s v="Carlos"/>
    <n v="1659.7439999999999"/>
    <x v="0"/>
    <x v="3"/>
    <n v="1"/>
    <s v="REG100690"/>
    <s v="Cust 9828"/>
    <n v="48.9"/>
    <x v="498"/>
    <d v="2024-02-05T00:00:00"/>
    <s v="Cameron"/>
  </r>
  <r>
    <d v="2025-05-26T00:00:00"/>
    <n v="1212.327"/>
    <n v="242.46540000000002"/>
    <x v="0"/>
    <x v="6"/>
    <n v="10"/>
    <n v="149.66999999999999"/>
    <s v="Store D"/>
    <x v="1"/>
    <n v="0.1"/>
    <s v="Carlos"/>
    <n v="1347.03"/>
    <x v="4"/>
    <x v="0"/>
    <n v="1"/>
    <s v="REG100691"/>
    <s v="Cust 5297"/>
    <n v="49.67"/>
    <x v="499"/>
    <d v="2025-06-02T00:00:00"/>
    <s v="Eric"/>
  </r>
  <r>
    <d v="2025-03-09T00:00:00"/>
    <n v="506.41"/>
    <n v="101.28200000000001"/>
    <x v="2"/>
    <x v="1"/>
    <n v="1"/>
    <n v="506.41"/>
    <s v="Store D"/>
    <x v="0"/>
    <n v="0"/>
    <s v="Bob"/>
    <n v="506.41"/>
    <x v="4"/>
    <x v="3"/>
    <n v="0"/>
    <s v="REG100692"/>
    <s v="Cust 6785"/>
    <n v="17.899999999999999"/>
    <x v="31"/>
    <d v="2025-03-17T00:00:00"/>
    <s v="Ryan"/>
  </r>
  <r>
    <d v="2024-02-22T00:00:00"/>
    <n v="1499.4765"/>
    <n v="299.89530000000002"/>
    <x v="4"/>
    <x v="5"/>
    <n v="6"/>
    <n v="345.9"/>
    <s v="Store B"/>
    <x v="1"/>
    <n v="0.15"/>
    <s v="Frank"/>
    <n v="1764.09"/>
    <x v="2"/>
    <x v="2"/>
    <n v="0"/>
    <s v="REG100693"/>
    <s v="Cust 1344"/>
    <n v="30.58"/>
    <x v="193"/>
    <d v="2024-03-03T00:00:00"/>
    <s v="Wendy"/>
  </r>
  <r>
    <d v="2025-02-03T00:00:00"/>
    <n v="3706.8585000000003"/>
    <n v="741.37170000000015"/>
    <x v="0"/>
    <x v="5"/>
    <n v="15"/>
    <n v="342.04"/>
    <s v="Store C"/>
    <x v="1"/>
    <n v="0.15"/>
    <s v="Diana"/>
    <n v="4361.01"/>
    <x v="1"/>
    <x v="2"/>
    <n v="0"/>
    <s v="REG100694"/>
    <s v="Cust 4023"/>
    <n v="44.91"/>
    <x v="45"/>
    <d v="2025-02-08T00:00:00"/>
    <s v="Eric"/>
  </r>
  <r>
    <d v="2024-01-09T00:00:00"/>
    <n v="4019.4461999999999"/>
    <n v="803.88923999999997"/>
    <x v="3"/>
    <x v="6"/>
    <n v="11"/>
    <n v="404.88"/>
    <s v="Store A"/>
    <x v="0"/>
    <n v="0.05"/>
    <s v="Alice"/>
    <n v="4230.9960000000001"/>
    <x v="1"/>
    <x v="1"/>
    <n v="0"/>
    <s v="REG100695"/>
    <s v="Cust 3721"/>
    <n v="18.920000000000002"/>
    <x v="46"/>
    <d v="2024-01-16T00:00:00"/>
    <s v="Cameron"/>
  </r>
  <r>
    <d v="2025-05-05T00:00:00"/>
    <n v="2375.5063499999997"/>
    <n v="475.10126999999994"/>
    <x v="2"/>
    <x v="2"/>
    <n v="9"/>
    <n v="292.45999999999998"/>
    <s v="Store A"/>
    <x v="0"/>
    <n v="0.05"/>
    <s v="Carlos"/>
    <n v="2500.5329999999999"/>
    <x v="2"/>
    <x v="3"/>
    <n v="0"/>
    <s v="REG100696"/>
    <s v="Cust 1486"/>
    <n v="34.26"/>
    <x v="500"/>
    <d v="2025-05-14T00:00:00"/>
    <s v="Ryan"/>
  </r>
  <r>
    <d v="2023-04-17T00:00:00"/>
    <n v="2217.4965000000002"/>
    <n v="443.49930000000006"/>
    <x v="3"/>
    <x v="2"/>
    <n v="5"/>
    <n v="547.53"/>
    <s v="Store A"/>
    <x v="1"/>
    <n v="0.1"/>
    <s v="Eva"/>
    <n v="2463.8850000000002"/>
    <x v="3"/>
    <x v="3"/>
    <n v="0"/>
    <s v="REG100697"/>
    <s v="Cust 3958"/>
    <n v="24.68"/>
    <x v="417"/>
    <d v="2023-04-21T00:00:00"/>
    <s v="Cameron"/>
  </r>
  <r>
    <d v="2024-06-16T00:00:00"/>
    <n v="4186.5599999999986"/>
    <n v="837.31199999999978"/>
    <x v="1"/>
    <x v="2"/>
    <n v="12"/>
    <n v="348.88"/>
    <s v="Store C"/>
    <x v="0"/>
    <n v="0"/>
    <s v="Alice"/>
    <n v="4186.5599999999986"/>
    <x v="2"/>
    <x v="1"/>
    <n v="0"/>
    <s v="REG100698"/>
    <s v="Cust 6914"/>
    <n v="31.28"/>
    <x v="40"/>
    <d v="2024-06-21T00:00:00"/>
    <s v="Sophie"/>
  </r>
  <r>
    <d v="2024-11-01T00:00:00"/>
    <n v="7290.45"/>
    <n v="1458.0900000000001"/>
    <x v="1"/>
    <x v="1"/>
    <n v="15"/>
    <n v="486.03"/>
    <s v="Store C"/>
    <x v="0"/>
    <n v="0"/>
    <s v="Alice"/>
    <n v="7290.45"/>
    <x v="3"/>
    <x v="2"/>
    <n v="0"/>
    <s v="REG100699"/>
    <s v="Cust 3287"/>
    <n v="14.9"/>
    <x v="501"/>
    <d v="2024-11-04T00:00:00"/>
    <s v="Sophie"/>
  </r>
  <r>
    <d v="2025-02-07T00:00:00"/>
    <n v="1609.19535"/>
    <n v="321.83906999999999"/>
    <x v="0"/>
    <x v="5"/>
    <n v="14"/>
    <n v="159.09"/>
    <s v="Store C"/>
    <x v="1"/>
    <n v="0.15"/>
    <s v="Bob"/>
    <n v="1893.171"/>
    <x v="3"/>
    <x v="0"/>
    <n v="0"/>
    <s v="REG100700"/>
    <s v="Cust 9072"/>
    <n v="27.05"/>
    <x v="439"/>
    <d v="2025-02-10T00:00:00"/>
    <s v="Eric"/>
  </r>
  <r>
    <d v="2024-11-24T00:00:00"/>
    <n v="1506.7592999999999"/>
    <n v="301.35185999999999"/>
    <x v="1"/>
    <x v="4"/>
    <n v="12"/>
    <n v="173.79"/>
    <s v="Store D"/>
    <x v="1"/>
    <n v="0.15"/>
    <s v="Eva"/>
    <n v="1772.6579999999999"/>
    <x v="2"/>
    <x v="3"/>
    <n v="0"/>
    <s v="REG100701"/>
    <s v="Cust 3098"/>
    <n v="21.23"/>
    <x v="224"/>
    <d v="2024-12-04T00:00:00"/>
    <s v="Sophie"/>
  </r>
  <r>
    <d v="2024-04-23T00:00:00"/>
    <n v="5716.75"/>
    <n v="1143.3500000000001"/>
    <x v="3"/>
    <x v="4"/>
    <n v="13"/>
    <n v="439.75"/>
    <s v="Store A"/>
    <x v="0"/>
    <n v="0"/>
    <s v="Frank"/>
    <n v="5716.75"/>
    <x v="0"/>
    <x v="3"/>
    <n v="1"/>
    <s v="REG100702"/>
    <s v="Cust 7942"/>
    <n v="12.23"/>
    <x v="502"/>
    <d v="2024-05-02T00:00:00"/>
    <s v="Cameron"/>
  </r>
  <r>
    <d v="2024-06-24T00:00:00"/>
    <n v="2155.9551750000001"/>
    <n v="431.19103500000006"/>
    <x v="0"/>
    <x v="0"/>
    <n v="9"/>
    <n v="265.43"/>
    <s v="Store D"/>
    <x v="0"/>
    <n v="0.05"/>
    <s v="Eva"/>
    <n v="2269.4265"/>
    <x v="2"/>
    <x v="0"/>
    <n v="0"/>
    <s v="REG100703"/>
    <s v="Cust 4307"/>
    <n v="40.18"/>
    <x v="503"/>
    <d v="2024-06-27T00:00:00"/>
    <s v="Eric"/>
  </r>
  <r>
    <d v="2025-06-01T00:00:00"/>
    <n v="2821.5216"/>
    <n v="564.30432000000008"/>
    <x v="4"/>
    <x v="4"/>
    <n v="12"/>
    <n v="290.27999999999997"/>
    <s v="Store B"/>
    <x v="1"/>
    <n v="0.1"/>
    <s v="Carlos"/>
    <n v="3135.0239999999999"/>
    <x v="4"/>
    <x v="0"/>
    <n v="1"/>
    <s v="REG100704"/>
    <s v="Cust 4618"/>
    <n v="5.55"/>
    <x v="216"/>
    <d v="2025-06-07T00:00:00"/>
    <s v="Wendy"/>
  </r>
  <r>
    <d v="2023-03-12T00:00:00"/>
    <n v="532.20000000000005"/>
    <n v="106.44000000000001"/>
    <x v="4"/>
    <x v="5"/>
    <n v="6"/>
    <n v="88.7"/>
    <s v="Store B"/>
    <x v="0"/>
    <n v="0"/>
    <s v="Carlos"/>
    <n v="532.20000000000005"/>
    <x v="1"/>
    <x v="3"/>
    <n v="0"/>
    <s v="REG100705"/>
    <s v="Cust 5322"/>
    <n v="16.98"/>
    <x v="504"/>
    <d v="2023-03-14T00:00:00"/>
    <s v="Wendy"/>
  </r>
  <r>
    <d v="2024-11-11T00:00:00"/>
    <n v="479.38"/>
    <n v="95.876000000000005"/>
    <x v="3"/>
    <x v="2"/>
    <n v="2"/>
    <n v="239.69"/>
    <s v="Store C"/>
    <x v="1"/>
    <n v="0"/>
    <s v="Diana"/>
    <n v="479.38"/>
    <x v="2"/>
    <x v="2"/>
    <n v="0"/>
    <s v="REG100706"/>
    <s v="Cust 9873"/>
    <n v="28.96"/>
    <x v="207"/>
    <d v="2024-11-19T00:00:00"/>
    <s v="Cameron"/>
  </r>
  <r>
    <d v="2024-10-17T00:00:00"/>
    <n v="257.83920000000001"/>
    <n v="51.567840000000004"/>
    <x v="3"/>
    <x v="5"/>
    <n v="8"/>
    <n v="39.79"/>
    <s v="Store C"/>
    <x v="1"/>
    <n v="0.1"/>
    <s v="Bob"/>
    <n v="286.488"/>
    <x v="2"/>
    <x v="1"/>
    <n v="0"/>
    <s v="REG100707"/>
    <s v="Cust 3652"/>
    <n v="46.16"/>
    <x v="386"/>
    <d v="2024-10-26T00:00:00"/>
    <s v="Cameron"/>
  </r>
  <r>
    <d v="2023-05-10T00:00:00"/>
    <n v="3359.4659999999999"/>
    <n v="671.89319999999998"/>
    <x v="0"/>
    <x v="6"/>
    <n v="18"/>
    <n v="206.8"/>
    <s v="Store A"/>
    <x v="1"/>
    <n v="0.05"/>
    <s v="Frank"/>
    <n v="3536.28"/>
    <x v="3"/>
    <x v="0"/>
    <n v="1"/>
    <s v="REG100708"/>
    <s v="Cust 5569"/>
    <n v="39.25"/>
    <x v="2"/>
    <d v="2023-05-13T00:00:00"/>
    <s v="Eric"/>
  </r>
  <r>
    <d v="2023-07-29T00:00:00"/>
    <n v="3164.58"/>
    <n v="632.91600000000005"/>
    <x v="0"/>
    <x v="0"/>
    <n v="18"/>
    <n v="175.81"/>
    <s v="Store C"/>
    <x v="1"/>
    <n v="0"/>
    <s v="Eva"/>
    <n v="3164.58"/>
    <x v="1"/>
    <x v="2"/>
    <n v="1"/>
    <s v="REG100709"/>
    <s v="Cust 5369"/>
    <n v="26.97"/>
    <x v="237"/>
    <d v="2023-08-07T00:00:00"/>
    <s v="Eric"/>
  </r>
  <r>
    <d v="2023-08-26T00:00:00"/>
    <n v="5536.5463999999993"/>
    <n v="1107.3092799999999"/>
    <x v="3"/>
    <x v="1"/>
    <n v="14"/>
    <n v="547.36"/>
    <s v="Store C"/>
    <x v="1"/>
    <n v="0.15"/>
    <s v="Diana"/>
    <n v="6513.5839999999998"/>
    <x v="0"/>
    <x v="0"/>
    <n v="0"/>
    <s v="REG100710"/>
    <s v="Cust 9044"/>
    <n v="25.24"/>
    <x v="222"/>
    <d v="2023-08-29T00:00:00"/>
    <s v="Cameron"/>
  </r>
  <r>
    <d v="2023-12-28T00:00:00"/>
    <n v="6426.8829999999989"/>
    <n v="1285.3765999999998"/>
    <x v="0"/>
    <x v="0"/>
    <n v="19"/>
    <n v="374.8"/>
    <s v="Store A"/>
    <x v="1"/>
    <n v="0.05"/>
    <s v="Carlos"/>
    <n v="6765.1399999999994"/>
    <x v="0"/>
    <x v="2"/>
    <n v="0"/>
    <s v="REG100711"/>
    <s v="Cust 1887"/>
    <n v="41.67"/>
    <x v="505"/>
    <d v="2024-01-03T00:00:00"/>
    <s v="Eric"/>
  </r>
  <r>
    <d v="2025-03-10T00:00:00"/>
    <n v="3301.5793499999995"/>
    <n v="660.3158699999999"/>
    <x v="2"/>
    <x v="5"/>
    <n v="9"/>
    <n v="507.74"/>
    <s v="Store D"/>
    <x v="1"/>
    <n v="0.15"/>
    <s v="Bob"/>
    <n v="3884.2109999999998"/>
    <x v="4"/>
    <x v="0"/>
    <n v="1"/>
    <s v="REG100712"/>
    <s v="Cust 1559"/>
    <n v="22.08"/>
    <x v="506"/>
    <d v="2025-03-17T00:00:00"/>
    <s v="Ryan"/>
  </r>
  <r>
    <d v="2023-09-09T00:00:00"/>
    <n v="161.52209999999999"/>
    <n v="32.30442"/>
    <x v="3"/>
    <x v="2"/>
    <n v="1"/>
    <n v="223.56"/>
    <s v="Store B"/>
    <x v="0"/>
    <n v="0.15"/>
    <s v="Bob"/>
    <n v="190.02600000000001"/>
    <x v="2"/>
    <x v="2"/>
    <n v="0"/>
    <s v="REG100713"/>
    <s v="Cust 1722"/>
    <n v="37.840000000000003"/>
    <x v="507"/>
    <d v="2023-09-14T00:00:00"/>
    <s v="Cameron"/>
  </r>
  <r>
    <d v="2023-05-28T00:00:00"/>
    <n v="476.71740000000005"/>
    <n v="95.343480000000014"/>
    <x v="2"/>
    <x v="5"/>
    <n v="2"/>
    <n v="294.27"/>
    <s v="Store C"/>
    <x v="1"/>
    <n v="0.1"/>
    <s v="Diana"/>
    <n v="529.68600000000004"/>
    <x v="1"/>
    <x v="3"/>
    <n v="0"/>
    <s v="REG100714"/>
    <s v="Cust 9029"/>
    <n v="9.0500000000000007"/>
    <x v="424"/>
    <d v="2023-06-01T00:00:00"/>
    <s v="Ryan"/>
  </r>
  <r>
    <d v="2025-05-21T00:00:00"/>
    <n v="230.831525"/>
    <n v="46.166305000000001"/>
    <x v="4"/>
    <x v="4"/>
    <n v="1"/>
    <n v="319.49"/>
    <s v="Store C"/>
    <x v="0"/>
    <n v="0.15"/>
    <s v="Diana"/>
    <n v="271.56650000000002"/>
    <x v="0"/>
    <x v="0"/>
    <n v="1"/>
    <s v="REG100715"/>
    <s v="Cust 9555"/>
    <n v="18.100000000000001"/>
    <x v="83"/>
    <d v="2025-05-31T00:00:00"/>
    <s v="Wendy"/>
  </r>
  <r>
    <d v="2023-09-30T00:00:00"/>
    <n v="3082.4346"/>
    <n v="616.48692000000005"/>
    <x v="0"/>
    <x v="0"/>
    <n v="14"/>
    <n v="243.96"/>
    <s v="Store D"/>
    <x v="0"/>
    <n v="0.05"/>
    <s v="Diana"/>
    <n v="3244.6680000000001"/>
    <x v="0"/>
    <x v="3"/>
    <n v="1"/>
    <s v="REG100716"/>
    <s v="Cust 2484"/>
    <n v="13.24"/>
    <x v="508"/>
    <d v="2023-10-04T00:00:00"/>
    <s v="Eric"/>
  </r>
  <r>
    <d v="2024-10-08T00:00:00"/>
    <n v="235.61279999999999"/>
    <n v="47.12256"/>
    <x v="1"/>
    <x v="0"/>
    <n v="6"/>
    <n v="48.48"/>
    <s v="Store D"/>
    <x v="1"/>
    <n v="0.1"/>
    <s v="Diana"/>
    <n v="261.79199999999997"/>
    <x v="0"/>
    <x v="3"/>
    <n v="0"/>
    <s v="REG100717"/>
    <s v="Cust 4763"/>
    <n v="6.11"/>
    <x v="485"/>
    <d v="2024-10-13T00:00:00"/>
    <s v="Sophie"/>
  </r>
  <r>
    <d v="2023-04-14T00:00:00"/>
    <n v="1749.4"/>
    <n v="349.88000000000005"/>
    <x v="0"/>
    <x v="0"/>
    <n v="20"/>
    <n v="87.47"/>
    <s v="Store B"/>
    <x v="1"/>
    <n v="0"/>
    <s v="Carlos"/>
    <n v="1749.4"/>
    <x v="0"/>
    <x v="2"/>
    <n v="0"/>
    <s v="REG100718"/>
    <s v="Cust 5016"/>
    <n v="48.48"/>
    <x v="271"/>
    <d v="2023-04-23T00:00:00"/>
    <s v="Eric"/>
  </r>
  <r>
    <d v="2023-03-05T00:00:00"/>
    <n v="6411.3120000000008"/>
    <n v="1282.2624000000003"/>
    <x v="1"/>
    <x v="4"/>
    <n v="17"/>
    <n v="465.6"/>
    <s v="Store C"/>
    <x v="1"/>
    <n v="0.1"/>
    <s v="Bob"/>
    <n v="7123.6800000000012"/>
    <x v="3"/>
    <x v="1"/>
    <n v="0"/>
    <s v="REG100719"/>
    <s v="Cust 5528"/>
    <n v="7.76"/>
    <x v="509"/>
    <d v="2023-03-10T00:00:00"/>
    <s v="Sophie"/>
  </r>
  <r>
    <d v="2024-07-17T00:00:00"/>
    <n v="4286.3876499999997"/>
    <n v="857.27752999999996"/>
    <x v="2"/>
    <x v="2"/>
    <n v="17"/>
    <n v="279.38"/>
    <s v="Store B"/>
    <x v="0"/>
    <n v="0.05"/>
    <s v="Frank"/>
    <n v="4511.9870000000001"/>
    <x v="2"/>
    <x v="2"/>
    <n v="0"/>
    <s v="REG100720"/>
    <s v="Cust 6922"/>
    <n v="30.3"/>
    <x v="414"/>
    <d v="2024-07-20T00:00:00"/>
    <s v="Ryan"/>
  </r>
  <r>
    <d v="2024-05-20T00:00:00"/>
    <n v="5542.7328000000007"/>
    <n v="1108.5465600000002"/>
    <x v="2"/>
    <x v="5"/>
    <n v="16"/>
    <n v="427.68"/>
    <s v="Store A"/>
    <x v="1"/>
    <n v="0.1"/>
    <s v="Carlos"/>
    <n v="6158.5920000000006"/>
    <x v="3"/>
    <x v="3"/>
    <n v="0"/>
    <s v="REG100721"/>
    <s v="Cust 4807"/>
    <n v="18.72"/>
    <x v="510"/>
    <d v="2024-05-29T00:00:00"/>
    <s v="Ryan"/>
  </r>
  <r>
    <d v="2025-05-06T00:00:00"/>
    <n v="3423.0195000000008"/>
    <n v="684.60390000000018"/>
    <x v="2"/>
    <x v="0"/>
    <n v="15"/>
    <n v="281.73"/>
    <s v="Store B"/>
    <x v="0"/>
    <n v="0.1"/>
    <s v="Bob"/>
    <n v="3803.3550000000009"/>
    <x v="2"/>
    <x v="2"/>
    <n v="0"/>
    <s v="REG100722"/>
    <s v="Cust 3368"/>
    <n v="36.869999999999997"/>
    <x v="276"/>
    <d v="2025-05-10T00:00:00"/>
    <s v="Ryan"/>
  </r>
  <r>
    <d v="2023-01-15T00:00:00"/>
    <n v="2775"/>
    <n v="555"/>
    <x v="2"/>
    <x v="2"/>
    <n v="15"/>
    <n v="185"/>
    <s v="Store B"/>
    <x v="0"/>
    <n v="0"/>
    <s v="Alice"/>
    <n v="2775"/>
    <x v="4"/>
    <x v="0"/>
    <n v="0"/>
    <s v="REG100723"/>
    <s v="Cust 2871"/>
    <n v="29.31"/>
    <x v="511"/>
    <d v="2023-01-17T00:00:00"/>
    <s v="Ryan"/>
  </r>
  <r>
    <d v="2024-01-09T00:00:00"/>
    <n v="5860.8198000000002"/>
    <n v="1172.1639600000001"/>
    <x v="3"/>
    <x v="4"/>
    <n v="19"/>
    <n v="380.82"/>
    <s v="Store D"/>
    <x v="0"/>
    <n v="0.1"/>
    <s v="Diana"/>
    <n v="6512.0219999999999"/>
    <x v="2"/>
    <x v="1"/>
    <n v="0"/>
    <s v="REG100724"/>
    <s v="Cust 6229"/>
    <n v="48.73"/>
    <x v="46"/>
    <d v="2024-01-12T00:00:00"/>
    <s v="Cameron"/>
  </r>
  <r>
    <d v="2023-07-12T00:00:00"/>
    <n v="1285.6742999999999"/>
    <n v="257.13486"/>
    <x v="1"/>
    <x v="3"/>
    <n v="4"/>
    <n v="444.87"/>
    <s v="Store B"/>
    <x v="1"/>
    <n v="0.15"/>
    <s v="Carlos"/>
    <n v="1512.558"/>
    <x v="0"/>
    <x v="0"/>
    <n v="0"/>
    <s v="REG100725"/>
    <s v="Cust 4560"/>
    <n v="47.14"/>
    <x v="512"/>
    <d v="2023-07-21T00:00:00"/>
    <s v="Sophie"/>
  </r>
  <r>
    <d v="2025-06-21T00:00:00"/>
    <n v="3732.3158249999988"/>
    <n v="746.46316499999978"/>
    <x v="0"/>
    <x v="3"/>
    <n v="7"/>
    <n v="590.79"/>
    <s v="Store B"/>
    <x v="1"/>
    <n v="0.05"/>
    <s v="Eva"/>
    <n v="3928.7534999999989"/>
    <x v="4"/>
    <x v="0"/>
    <n v="1"/>
    <s v="REG100726"/>
    <s v="Cust 7099"/>
    <n v="41.39"/>
    <x v="513"/>
    <d v="2025-06-26T00:00:00"/>
    <s v="Eric"/>
  </r>
  <r>
    <d v="2024-12-29T00:00:00"/>
    <n v="140.04900000000001"/>
    <n v="28.009800000000002"/>
    <x v="2"/>
    <x v="6"/>
    <n v="5"/>
    <n v="34.58"/>
    <s v="Store A"/>
    <x v="1"/>
    <n v="0.1"/>
    <s v="Frank"/>
    <n v="155.61000000000001"/>
    <x v="1"/>
    <x v="2"/>
    <n v="0"/>
    <s v="REG100727"/>
    <s v="Cust 6333"/>
    <n v="27.1"/>
    <x v="514"/>
    <d v="2025-01-02T00:00:00"/>
    <s v="Ryan"/>
  </r>
  <r>
    <d v="2023-05-23T00:00:00"/>
    <n v="3559.4419499999999"/>
    <n v="711.88839000000007"/>
    <x v="4"/>
    <x v="5"/>
    <n v="9"/>
    <n v="438.22"/>
    <s v="Store D"/>
    <x v="1"/>
    <n v="0.05"/>
    <s v="Bob"/>
    <n v="3746.7809999999999"/>
    <x v="4"/>
    <x v="3"/>
    <n v="0"/>
    <s v="REG100728"/>
    <s v="Cust 4678"/>
    <n v="22.73"/>
    <x v="515"/>
    <d v="2023-05-29T00:00:00"/>
    <s v="Wendy"/>
  </r>
  <r>
    <d v="2024-04-03T00:00:00"/>
    <n v="343.88550000000004"/>
    <n v="68.777100000000004"/>
    <x v="3"/>
    <x v="2"/>
    <n v="5"/>
    <n v="84.91"/>
    <s v="Store A"/>
    <x v="1"/>
    <n v="0.1"/>
    <s v="Carlos"/>
    <n v="382.09500000000003"/>
    <x v="4"/>
    <x v="0"/>
    <n v="1"/>
    <s v="REG100729"/>
    <s v="Cust 6657"/>
    <n v="29.06"/>
    <x v="516"/>
    <d v="2024-04-09T00:00:00"/>
    <s v="Cameron"/>
  </r>
  <r>
    <d v="2024-01-17T00:00:00"/>
    <n v="1826.3636999999999"/>
    <n v="365.27274"/>
    <x v="0"/>
    <x v="0"/>
    <n v="7"/>
    <n v="322.11"/>
    <s v="Store C"/>
    <x v="0"/>
    <n v="0.1"/>
    <s v="Diana"/>
    <n v="2029.2929999999999"/>
    <x v="3"/>
    <x v="1"/>
    <n v="0"/>
    <s v="REG100730"/>
    <s v="Cust 1267"/>
    <n v="19.91"/>
    <x v="517"/>
    <d v="2024-01-27T00:00:00"/>
    <s v="Eric"/>
  </r>
  <r>
    <d v="2025-04-05T00:00:00"/>
    <n v="375.77520000000004"/>
    <n v="75.155040000000014"/>
    <x v="3"/>
    <x v="4"/>
    <n v="2"/>
    <n v="231.96"/>
    <s v="Store B"/>
    <x v="1"/>
    <n v="0.1"/>
    <s v="Alice"/>
    <n v="417.52800000000002"/>
    <x v="3"/>
    <x v="3"/>
    <n v="1"/>
    <s v="REG100731"/>
    <s v="Cust 8150"/>
    <n v="32.659999999999997"/>
    <x v="518"/>
    <d v="2025-04-14T00:00:00"/>
    <s v="Cameron"/>
  </r>
  <r>
    <d v="2025-04-17T00:00:00"/>
    <n v="2623.4336249999992"/>
    <n v="524.68672499999991"/>
    <x v="3"/>
    <x v="3"/>
    <n v="15"/>
    <n v="242.07"/>
    <s v="Store A"/>
    <x v="0"/>
    <n v="0.15"/>
    <s v="Bob"/>
    <n v="3086.392499999999"/>
    <x v="2"/>
    <x v="3"/>
    <n v="0"/>
    <s v="REG100732"/>
    <s v="Cust 3668"/>
    <n v="19.18"/>
    <x v="313"/>
    <d v="2025-04-23T00:00:00"/>
    <s v="Cameron"/>
  </r>
  <r>
    <d v="2024-10-12T00:00:00"/>
    <n v="86.676099999999991"/>
    <n v="17.33522"/>
    <x v="3"/>
    <x v="0"/>
    <n v="2"/>
    <n v="48.02"/>
    <s v="Store C"/>
    <x v="1"/>
    <n v="0.05"/>
    <s v="Carlos"/>
    <n v="91.238"/>
    <x v="3"/>
    <x v="0"/>
    <n v="1"/>
    <s v="REG100733"/>
    <s v="Cust 4803"/>
    <n v="25.81"/>
    <x v="519"/>
    <d v="2024-10-15T00:00:00"/>
    <s v="Cameron"/>
  </r>
  <r>
    <d v="2024-07-27T00:00:00"/>
    <n v="432.76679999999999"/>
    <n v="86.553359999999998"/>
    <x v="3"/>
    <x v="3"/>
    <n v="1"/>
    <n v="534.28"/>
    <s v="Store D"/>
    <x v="0"/>
    <n v="0.1"/>
    <s v="Eva"/>
    <n v="480.85199999999998"/>
    <x v="0"/>
    <x v="0"/>
    <n v="0"/>
    <s v="REG100734"/>
    <s v="Cust 8633"/>
    <n v="31.3"/>
    <x v="480"/>
    <d v="2024-08-01T00:00:00"/>
    <s v="Cameron"/>
  </r>
  <r>
    <d v="2025-01-10T00:00:00"/>
    <n v="212.74012500000001"/>
    <n v="42.548025000000003"/>
    <x v="4"/>
    <x v="5"/>
    <n v="3"/>
    <n v="98.15"/>
    <s v="Store D"/>
    <x v="0"/>
    <n v="0.15"/>
    <s v="Diana"/>
    <n v="250.2825"/>
    <x v="3"/>
    <x v="1"/>
    <n v="0"/>
    <s v="REG100735"/>
    <s v="Cust 7235"/>
    <n v="46.37"/>
    <x v="520"/>
    <d v="2025-01-18T00:00:00"/>
    <s v="Wendy"/>
  </r>
  <r>
    <d v="2024-07-25T00:00:00"/>
    <n v="669.83550000000002"/>
    <n v="133.96710000000002"/>
    <x v="1"/>
    <x v="3"/>
    <n v="12"/>
    <n v="61.85"/>
    <s v="Store D"/>
    <x v="0"/>
    <n v="0.05"/>
    <s v="Alice"/>
    <n v="705.09"/>
    <x v="2"/>
    <x v="3"/>
    <n v="1"/>
    <s v="REG100736"/>
    <s v="Cust 8992"/>
    <n v="24.34"/>
    <x v="245"/>
    <d v="2024-07-31T00:00:00"/>
    <s v="Sophie"/>
  </r>
  <r>
    <d v="2024-05-22T00:00:00"/>
    <n v="1304.1324000000002"/>
    <n v="260.82648000000006"/>
    <x v="4"/>
    <x v="5"/>
    <n v="6"/>
    <n v="268.33999999999997"/>
    <s v="Store A"/>
    <x v="0"/>
    <n v="0.1"/>
    <s v="Diana"/>
    <n v="1449.0360000000001"/>
    <x v="3"/>
    <x v="2"/>
    <n v="1"/>
    <s v="REG100737"/>
    <s v="Cust 1889"/>
    <n v="35.69"/>
    <x v="521"/>
    <d v="2024-05-25T00:00:00"/>
    <s v="Wendy"/>
  </r>
  <r>
    <d v="2024-08-10T00:00:00"/>
    <n v="1909.7982999999999"/>
    <n v="381.95965999999999"/>
    <x v="3"/>
    <x v="2"/>
    <n v="4"/>
    <n v="529.03"/>
    <s v="Store B"/>
    <x v="0"/>
    <n v="0.05"/>
    <s v="Carlos"/>
    <n v="2010.3140000000001"/>
    <x v="0"/>
    <x v="1"/>
    <n v="0"/>
    <s v="REG100738"/>
    <s v="Cust 5411"/>
    <n v="25.96"/>
    <x v="218"/>
    <d v="2024-08-20T00:00:00"/>
    <s v="Cameron"/>
  </r>
  <r>
    <d v="2023-04-27T00:00:00"/>
    <n v="193.71259999999998"/>
    <n v="38.742519999999999"/>
    <x v="4"/>
    <x v="5"/>
    <n v="2"/>
    <n v="107.32"/>
    <s v="Store B"/>
    <x v="1"/>
    <n v="0.05"/>
    <s v="Alice"/>
    <n v="203.90799999999999"/>
    <x v="2"/>
    <x v="3"/>
    <n v="0"/>
    <s v="REG100739"/>
    <s v="Cust 3411"/>
    <n v="47.33"/>
    <x v="178"/>
    <d v="2023-04-29T00:00:00"/>
    <s v="Wendy"/>
  </r>
  <r>
    <d v="2023-06-21T00:00:00"/>
    <n v="452.11639999999994"/>
    <n v="90.423279999999991"/>
    <x v="1"/>
    <x v="5"/>
    <n v="1"/>
    <n v="500.96"/>
    <s v="Store C"/>
    <x v="0"/>
    <n v="0.05"/>
    <s v="Frank"/>
    <n v="475.91199999999998"/>
    <x v="0"/>
    <x v="2"/>
    <n v="0"/>
    <s v="REG100740"/>
    <s v="Cust 7449"/>
    <n v="42.1"/>
    <x v="522"/>
    <d v="2023-06-25T00:00:00"/>
    <s v="Sophie"/>
  </r>
  <r>
    <d v="2024-10-11T00:00:00"/>
    <n v="8434.9996499999997"/>
    <n v="1686.9999299999999"/>
    <x v="4"/>
    <x v="6"/>
    <n v="17"/>
    <n v="549.78"/>
    <s v="Store B"/>
    <x v="0"/>
    <n v="0.05"/>
    <s v="Alice"/>
    <n v="8878.9470000000001"/>
    <x v="2"/>
    <x v="3"/>
    <n v="1"/>
    <s v="REG100741"/>
    <s v="Cust 4788"/>
    <n v="44.42"/>
    <x v="395"/>
    <d v="2024-10-14T00:00:00"/>
    <s v="Wendy"/>
  </r>
  <r>
    <d v="2025-01-26T00:00:00"/>
    <n v="158.41582499999998"/>
    <n v="31.683164999999999"/>
    <x v="2"/>
    <x v="0"/>
    <n v="3"/>
    <n v="58.51"/>
    <s v="Store A"/>
    <x v="1"/>
    <n v="0.05"/>
    <s v="Carlos"/>
    <n v="166.7535"/>
    <x v="4"/>
    <x v="2"/>
    <n v="0"/>
    <s v="REG100742"/>
    <s v="Cust 3564"/>
    <n v="23.57"/>
    <x v="523"/>
    <d v="2025-01-30T00:00:00"/>
    <s v="Ryan"/>
  </r>
  <r>
    <d v="2024-06-18T00:00:00"/>
    <n v="6941.1816000000008"/>
    <n v="1388.2363200000002"/>
    <x v="1"/>
    <x v="3"/>
    <n v="17"/>
    <n v="504.08"/>
    <s v="Store A"/>
    <x v="0"/>
    <n v="0.1"/>
    <s v="Diana"/>
    <n v="7712.4240000000009"/>
    <x v="0"/>
    <x v="1"/>
    <n v="0"/>
    <s v="REG100743"/>
    <s v="Cust 8018"/>
    <n v="26.47"/>
    <x v="524"/>
    <d v="2024-06-26T00:00:00"/>
    <s v="Sophie"/>
  </r>
  <r>
    <d v="2025-06-18T00:00:00"/>
    <n v="7133.71"/>
    <n v="1426.7420000000002"/>
    <x v="0"/>
    <x v="4"/>
    <n v="17"/>
    <n v="419.63"/>
    <s v="Store D"/>
    <x v="0"/>
    <n v="0"/>
    <s v="Alice"/>
    <n v="7133.71"/>
    <x v="4"/>
    <x v="1"/>
    <n v="0"/>
    <s v="REG100744"/>
    <s v="Cust 3045"/>
    <n v="17.399999999999999"/>
    <x v="324"/>
    <d v="2025-06-24T00:00:00"/>
    <s v="Eric"/>
  </r>
  <r>
    <d v="2024-10-29T00:00:00"/>
    <n v="482.58479999999997"/>
    <n v="96.516959999999997"/>
    <x v="1"/>
    <x v="0"/>
    <n v="2"/>
    <n v="267.36"/>
    <s v="Store B"/>
    <x v="0"/>
    <n v="0.05"/>
    <s v="Frank"/>
    <n v="507.98399999999998"/>
    <x v="0"/>
    <x v="3"/>
    <n v="0"/>
    <s v="REG100745"/>
    <s v="Cust 7020"/>
    <n v="21.36"/>
    <x v="525"/>
    <d v="2024-11-07T00:00:00"/>
    <s v="Sophie"/>
  </r>
  <r>
    <d v="2025-04-08T00:00:00"/>
    <n v="596.12"/>
    <n v="119.224"/>
    <x v="3"/>
    <x v="1"/>
    <n v="2"/>
    <n v="298.06"/>
    <s v="Store B"/>
    <x v="0"/>
    <n v="0"/>
    <s v="Alice"/>
    <n v="596.12"/>
    <x v="3"/>
    <x v="1"/>
    <n v="1"/>
    <s v="REG100746"/>
    <s v="Cust 1905"/>
    <n v="35.369999999999997"/>
    <x v="409"/>
    <d v="2025-04-14T00:00:00"/>
    <s v="Cameron"/>
  </r>
  <r>
    <d v="2023-01-31T00:00:00"/>
    <n v="1560.0705249999999"/>
    <n v="312.01410499999997"/>
    <x v="3"/>
    <x v="5"/>
    <n v="13"/>
    <n v="132.97"/>
    <s v="Store B"/>
    <x v="0"/>
    <n v="0.05"/>
    <s v="Frank"/>
    <n v="1642.1795"/>
    <x v="3"/>
    <x v="2"/>
    <n v="0"/>
    <s v="REG100747"/>
    <s v="Cust 4592"/>
    <n v="42.87"/>
    <x v="526"/>
    <d v="2023-02-05T00:00:00"/>
    <s v="Cameron"/>
  </r>
  <r>
    <d v="2024-03-15T00:00:00"/>
    <n v="5401.0152000000007"/>
    <n v="1080.2030400000001"/>
    <x v="4"/>
    <x v="3"/>
    <n v="14"/>
    <n v="476.28"/>
    <s v="Store A"/>
    <x v="0"/>
    <n v="0.1"/>
    <s v="Eva"/>
    <n v="6001.1280000000006"/>
    <x v="2"/>
    <x v="0"/>
    <n v="0"/>
    <s v="REG100748"/>
    <s v="Cust 5482"/>
    <n v="22.11"/>
    <x v="107"/>
    <d v="2024-03-20T00:00:00"/>
    <s v="Wendy"/>
  </r>
  <r>
    <d v="2023-06-23T00:00:00"/>
    <n v="4258.0671999999986"/>
    <n v="851.61343999999974"/>
    <x v="2"/>
    <x v="5"/>
    <n v="16"/>
    <n v="294.88"/>
    <s v="Store B"/>
    <x v="1"/>
    <n v="0.05"/>
    <s v="Frank"/>
    <n v="4482.1759999999986"/>
    <x v="4"/>
    <x v="3"/>
    <n v="1"/>
    <s v="REG100749"/>
    <s v="Cust 1947"/>
    <n v="17.190000000000001"/>
    <x v="366"/>
    <d v="2023-06-27T00:00:00"/>
    <s v="Ryan"/>
  </r>
  <r>
    <d v="2024-06-14T00:00:00"/>
    <n v="8182.0018250000003"/>
    <n v="1636.4003650000002"/>
    <x v="2"/>
    <x v="4"/>
    <n v="19"/>
    <n v="596.03"/>
    <s v="Store C"/>
    <x v="1"/>
    <n v="0.15"/>
    <s v="Eva"/>
    <n v="9625.8845000000001"/>
    <x v="3"/>
    <x v="3"/>
    <n v="0"/>
    <s v="REG100750"/>
    <s v="Cust 2801"/>
    <n v="31.95"/>
    <x v="392"/>
    <d v="2024-06-23T00:00:00"/>
    <s v="Ryan"/>
  </r>
  <r>
    <d v="2023-11-30T00:00:00"/>
    <n v="1094.4000000000001"/>
    <n v="218.88000000000002"/>
    <x v="4"/>
    <x v="2"/>
    <n v="6"/>
    <n v="182.4"/>
    <s v="Store B"/>
    <x v="0"/>
    <n v="0"/>
    <s v="Alice"/>
    <n v="1094.4000000000001"/>
    <x v="0"/>
    <x v="0"/>
    <n v="1"/>
    <s v="REG100751"/>
    <s v="Cust 8206"/>
    <n v="49.49"/>
    <x v="18"/>
    <d v="2023-12-09T00:00:00"/>
    <s v="Wendy"/>
  </r>
  <r>
    <d v="2024-04-21T00:00:00"/>
    <n v="3618.57375"/>
    <n v="723.71475000000009"/>
    <x v="2"/>
    <x v="0"/>
    <n v="10"/>
    <n v="400.95"/>
    <s v="Store C"/>
    <x v="1"/>
    <n v="0.05"/>
    <s v="Carlos"/>
    <n v="3809.0250000000001"/>
    <x v="0"/>
    <x v="3"/>
    <n v="0"/>
    <s v="REG100752"/>
    <s v="Cust 5277"/>
    <n v="17.46"/>
    <x v="93"/>
    <d v="2024-04-30T00:00:00"/>
    <s v="Ryan"/>
  </r>
  <r>
    <d v="2023-08-06T00:00:00"/>
    <n v="2360.5970499999999"/>
    <n v="472.11941000000002"/>
    <x v="0"/>
    <x v="2"/>
    <n v="7"/>
    <n v="373.66"/>
    <s v="Store B"/>
    <x v="1"/>
    <n v="0.05"/>
    <s v="Alice"/>
    <n v="2484.8389999999999"/>
    <x v="1"/>
    <x v="1"/>
    <n v="0"/>
    <s v="REG100753"/>
    <s v="Cust 8900"/>
    <n v="46.33"/>
    <x v="23"/>
    <d v="2023-08-12T00:00:00"/>
    <s v="Eric"/>
  </r>
  <r>
    <d v="2024-06-21T00:00:00"/>
    <n v="1798.75045"/>
    <n v="359.75009"/>
    <x v="4"/>
    <x v="2"/>
    <n v="7"/>
    <n v="355.66"/>
    <s v="Store C"/>
    <x v="1"/>
    <n v="0.15"/>
    <s v="Carlos"/>
    <n v="2116.1770000000001"/>
    <x v="1"/>
    <x v="0"/>
    <n v="1"/>
    <s v="REG100754"/>
    <s v="Cust 9387"/>
    <n v="28.77"/>
    <x v="378"/>
    <d v="2024-06-27T00:00:00"/>
    <s v="Wendy"/>
  </r>
  <r>
    <d v="2025-03-16T00:00:00"/>
    <n v="2530.2132000000001"/>
    <n v="506.04264000000006"/>
    <x v="2"/>
    <x v="5"/>
    <n v="12"/>
    <n v="260.31"/>
    <s v="Store C"/>
    <x v="1"/>
    <n v="0.1"/>
    <s v="Bob"/>
    <n v="2811.348"/>
    <x v="4"/>
    <x v="1"/>
    <n v="0"/>
    <s v="REG100755"/>
    <s v="Cust 7013"/>
    <n v="14.58"/>
    <x v="527"/>
    <d v="2025-03-24T00:00:00"/>
    <s v="Ryan"/>
  </r>
  <r>
    <d v="2024-04-20T00:00:00"/>
    <n v="2680.4027499999997"/>
    <n v="536.08055000000002"/>
    <x v="4"/>
    <x v="5"/>
    <n v="10"/>
    <n v="370.99"/>
    <s v="Store B"/>
    <x v="1"/>
    <n v="0.15"/>
    <s v="Frank"/>
    <n v="3153.415"/>
    <x v="0"/>
    <x v="1"/>
    <n v="1"/>
    <s v="REG100756"/>
    <s v="Cust 4868"/>
    <n v="11.16"/>
    <x v="528"/>
    <d v="2024-04-25T00:00:00"/>
    <s v="Wendy"/>
  </r>
  <r>
    <d v="2024-12-20T00:00:00"/>
    <n v="888.92640000000006"/>
    <n v="177.78528000000003"/>
    <x v="0"/>
    <x v="0"/>
    <n v="2"/>
    <n v="548.72"/>
    <s v="Store A"/>
    <x v="0"/>
    <n v="0.1"/>
    <s v="Frank"/>
    <n v="987.69600000000003"/>
    <x v="2"/>
    <x v="0"/>
    <n v="1"/>
    <s v="REG100757"/>
    <s v="Cust 5239"/>
    <n v="26.35"/>
    <x v="529"/>
    <d v="2024-12-29T00:00:00"/>
    <s v="Eric"/>
  </r>
  <r>
    <d v="2023-08-22T00:00:00"/>
    <n v="2748.24"/>
    <n v="549.64800000000002"/>
    <x v="2"/>
    <x v="6"/>
    <n v="8"/>
    <n v="343.53"/>
    <s v="Store A"/>
    <x v="0"/>
    <n v="0"/>
    <s v="Frank"/>
    <n v="2748.24"/>
    <x v="4"/>
    <x v="3"/>
    <n v="0"/>
    <s v="REG100758"/>
    <s v="Cust 4703"/>
    <n v="16.100000000000001"/>
    <x v="530"/>
    <d v="2023-09-01T00:00:00"/>
    <s v="Ryan"/>
  </r>
  <r>
    <d v="2023-03-04T00:00:00"/>
    <n v="4647.2211500000003"/>
    <n v="929.44423000000006"/>
    <x v="2"/>
    <x v="5"/>
    <n v="13"/>
    <n v="494.78"/>
    <s v="Store A"/>
    <x v="0"/>
    <n v="0.15"/>
    <s v="Diana"/>
    <n v="5467.3190000000004"/>
    <x v="4"/>
    <x v="0"/>
    <n v="0"/>
    <s v="REG100759"/>
    <s v="Cust 7224"/>
    <n v="5.85"/>
    <x v="332"/>
    <d v="2023-03-13T00:00:00"/>
    <s v="Ryan"/>
  </r>
  <r>
    <d v="2024-06-24T00:00:00"/>
    <n v="266.95980000000003"/>
    <n v="53.391960000000012"/>
    <x v="2"/>
    <x v="0"/>
    <n v="9"/>
    <n v="36.619999999999997"/>
    <s v="Store B"/>
    <x v="0"/>
    <n v="0.1"/>
    <s v="Eva"/>
    <n v="296.62200000000001"/>
    <x v="3"/>
    <x v="0"/>
    <n v="1"/>
    <s v="REG100760"/>
    <s v="Cust 4751"/>
    <n v="29.9"/>
    <x v="503"/>
    <d v="2024-07-01T00:00:00"/>
    <s v="Ryan"/>
  </r>
  <r>
    <d v="2024-12-09T00:00:00"/>
    <n v="3026.8"/>
    <n v="605.36"/>
    <x v="0"/>
    <x v="5"/>
    <n v="14"/>
    <n v="216.2"/>
    <s v="Store C"/>
    <x v="0"/>
    <n v="0"/>
    <s v="Diana"/>
    <n v="3026.8"/>
    <x v="0"/>
    <x v="2"/>
    <n v="0"/>
    <s v="REG100761"/>
    <s v="Cust 1201"/>
    <n v="14.39"/>
    <x v="531"/>
    <d v="2024-12-13T00:00:00"/>
    <s v="Eric"/>
  </r>
  <r>
    <d v="2024-07-04T00:00:00"/>
    <n v="1280.548225"/>
    <n v="256.109645"/>
    <x v="4"/>
    <x v="0"/>
    <n v="11"/>
    <n v="128.99"/>
    <s v="Store A"/>
    <x v="1"/>
    <n v="0.05"/>
    <s v="Diana"/>
    <n v="1347.9455"/>
    <x v="3"/>
    <x v="1"/>
    <n v="0"/>
    <s v="REG100762"/>
    <s v="Cust 9584"/>
    <n v="38.58"/>
    <x v="532"/>
    <d v="2024-07-07T00:00:00"/>
    <s v="Wendy"/>
  </r>
  <r>
    <d v="2025-03-04T00:00:00"/>
    <n v="1455.266725"/>
    <n v="291.05334499999998"/>
    <x v="0"/>
    <x v="1"/>
    <n v="11"/>
    <n v="183.11"/>
    <s v="Store B"/>
    <x v="1"/>
    <n v="0.15"/>
    <s v="Frank"/>
    <n v="1712.0785000000001"/>
    <x v="1"/>
    <x v="0"/>
    <n v="0"/>
    <s v="REG100763"/>
    <s v="Cust 6980"/>
    <n v="41.83"/>
    <x v="155"/>
    <d v="2025-03-06T00:00:00"/>
    <s v="Eric"/>
  </r>
  <r>
    <d v="2024-01-22T00:00:00"/>
    <n v="2759.3486249999996"/>
    <n v="551.8697249999999"/>
    <x v="0"/>
    <x v="6"/>
    <n v="11"/>
    <n v="277.95"/>
    <s v="Store A"/>
    <x v="1"/>
    <n v="0.05"/>
    <s v="Frank"/>
    <n v="2904.5774999999999"/>
    <x v="1"/>
    <x v="2"/>
    <n v="0"/>
    <s v="REG100764"/>
    <s v="Cust 2835"/>
    <n v="44.04"/>
    <x v="115"/>
    <d v="2024-01-29T00:00:00"/>
    <s v="Eric"/>
  </r>
  <r>
    <d v="2025-03-12T00:00:00"/>
    <n v="7000.8008"/>
    <n v="1400.1601600000001"/>
    <x v="0"/>
    <x v="2"/>
    <n v="14"/>
    <n v="554.08000000000004"/>
    <s v="Store A"/>
    <x v="1"/>
    <n v="0.05"/>
    <s v="Diana"/>
    <n v="7369.2640000000001"/>
    <x v="4"/>
    <x v="3"/>
    <n v="0"/>
    <s v="REG100765"/>
    <s v="Cust 4286"/>
    <n v="36.72"/>
    <x v="533"/>
    <d v="2025-03-21T00:00:00"/>
    <s v="Eric"/>
  </r>
  <r>
    <d v="2025-02-28T00:00:00"/>
    <n v="315.69450000000001"/>
    <n v="63.138900000000007"/>
    <x v="3"/>
    <x v="1"/>
    <n v="15"/>
    <n v="23.32"/>
    <s v="Store A"/>
    <x v="1"/>
    <n v="0.05"/>
    <s v="Carlos"/>
    <n v="332.31"/>
    <x v="3"/>
    <x v="3"/>
    <n v="0"/>
    <s v="REG100766"/>
    <s v="Cust 7876"/>
    <n v="25.27"/>
    <x v="376"/>
    <d v="2025-03-03T00:00:00"/>
    <s v="Cameron"/>
  </r>
  <r>
    <d v="2024-05-23T00:00:00"/>
    <n v="75.665599999999998"/>
    <n v="15.13312"/>
    <x v="0"/>
    <x v="2"/>
    <n v="4"/>
    <n v="20.96"/>
    <s v="Store D"/>
    <x v="0"/>
    <n v="0.05"/>
    <s v="Bob"/>
    <n v="79.647999999999996"/>
    <x v="0"/>
    <x v="0"/>
    <n v="1"/>
    <s v="REG100767"/>
    <s v="Cust 5926"/>
    <n v="33.67"/>
    <x v="24"/>
    <d v="2024-05-31T00:00:00"/>
    <s v="Eric"/>
  </r>
  <r>
    <d v="2023-09-17T00:00:00"/>
    <n v="2149.05105"/>
    <n v="429.81021000000004"/>
    <x v="2"/>
    <x v="2"/>
    <n v="18"/>
    <n v="132.29"/>
    <s v="Store A"/>
    <x v="0"/>
    <n v="0.05"/>
    <s v="Diana"/>
    <n v="2262.1590000000001"/>
    <x v="2"/>
    <x v="3"/>
    <n v="1"/>
    <s v="REG100768"/>
    <s v="Cust 4478"/>
    <n v="24.3"/>
    <x v="121"/>
    <d v="2023-09-20T00:00:00"/>
    <s v="Ryan"/>
  </r>
  <r>
    <d v="2023-06-13T00:00:00"/>
    <n v="3072.6134999999999"/>
    <n v="614.52269999999999"/>
    <x v="0"/>
    <x v="1"/>
    <n v="19"/>
    <n v="199.65"/>
    <s v="Store A"/>
    <x v="1"/>
    <n v="0.1"/>
    <s v="Carlos"/>
    <n v="3414.0149999999999"/>
    <x v="4"/>
    <x v="1"/>
    <n v="1"/>
    <s v="REG100769"/>
    <s v="Cust 4711"/>
    <n v="35.119999999999997"/>
    <x v="343"/>
    <d v="2023-06-18T00:00:00"/>
    <s v="Eric"/>
  </r>
  <r>
    <d v="2025-05-31T00:00:00"/>
    <n v="4912"/>
    <n v="982.40000000000009"/>
    <x v="4"/>
    <x v="1"/>
    <n v="16"/>
    <n v="307"/>
    <s v="Store A"/>
    <x v="0"/>
    <n v="0"/>
    <s v="Bob"/>
    <n v="4912"/>
    <x v="3"/>
    <x v="0"/>
    <n v="0"/>
    <s v="REG100770"/>
    <s v="Cust 9227"/>
    <n v="11.99"/>
    <x v="534"/>
    <d v="2025-06-02T00:00:00"/>
    <s v="Wendy"/>
  </r>
  <r>
    <d v="2023-10-11T00:00:00"/>
    <n v="228.25942499999999"/>
    <n v="45.651885"/>
    <x v="0"/>
    <x v="5"/>
    <n v="1"/>
    <n v="315.93"/>
    <s v="Store C"/>
    <x v="1"/>
    <n v="0.15"/>
    <s v="Alice"/>
    <n v="268.54050000000001"/>
    <x v="2"/>
    <x v="1"/>
    <n v="0"/>
    <s v="REG100771"/>
    <s v="Cust 2830"/>
    <n v="43.2"/>
    <x v="535"/>
    <d v="2023-10-14T00:00:00"/>
    <s v="Eric"/>
  </r>
  <r>
    <d v="2023-08-07T00:00:00"/>
    <n v="2984.85"/>
    <n v="596.97"/>
    <x v="4"/>
    <x v="6"/>
    <n v="5"/>
    <n v="596.97"/>
    <s v="Store A"/>
    <x v="1"/>
    <n v="0"/>
    <s v="Eva"/>
    <n v="2984.85"/>
    <x v="4"/>
    <x v="1"/>
    <n v="0"/>
    <s v="REG100772"/>
    <s v="Cust 3767"/>
    <n v="14.43"/>
    <x v="536"/>
    <d v="2023-08-14T00:00:00"/>
    <s v="Wendy"/>
  </r>
  <r>
    <d v="2023-12-03T00:00:00"/>
    <n v="5783.8156499999996"/>
    <n v="1156.76313"/>
    <x v="2"/>
    <x v="0"/>
    <n v="17"/>
    <n v="376.98"/>
    <s v="Store A"/>
    <x v="1"/>
    <n v="0.05"/>
    <s v="Carlos"/>
    <n v="6088.2269999999999"/>
    <x v="3"/>
    <x v="3"/>
    <n v="1"/>
    <s v="REG100773"/>
    <s v="Cust 1561"/>
    <n v="38.479999999999997"/>
    <x v="388"/>
    <d v="2023-12-05T00:00:00"/>
    <s v="Ryan"/>
  </r>
  <r>
    <d v="2024-08-01T00:00:00"/>
    <n v="1013.9904"/>
    <n v="202.79808000000003"/>
    <x v="3"/>
    <x v="6"/>
    <n v="6"/>
    <n v="208.64"/>
    <s v="Store D"/>
    <x v="1"/>
    <n v="0.1"/>
    <s v="Frank"/>
    <n v="1126.6559999999999"/>
    <x v="2"/>
    <x v="0"/>
    <n v="0"/>
    <s v="REG100774"/>
    <s v="Cust 8569"/>
    <n v="49.93"/>
    <x v="537"/>
    <d v="2024-08-04T00:00:00"/>
    <s v="Cameron"/>
  </r>
  <r>
    <d v="2023-03-20T00:00:00"/>
    <n v="2154.7399999999998"/>
    <n v="430.94799999999998"/>
    <x v="0"/>
    <x v="3"/>
    <n v="7"/>
    <n v="307.82"/>
    <s v="Store B"/>
    <x v="0"/>
    <n v="0"/>
    <s v="Eva"/>
    <n v="2154.7399999999998"/>
    <x v="3"/>
    <x v="2"/>
    <n v="1"/>
    <s v="REG100775"/>
    <s v="Cust 1254"/>
    <n v="14"/>
    <x v="538"/>
    <d v="2023-03-27T00:00:00"/>
    <s v="Eric"/>
  </r>
  <r>
    <d v="2025-06-30T00:00:00"/>
    <n v="4487.4465999999993"/>
    <n v="897.48931999999991"/>
    <x v="3"/>
    <x v="5"/>
    <n v="13"/>
    <n v="382.48"/>
    <s v="Store D"/>
    <x v="1"/>
    <n v="0.05"/>
    <s v="Eva"/>
    <n v="4723.6279999999997"/>
    <x v="2"/>
    <x v="2"/>
    <n v="0"/>
    <s v="REG100776"/>
    <s v="Cust 8556"/>
    <n v="7.59"/>
    <x v="148"/>
    <d v="2025-07-04T00:00:00"/>
    <s v="Cameron"/>
  </r>
  <r>
    <d v="2025-02-05T00:00:00"/>
    <n v="1692.27"/>
    <n v="338.45400000000001"/>
    <x v="1"/>
    <x v="2"/>
    <n v="9"/>
    <n v="188.03"/>
    <s v="Store B"/>
    <x v="1"/>
    <n v="0"/>
    <s v="Frank"/>
    <n v="1692.27"/>
    <x v="4"/>
    <x v="0"/>
    <n v="0"/>
    <s v="REG100777"/>
    <s v="Cust 7204"/>
    <n v="11.44"/>
    <x v="317"/>
    <d v="2025-02-07T00:00:00"/>
    <s v="Sophie"/>
  </r>
  <r>
    <d v="2024-05-19T00:00:00"/>
    <n v="2925.3230250000001"/>
    <n v="585.06460500000003"/>
    <x v="0"/>
    <x v="2"/>
    <n v="17"/>
    <n v="238.17"/>
    <s v="Store D"/>
    <x v="0"/>
    <n v="0.15"/>
    <s v="Frank"/>
    <n v="3441.5565000000001"/>
    <x v="4"/>
    <x v="0"/>
    <n v="0"/>
    <s v="REG100778"/>
    <s v="Cust 7725"/>
    <n v="21.64"/>
    <x v="539"/>
    <d v="2024-05-29T00:00:00"/>
    <s v="Eric"/>
  </r>
  <r>
    <d v="2023-03-04T00:00:00"/>
    <n v="3650.7509999999993"/>
    <n v="730.15019999999993"/>
    <x v="2"/>
    <x v="6"/>
    <n v="10"/>
    <n v="450.71"/>
    <s v="Store B"/>
    <x v="1"/>
    <n v="0.1"/>
    <s v="Bob"/>
    <n v="4056.389999999999"/>
    <x v="1"/>
    <x v="1"/>
    <n v="0"/>
    <s v="REG100779"/>
    <s v="Cust 9210"/>
    <n v="21.31"/>
    <x v="332"/>
    <d v="2023-03-12T00:00:00"/>
    <s v="Ryan"/>
  </r>
  <r>
    <d v="2023-01-22T00:00:00"/>
    <n v="669.64319999999998"/>
    <n v="133.92864"/>
    <x v="3"/>
    <x v="4"/>
    <n v="2"/>
    <n v="413.36"/>
    <s v="Store D"/>
    <x v="1"/>
    <n v="0.1"/>
    <s v="Alice"/>
    <n v="744.048"/>
    <x v="0"/>
    <x v="1"/>
    <n v="1"/>
    <s v="REG100780"/>
    <s v="Cust 9085"/>
    <n v="41.69"/>
    <x v="229"/>
    <d v="2023-01-24T00:00:00"/>
    <s v="Cameron"/>
  </r>
  <r>
    <d v="2023-03-20T00:00:00"/>
    <n v="7755.4594999999999"/>
    <n v="1551.0919000000001"/>
    <x v="1"/>
    <x v="1"/>
    <n v="20"/>
    <n v="536.71"/>
    <s v="Store B"/>
    <x v="1"/>
    <n v="0.15"/>
    <s v="Carlos"/>
    <n v="9124.07"/>
    <x v="3"/>
    <x v="1"/>
    <n v="0"/>
    <s v="REG100781"/>
    <s v="Cust 4937"/>
    <n v="41.42"/>
    <x v="538"/>
    <d v="2023-03-25T00:00:00"/>
    <s v="Sophie"/>
  </r>
  <r>
    <d v="2024-06-05T00:00:00"/>
    <n v="931.47024999999985"/>
    <n v="186.29404999999997"/>
    <x v="4"/>
    <x v="1"/>
    <n v="5"/>
    <n v="206.42"/>
    <s v="Store D"/>
    <x v="1"/>
    <n v="0.05"/>
    <s v="Alice"/>
    <n v="980.49499999999989"/>
    <x v="3"/>
    <x v="2"/>
    <n v="0"/>
    <s v="REG100782"/>
    <s v="Cust 3606"/>
    <n v="35.51"/>
    <x v="410"/>
    <d v="2024-06-13T00:00:00"/>
    <s v="Wendy"/>
  </r>
  <r>
    <d v="2024-07-09T00:00:00"/>
    <n v="742.23869999999988"/>
    <n v="148.44773999999998"/>
    <x v="0"/>
    <x v="6"/>
    <n v="4"/>
    <n v="256.83"/>
    <s v="Store A"/>
    <x v="0"/>
    <n v="0.15"/>
    <s v="Carlos"/>
    <n v="873.22199999999987"/>
    <x v="4"/>
    <x v="3"/>
    <n v="1"/>
    <s v="REG100783"/>
    <s v="Cust 5865"/>
    <n v="44.72"/>
    <x v="540"/>
    <d v="2024-07-17T00:00:00"/>
    <s v="Eric"/>
  </r>
  <r>
    <d v="2025-03-08T00:00:00"/>
    <n v="247.04"/>
    <n v="49.408000000000001"/>
    <x v="1"/>
    <x v="4"/>
    <n v="1"/>
    <n v="247.04"/>
    <s v="Store C"/>
    <x v="0"/>
    <n v="0"/>
    <s v="Bob"/>
    <n v="247.04"/>
    <x v="2"/>
    <x v="0"/>
    <n v="0"/>
    <s v="REG100784"/>
    <s v="Cust 7195"/>
    <n v="26.86"/>
    <x v="251"/>
    <d v="2025-03-13T00:00:00"/>
    <s v="Sophie"/>
  </r>
  <r>
    <d v="2025-06-21T00:00:00"/>
    <n v="1264.47615"/>
    <n v="252.89523"/>
    <x v="1"/>
    <x v="5"/>
    <n v="3"/>
    <n v="583.38"/>
    <s v="Store B"/>
    <x v="1"/>
    <n v="0.15"/>
    <s v="Diana"/>
    <n v="1487.6189999999999"/>
    <x v="4"/>
    <x v="2"/>
    <n v="1"/>
    <s v="REG100785"/>
    <s v="Cust 6113"/>
    <n v="30.12"/>
    <x v="513"/>
    <d v="2025-06-30T00:00:00"/>
    <s v="Sophie"/>
  </r>
  <r>
    <d v="2025-06-28T00:00:00"/>
    <n v="3206.4116499999991"/>
    <n v="641.28232999999989"/>
    <x v="2"/>
    <x v="5"/>
    <n v="13"/>
    <n v="341.38"/>
    <s v="Store C"/>
    <x v="1"/>
    <n v="0.15"/>
    <s v="Alice"/>
    <n v="3772.2489999999989"/>
    <x v="4"/>
    <x v="3"/>
    <n v="0"/>
    <s v="REG100786"/>
    <s v="Cust 9878"/>
    <n v="18.2"/>
    <x v="541"/>
    <d v="2025-07-01T00:00:00"/>
    <s v="Ryan"/>
  </r>
  <r>
    <d v="2025-04-05T00:00:00"/>
    <n v="3665.6543249999995"/>
    <n v="733.13086499999997"/>
    <x v="4"/>
    <x v="3"/>
    <n v="19"/>
    <n v="267.02999999999997"/>
    <s v="Store D"/>
    <x v="0"/>
    <n v="0.15"/>
    <s v="Bob"/>
    <n v="4312.5344999999998"/>
    <x v="0"/>
    <x v="1"/>
    <n v="1"/>
    <s v="REG100787"/>
    <s v="Cust 3936"/>
    <n v="35.82"/>
    <x v="518"/>
    <d v="2025-04-13T00:00:00"/>
    <s v="Wendy"/>
  </r>
  <r>
    <d v="2024-03-05T00:00:00"/>
    <n v="543.82999999999993"/>
    <n v="108.76599999999999"/>
    <x v="1"/>
    <x v="6"/>
    <n v="7"/>
    <n v="77.69"/>
    <s v="Store D"/>
    <x v="0"/>
    <n v="0"/>
    <s v="Carlos"/>
    <n v="543.82999999999993"/>
    <x v="2"/>
    <x v="1"/>
    <n v="0"/>
    <s v="REG100788"/>
    <s v="Cust 3937"/>
    <n v="41.89"/>
    <x v="337"/>
    <d v="2024-03-12T00:00:00"/>
    <s v="Sophie"/>
  </r>
  <r>
    <d v="2024-03-09T00:00:00"/>
    <n v="6248.6"/>
    <n v="1249.7200000000003"/>
    <x v="0"/>
    <x v="1"/>
    <n v="20"/>
    <n v="312.43"/>
    <s v="Store C"/>
    <x v="1"/>
    <n v="0"/>
    <s v="Carlos"/>
    <n v="6248.6"/>
    <x v="2"/>
    <x v="1"/>
    <n v="0"/>
    <s v="REG100789"/>
    <s v="Cust 5262"/>
    <n v="28.11"/>
    <x v="542"/>
    <d v="2024-03-11T00:00:00"/>
    <s v="Eric"/>
  </r>
  <r>
    <d v="2025-02-25T00:00:00"/>
    <n v="241.77974999999998"/>
    <n v="48.35595"/>
    <x v="3"/>
    <x v="4"/>
    <n v="19"/>
    <n v="14.1"/>
    <s v="Store C"/>
    <x v="0"/>
    <n v="0.05"/>
    <s v="Carlos"/>
    <n v="254.505"/>
    <x v="4"/>
    <x v="0"/>
    <n v="0"/>
    <s v="REG100790"/>
    <s v="Cust 3892"/>
    <n v="37.840000000000003"/>
    <x v="296"/>
    <d v="2025-02-28T00:00:00"/>
    <s v="Cameron"/>
  </r>
  <r>
    <d v="2024-11-16T00:00:00"/>
    <n v="4093.8392749999989"/>
    <n v="818.76785499999983"/>
    <x v="4"/>
    <x v="5"/>
    <n v="17"/>
    <n v="266.83"/>
    <s v="Store D"/>
    <x v="1"/>
    <n v="0.05"/>
    <s v="Frank"/>
    <n v="4309.3044999999993"/>
    <x v="2"/>
    <x v="2"/>
    <n v="0"/>
    <s v="REG100791"/>
    <s v="Cust 8826"/>
    <n v="32.520000000000003"/>
    <x v="85"/>
    <d v="2024-11-23T00:00:00"/>
    <s v="Wendy"/>
  </r>
  <r>
    <d v="2024-08-01T00:00:00"/>
    <n v="4478.3855000000003"/>
    <n v="895.67710000000011"/>
    <x v="1"/>
    <x v="6"/>
    <n v="20"/>
    <n v="248.11"/>
    <s v="Store D"/>
    <x v="0"/>
    <n v="0.05"/>
    <s v="Carlos"/>
    <n v="4714.09"/>
    <x v="0"/>
    <x v="1"/>
    <n v="0"/>
    <s v="REG100792"/>
    <s v="Cust 1119"/>
    <n v="22.96"/>
    <x v="537"/>
    <d v="2024-08-06T00:00:00"/>
    <s v="Sophie"/>
  </r>
  <r>
    <d v="2024-04-20T00:00:00"/>
    <n v="1429.3794999999998"/>
    <n v="285.87589999999994"/>
    <x v="4"/>
    <x v="3"/>
    <n v="5"/>
    <n v="316.76"/>
    <s v="Store B"/>
    <x v="1"/>
    <n v="0.05"/>
    <s v="Alice"/>
    <n v="1504.61"/>
    <x v="1"/>
    <x v="0"/>
    <n v="1"/>
    <s v="REG100793"/>
    <s v="Cust 2685"/>
    <n v="12.7"/>
    <x v="528"/>
    <d v="2024-04-30T00:00:00"/>
    <s v="Wendy"/>
  </r>
  <r>
    <d v="2024-04-20T00:00:00"/>
    <n v="274.78440000000001"/>
    <n v="54.956880000000005"/>
    <x v="1"/>
    <x v="0"/>
    <n v="2"/>
    <n v="169.62"/>
    <s v="Store C"/>
    <x v="1"/>
    <n v="0.1"/>
    <s v="Alice"/>
    <n v="305.31599999999997"/>
    <x v="3"/>
    <x v="3"/>
    <n v="0"/>
    <s v="REG100794"/>
    <s v="Cust 5939"/>
    <n v="45.41"/>
    <x v="528"/>
    <d v="2024-04-25T00:00:00"/>
    <s v="Sophie"/>
  </r>
  <r>
    <d v="2023-09-22T00:00:00"/>
    <n v="485.67895000000004"/>
    <n v="97.135790000000014"/>
    <x v="2"/>
    <x v="0"/>
    <n v="19"/>
    <n v="35.380000000000003"/>
    <s v="Store A"/>
    <x v="1"/>
    <n v="0.15"/>
    <s v="Diana"/>
    <n v="571.38700000000006"/>
    <x v="0"/>
    <x v="1"/>
    <n v="0"/>
    <s v="REG100795"/>
    <s v="Cust 1791"/>
    <n v="7.06"/>
    <x v="466"/>
    <d v="2023-09-28T00:00:00"/>
    <s v="Ryan"/>
  </r>
  <r>
    <d v="2025-02-21T00:00:00"/>
    <n v="641.71440000000007"/>
    <n v="128.34288000000001"/>
    <x v="4"/>
    <x v="3"/>
    <n v="3"/>
    <n v="264.08"/>
    <s v="Store A"/>
    <x v="1"/>
    <n v="0.1"/>
    <s v="Diana"/>
    <n v="713.01600000000008"/>
    <x v="0"/>
    <x v="3"/>
    <n v="0"/>
    <s v="REG100796"/>
    <s v="Cust 8530"/>
    <n v="25.39"/>
    <x v="383"/>
    <d v="2025-03-02T00:00:00"/>
    <s v="Wendy"/>
  </r>
  <r>
    <d v="2025-06-24T00:00:00"/>
    <n v="496.93549999999999"/>
    <n v="99.387100000000004"/>
    <x v="0"/>
    <x v="5"/>
    <n v="5"/>
    <n v="137.56"/>
    <s v="Store C"/>
    <x v="0"/>
    <n v="0.15"/>
    <s v="Diana"/>
    <n v="584.63"/>
    <x v="3"/>
    <x v="1"/>
    <n v="0"/>
    <s v="REG100797"/>
    <s v="Cust 4522"/>
    <n v="6.45"/>
    <x v="543"/>
    <d v="2025-07-01T00:00:00"/>
    <s v="Eric"/>
  </r>
  <r>
    <d v="2023-11-28T00:00:00"/>
    <n v="912.83539999999994"/>
    <n v="182.56708"/>
    <x v="3"/>
    <x v="0"/>
    <n v="8"/>
    <n v="157.93"/>
    <s v="Store B"/>
    <x v="1"/>
    <n v="0.15"/>
    <s v="Diana"/>
    <n v="1073.924"/>
    <x v="0"/>
    <x v="1"/>
    <n v="0"/>
    <s v="REG100798"/>
    <s v="Cust 9619"/>
    <n v="6.31"/>
    <x v="206"/>
    <d v="2023-12-05T00:00:00"/>
    <s v="Cameron"/>
  </r>
  <r>
    <d v="2024-04-08T00:00:00"/>
    <n v="686.94689999999991"/>
    <n v="137.38937999999999"/>
    <x v="2"/>
    <x v="2"/>
    <n v="6"/>
    <n v="126.86"/>
    <s v="Store C"/>
    <x v="0"/>
    <n v="0.05"/>
    <s v="Eva"/>
    <n v="723.10199999999998"/>
    <x v="3"/>
    <x v="0"/>
    <n v="0"/>
    <s v="REG100799"/>
    <s v="Cust 1637"/>
    <n v="35.49"/>
    <x v="413"/>
    <d v="2024-04-17T00:00:00"/>
    <s v="Ryan"/>
  </r>
  <r>
    <d v="2025-01-07T00:00:00"/>
    <n v="3249.6768750000001"/>
    <n v="649.93537500000002"/>
    <x v="2"/>
    <x v="3"/>
    <n v="15"/>
    <n v="240.05"/>
    <s v="Store C"/>
    <x v="1"/>
    <n v="0.05"/>
    <s v="Carlos"/>
    <n v="3420.7125000000001"/>
    <x v="2"/>
    <x v="0"/>
    <n v="0"/>
    <s v="REG100800"/>
    <s v="Cust 6914"/>
    <n v="14.31"/>
    <x v="316"/>
    <d v="2025-01-14T00:00:00"/>
    <s v="Ryan"/>
  </r>
  <r>
    <d v="2023-02-24T00:00:00"/>
    <n v="91.440899999999999"/>
    <n v="18.288180000000001"/>
    <x v="1"/>
    <x v="5"/>
    <n v="3"/>
    <n v="37.630000000000003"/>
    <s v="Store A"/>
    <x v="0"/>
    <n v="0.1"/>
    <s v="Carlos"/>
    <n v="101.601"/>
    <x v="3"/>
    <x v="0"/>
    <n v="0"/>
    <s v="REG100801"/>
    <s v="Cust 5737"/>
    <n v="43.7"/>
    <x v="349"/>
    <d v="2023-03-03T00:00:00"/>
    <s v="Sophie"/>
  </r>
  <r>
    <d v="2023-10-19T00:00:00"/>
    <n v="4139.3430000000008"/>
    <n v="827.86860000000024"/>
    <x v="0"/>
    <x v="3"/>
    <n v="13"/>
    <n v="393.1"/>
    <s v="Store B"/>
    <x v="0"/>
    <n v="0.1"/>
    <s v="Alice"/>
    <n v="4599.2700000000004"/>
    <x v="0"/>
    <x v="3"/>
    <n v="0"/>
    <s v="REG100802"/>
    <s v="Cust 5301"/>
    <n v="12.64"/>
    <x v="544"/>
    <d v="2023-10-26T00:00:00"/>
    <s v="Eric"/>
  </r>
  <r>
    <d v="2024-06-17T00:00:00"/>
    <n v="605.88849999999991"/>
    <n v="121.17769999999999"/>
    <x v="2"/>
    <x v="3"/>
    <n v="10"/>
    <n v="83.86"/>
    <s v="Store A"/>
    <x v="0"/>
    <n v="0.15"/>
    <s v="Alice"/>
    <n v="712.81"/>
    <x v="2"/>
    <x v="3"/>
    <n v="0"/>
    <s v="REG100803"/>
    <s v="Cust 2524"/>
    <n v="41.11"/>
    <x v="545"/>
    <d v="2024-06-21T00:00:00"/>
    <s v="Ryan"/>
  </r>
  <r>
    <d v="2023-06-21T00:00:00"/>
    <n v="1100.7"/>
    <n v="220.14000000000001"/>
    <x v="3"/>
    <x v="2"/>
    <n v="10"/>
    <n v="110.07"/>
    <s v="Store B"/>
    <x v="0"/>
    <n v="0"/>
    <s v="Frank"/>
    <n v="1100.7"/>
    <x v="2"/>
    <x v="3"/>
    <n v="0"/>
    <s v="REG100804"/>
    <s v="Cust 8480"/>
    <n v="18.47"/>
    <x v="522"/>
    <d v="2023-06-29T00:00:00"/>
    <s v="Cameron"/>
  </r>
  <r>
    <d v="2024-08-30T00:00:00"/>
    <n v="1252.7283"/>
    <n v="250.54566"/>
    <x v="0"/>
    <x v="1"/>
    <n v="6"/>
    <n v="288.98"/>
    <s v="Store C"/>
    <x v="0"/>
    <n v="0.15"/>
    <s v="Diana"/>
    <n v="1473.798"/>
    <x v="1"/>
    <x v="3"/>
    <n v="0"/>
    <s v="REG100805"/>
    <s v="Cust 2595"/>
    <n v="38.630000000000003"/>
    <x v="315"/>
    <d v="2024-09-02T00:00:00"/>
    <s v="Eric"/>
  </r>
  <r>
    <d v="2025-01-03T00:00:00"/>
    <n v="4511.3999999999996"/>
    <n v="902.28"/>
    <x v="3"/>
    <x v="2"/>
    <n v="10"/>
    <n v="451.14"/>
    <s v="Store A"/>
    <x v="1"/>
    <n v="0"/>
    <s v="Bob"/>
    <n v="4511.3999999999996"/>
    <x v="1"/>
    <x v="0"/>
    <n v="0"/>
    <s v="REG100806"/>
    <s v="Cust 7132"/>
    <n v="29.96"/>
    <x v="546"/>
    <d v="2025-01-13T00:00:00"/>
    <s v="Cameron"/>
  </r>
  <r>
    <d v="2023-02-23T00:00:00"/>
    <n v="8145.28"/>
    <n v="1629.056"/>
    <x v="4"/>
    <x v="6"/>
    <n v="16"/>
    <n v="509.08"/>
    <s v="Store C"/>
    <x v="0"/>
    <n v="0"/>
    <s v="Carlos"/>
    <n v="8145.28"/>
    <x v="0"/>
    <x v="0"/>
    <n v="0"/>
    <s v="REG100807"/>
    <s v="Cust 4240"/>
    <n v="37.53"/>
    <x v="0"/>
    <d v="2023-03-02T00:00:00"/>
    <s v="Wendy"/>
  </r>
  <r>
    <d v="2025-04-26T00:00:00"/>
    <n v="2103.6552999999999"/>
    <n v="420.73106000000001"/>
    <x v="3"/>
    <x v="6"/>
    <n v="4"/>
    <n v="582.73"/>
    <s v="Store D"/>
    <x v="0"/>
    <n v="0.05"/>
    <s v="Carlos"/>
    <n v="2214.3739999999998"/>
    <x v="4"/>
    <x v="2"/>
    <n v="0"/>
    <s v="REG100808"/>
    <s v="Cust 4644"/>
    <n v="44.26"/>
    <x v="547"/>
    <d v="2025-04-29T00:00:00"/>
    <s v="Cameron"/>
  </r>
  <r>
    <d v="2023-06-08T00:00:00"/>
    <n v="1037.1600000000001"/>
    <n v="207.43200000000002"/>
    <x v="1"/>
    <x v="1"/>
    <n v="9"/>
    <n v="115.24"/>
    <s v="Store B"/>
    <x v="0"/>
    <n v="0"/>
    <s v="Alice"/>
    <n v="1037.1600000000001"/>
    <x v="2"/>
    <x v="0"/>
    <n v="0"/>
    <s v="REG100809"/>
    <s v="Cust 5133"/>
    <n v="8.2799999999999994"/>
    <x v="548"/>
    <d v="2023-06-14T00:00:00"/>
    <s v="Sophie"/>
  </r>
  <r>
    <d v="2023-03-16T00:00:00"/>
    <n v="6412.2030000000013"/>
    <n v="1282.4406000000004"/>
    <x v="2"/>
    <x v="4"/>
    <n v="14"/>
    <n v="565.45000000000005"/>
    <s v="Store D"/>
    <x v="0"/>
    <n v="0.1"/>
    <s v="Eva"/>
    <n v="7124.670000000001"/>
    <x v="0"/>
    <x v="2"/>
    <n v="0"/>
    <s v="REG100810"/>
    <s v="Cust 1731"/>
    <n v="24.4"/>
    <x v="399"/>
    <d v="2023-03-25T00:00:00"/>
    <s v="Ryan"/>
  </r>
  <r>
    <d v="2024-10-23T00:00:00"/>
    <n v="1336.94"/>
    <n v="267.38800000000003"/>
    <x v="2"/>
    <x v="1"/>
    <n v="11"/>
    <n v="121.54"/>
    <s v="Store D"/>
    <x v="0"/>
    <n v="0"/>
    <s v="Carlos"/>
    <n v="1336.94"/>
    <x v="2"/>
    <x v="1"/>
    <n v="0"/>
    <s v="REG100811"/>
    <s v="Cust 3739"/>
    <n v="16.62"/>
    <x v="75"/>
    <d v="2024-10-28T00:00:00"/>
    <s v="Ryan"/>
  </r>
  <r>
    <d v="2025-05-23T00:00:00"/>
    <n v="1167.4935"/>
    <n v="233.49870000000001"/>
    <x v="0"/>
    <x v="6"/>
    <n v="9"/>
    <n v="160.15"/>
    <s v="Store D"/>
    <x v="1"/>
    <n v="0.1"/>
    <s v="Alice"/>
    <n v="1297.2149999999999"/>
    <x v="3"/>
    <x v="3"/>
    <n v="1"/>
    <s v="REG100812"/>
    <s v="Cust 3853"/>
    <n v="29.64"/>
    <x v="549"/>
    <d v="2025-05-28T00:00:00"/>
    <s v="Eric"/>
  </r>
  <r>
    <d v="2023-05-06T00:00:00"/>
    <n v="2219.4640999999997"/>
    <n v="443.89281999999997"/>
    <x v="0"/>
    <x v="2"/>
    <n v="14"/>
    <n v="175.66"/>
    <s v="Store B"/>
    <x v="0"/>
    <n v="0.05"/>
    <s v="Bob"/>
    <n v="2336.2779999999998"/>
    <x v="4"/>
    <x v="1"/>
    <n v="0"/>
    <s v="REG100813"/>
    <s v="Cust 6830"/>
    <n v="26.12"/>
    <x v="400"/>
    <d v="2023-05-14T00:00:00"/>
    <s v="Eric"/>
  </r>
  <r>
    <d v="2024-08-15T00:00:00"/>
    <n v="1185.8037750000001"/>
    <n v="237.16075500000002"/>
    <x v="1"/>
    <x v="5"/>
    <n v="3"/>
    <n v="437.97"/>
    <s v="Store C"/>
    <x v="0"/>
    <n v="0.05"/>
    <s v="Eva"/>
    <n v="1248.2145"/>
    <x v="4"/>
    <x v="1"/>
    <n v="1"/>
    <s v="REG100814"/>
    <s v="Cust 5351"/>
    <n v="23.29"/>
    <x v="255"/>
    <d v="2024-08-22T00:00:00"/>
    <s v="Sophie"/>
  </r>
  <r>
    <d v="2023-08-23T00:00:00"/>
    <n v="3568.4852999999998"/>
    <n v="713.69705999999996"/>
    <x v="1"/>
    <x v="6"/>
    <n v="12"/>
    <n v="411.59"/>
    <s v="Store B"/>
    <x v="0"/>
    <n v="0.15"/>
    <s v="Diana"/>
    <n v="4198.2179999999998"/>
    <x v="4"/>
    <x v="0"/>
    <n v="0"/>
    <s v="REG100815"/>
    <s v="Cust 5845"/>
    <n v="19.170000000000002"/>
    <x v="200"/>
    <d v="2023-08-31T00:00:00"/>
    <s v="Sophie"/>
  </r>
  <r>
    <d v="2025-04-13T00:00:00"/>
    <n v="163.29"/>
    <n v="32.658000000000001"/>
    <x v="1"/>
    <x v="0"/>
    <n v="1"/>
    <n v="163.29"/>
    <s v="Store B"/>
    <x v="1"/>
    <n v="0"/>
    <s v="Diana"/>
    <n v="163.29"/>
    <x v="2"/>
    <x v="2"/>
    <n v="0"/>
    <s v="REG100816"/>
    <s v="Cust 7004"/>
    <n v="21.15"/>
    <x v="91"/>
    <d v="2025-04-22T00:00:00"/>
    <s v="Sophie"/>
  </r>
  <r>
    <d v="2024-06-11T00:00:00"/>
    <n v="2430.0714999999996"/>
    <n v="486.01429999999993"/>
    <x v="3"/>
    <x v="2"/>
    <n v="5"/>
    <n v="538.52"/>
    <s v="Store B"/>
    <x v="0"/>
    <n v="0.05"/>
    <s v="Alice"/>
    <n v="2557.9699999999998"/>
    <x v="1"/>
    <x v="3"/>
    <n v="0"/>
    <s v="REG100817"/>
    <s v="Cust 4095"/>
    <n v="45.81"/>
    <x v="550"/>
    <d v="2024-06-17T00:00:00"/>
    <s v="Cameron"/>
  </r>
  <r>
    <d v="2024-04-29T00:00:00"/>
    <n v="2280.5145000000002"/>
    <n v="456.10290000000009"/>
    <x v="1"/>
    <x v="1"/>
    <n v="11"/>
    <n v="255.95"/>
    <s v="Store C"/>
    <x v="0"/>
    <n v="0.1"/>
    <s v="Alice"/>
    <n v="2533.9050000000002"/>
    <x v="0"/>
    <x v="3"/>
    <n v="0"/>
    <s v="REG100818"/>
    <s v="Cust 7833"/>
    <n v="21.99"/>
    <x v="131"/>
    <d v="2024-05-04T00:00:00"/>
    <s v="Sophie"/>
  </r>
  <r>
    <d v="2023-03-27T00:00:00"/>
    <n v="1645.5473999999999"/>
    <n v="329.10948000000002"/>
    <x v="1"/>
    <x v="2"/>
    <n v="7"/>
    <n v="290.22000000000003"/>
    <s v="Store A"/>
    <x v="1"/>
    <n v="0.1"/>
    <s v="Alice"/>
    <n v="1828.386"/>
    <x v="4"/>
    <x v="2"/>
    <n v="0"/>
    <s v="REG100819"/>
    <s v="Cust 5826"/>
    <n v="33.15"/>
    <x v="340"/>
    <d v="2023-04-04T00:00:00"/>
    <s v="Sophie"/>
  </r>
  <r>
    <d v="2024-10-23T00:00:00"/>
    <n v="3222.99"/>
    <n v="644.59799999999996"/>
    <x v="2"/>
    <x v="3"/>
    <n v="20"/>
    <n v="198.95"/>
    <s v="Store B"/>
    <x v="1"/>
    <n v="0.1"/>
    <s v="Diana"/>
    <n v="3581.1"/>
    <x v="2"/>
    <x v="3"/>
    <n v="1"/>
    <s v="REG100820"/>
    <s v="Cust 9410"/>
    <n v="5.16"/>
    <x v="75"/>
    <d v="2024-10-25T00:00:00"/>
    <s v="Ryan"/>
  </r>
  <r>
    <d v="2023-06-21T00:00:00"/>
    <n v="4586.5022500000005"/>
    <n v="917.30045000000018"/>
    <x v="2"/>
    <x v="6"/>
    <n v="11"/>
    <n v="577.1"/>
    <s v="Store C"/>
    <x v="1"/>
    <n v="0.15"/>
    <s v="Frank"/>
    <n v="5395.8850000000002"/>
    <x v="4"/>
    <x v="1"/>
    <n v="0"/>
    <s v="REG100821"/>
    <s v="Cust 9397"/>
    <n v="13.16"/>
    <x v="522"/>
    <d v="2023-06-28T00:00:00"/>
    <s v="Ryan"/>
  </r>
  <r>
    <d v="2023-05-12T00:00:00"/>
    <n v="405.81"/>
    <n v="81.162000000000006"/>
    <x v="3"/>
    <x v="6"/>
    <n v="10"/>
    <n v="50.1"/>
    <s v="Store A"/>
    <x v="0"/>
    <n v="0.1"/>
    <s v="Bob"/>
    <n v="450.9"/>
    <x v="4"/>
    <x v="0"/>
    <n v="1"/>
    <s v="REG100822"/>
    <s v="Cust 6665"/>
    <n v="23.43"/>
    <x v="551"/>
    <d v="2023-05-19T00:00:00"/>
    <s v="Cameron"/>
  </r>
  <r>
    <d v="2024-10-20T00:00:00"/>
    <n v="7611.8987499999994"/>
    <n v="1522.3797500000001"/>
    <x v="3"/>
    <x v="6"/>
    <n v="19"/>
    <n v="554.5"/>
    <s v="Store B"/>
    <x v="1"/>
    <n v="0.15"/>
    <s v="Carlos"/>
    <n v="8955.1749999999993"/>
    <x v="0"/>
    <x v="3"/>
    <n v="1"/>
    <s v="REG100823"/>
    <s v="Cust 2590"/>
    <n v="47.16"/>
    <x v="552"/>
    <d v="2024-10-24T00:00:00"/>
    <s v="Cameron"/>
  </r>
  <r>
    <d v="2024-04-04T00:00:00"/>
    <n v="1642.34"/>
    <n v="328.46800000000002"/>
    <x v="2"/>
    <x v="0"/>
    <n v="14"/>
    <n v="117.31"/>
    <s v="Store A"/>
    <x v="0"/>
    <n v="0"/>
    <s v="Diana"/>
    <n v="1642.34"/>
    <x v="0"/>
    <x v="2"/>
    <n v="0"/>
    <s v="REG100824"/>
    <s v="Cust 4599"/>
    <n v="41.24"/>
    <x v="553"/>
    <d v="2024-04-07T00:00:00"/>
    <s v="Ryan"/>
  </r>
  <r>
    <d v="2025-01-12T00:00:00"/>
    <n v="581.93999999999994"/>
    <n v="116.38799999999999"/>
    <x v="3"/>
    <x v="5"/>
    <n v="3"/>
    <n v="193.98"/>
    <s v="Store A"/>
    <x v="1"/>
    <n v="0"/>
    <s v="Bob"/>
    <n v="581.93999999999994"/>
    <x v="2"/>
    <x v="2"/>
    <n v="0"/>
    <s v="REG100825"/>
    <s v="Cust 7166"/>
    <n v="27.53"/>
    <x v="87"/>
    <d v="2025-01-16T00:00:00"/>
    <s v="Cameron"/>
  </r>
  <r>
    <d v="2023-07-24T00:00:00"/>
    <n v="6982.8229999999994"/>
    <n v="1396.5645999999999"/>
    <x v="1"/>
    <x v="1"/>
    <n v="20"/>
    <n v="386.86"/>
    <s v="Store A"/>
    <x v="0"/>
    <n v="0.05"/>
    <s v="Carlos"/>
    <n v="7350.34"/>
    <x v="0"/>
    <x v="2"/>
    <n v="0"/>
    <s v="REG100826"/>
    <s v="Cust 6177"/>
    <n v="41.56"/>
    <x v="554"/>
    <d v="2023-07-29T00:00:00"/>
    <s v="Sophie"/>
  </r>
  <r>
    <d v="2023-09-09T00:00:00"/>
    <n v="975.96"/>
    <n v="195.19200000000001"/>
    <x v="2"/>
    <x v="3"/>
    <n v="12"/>
    <n v="81.33"/>
    <s v="Store D"/>
    <x v="0"/>
    <n v="0"/>
    <s v="Carlos"/>
    <n v="975.96"/>
    <x v="4"/>
    <x v="1"/>
    <n v="1"/>
    <s v="REG100827"/>
    <s v="Cust 6229"/>
    <n v="30.73"/>
    <x v="507"/>
    <d v="2023-09-13T00:00:00"/>
    <s v="Ryan"/>
  </r>
  <r>
    <d v="2024-04-20T00:00:00"/>
    <n v="1989.2231249999998"/>
    <n v="397.84462499999995"/>
    <x v="0"/>
    <x v="6"/>
    <n v="5"/>
    <n v="550.65"/>
    <s v="Store A"/>
    <x v="1"/>
    <n v="0.15"/>
    <s v="Bob"/>
    <n v="2340.2624999999998"/>
    <x v="1"/>
    <x v="3"/>
    <n v="0"/>
    <s v="REG100828"/>
    <s v="Cust 2899"/>
    <n v="16.82"/>
    <x v="528"/>
    <d v="2024-04-27T00:00:00"/>
    <s v="Eric"/>
  </r>
  <r>
    <d v="2025-02-06T00:00:00"/>
    <n v="1710.8150999999998"/>
    <n v="342.16301999999996"/>
    <x v="4"/>
    <x v="6"/>
    <n v="4"/>
    <n v="473.91"/>
    <s v="Store A"/>
    <x v="1"/>
    <n v="0.05"/>
    <s v="Eva"/>
    <n v="1800.8579999999999"/>
    <x v="2"/>
    <x v="1"/>
    <n v="0"/>
    <s v="REG100829"/>
    <s v="Cust 5322"/>
    <n v="29.22"/>
    <x v="323"/>
    <d v="2025-02-14T00:00:00"/>
    <s v="Wendy"/>
  </r>
  <r>
    <d v="2023-06-18T00:00:00"/>
    <n v="479.17999999999989"/>
    <n v="95.835999999999984"/>
    <x v="4"/>
    <x v="5"/>
    <n v="19"/>
    <n v="25.22"/>
    <s v="Store C"/>
    <x v="0"/>
    <n v="0"/>
    <s v="Bob"/>
    <n v="479.17999999999989"/>
    <x v="2"/>
    <x v="3"/>
    <n v="0"/>
    <s v="REG100830"/>
    <s v="Cust 7063"/>
    <n v="31.31"/>
    <x v="391"/>
    <d v="2023-06-22T00:00:00"/>
    <s v="Wendy"/>
  </r>
  <r>
    <d v="2024-11-01T00:00:00"/>
    <n v="874.08"/>
    <n v="174.81600000000003"/>
    <x v="2"/>
    <x v="1"/>
    <n v="2"/>
    <n v="437.04"/>
    <s v="Store C"/>
    <x v="0"/>
    <n v="0"/>
    <s v="Frank"/>
    <n v="874.08"/>
    <x v="2"/>
    <x v="1"/>
    <n v="1"/>
    <s v="REG100831"/>
    <s v="Cust 7487"/>
    <n v="37.369999999999997"/>
    <x v="501"/>
    <d v="2024-11-08T00:00:00"/>
    <s v="Ryan"/>
  </r>
  <r>
    <d v="2024-08-12T00:00:00"/>
    <n v="1621.50675"/>
    <n v="324.30135000000001"/>
    <x v="4"/>
    <x v="2"/>
    <n v="5"/>
    <n v="448.86"/>
    <s v="Store C"/>
    <x v="0"/>
    <n v="0.15"/>
    <s v="Frank"/>
    <n v="1907.655"/>
    <x v="2"/>
    <x v="1"/>
    <n v="1"/>
    <s v="REG100832"/>
    <s v="Cust 5481"/>
    <n v="21.22"/>
    <x v="305"/>
    <d v="2024-08-21T00:00:00"/>
    <s v="Wendy"/>
  </r>
  <r>
    <d v="2025-04-08T00:00:00"/>
    <n v="4199.16"/>
    <n v="839.83199999999999"/>
    <x v="3"/>
    <x v="1"/>
    <n v="14"/>
    <n v="299.94"/>
    <s v="Store D"/>
    <x v="1"/>
    <n v="0"/>
    <s v="Carlos"/>
    <n v="4199.16"/>
    <x v="1"/>
    <x v="0"/>
    <n v="0"/>
    <s v="REG100833"/>
    <s v="Cust 3150"/>
    <n v="21.04"/>
    <x v="409"/>
    <d v="2025-04-17T00:00:00"/>
    <s v="Cameron"/>
  </r>
  <r>
    <d v="2024-07-20T00:00:00"/>
    <n v="1295.7603999999999"/>
    <n v="259.15208000000001"/>
    <x v="3"/>
    <x v="0"/>
    <n v="8"/>
    <n v="224.18"/>
    <s v="Store B"/>
    <x v="1"/>
    <n v="0.15"/>
    <s v="Bob"/>
    <n v="1524.424"/>
    <x v="3"/>
    <x v="3"/>
    <n v="0"/>
    <s v="REG100834"/>
    <s v="Cust 5099"/>
    <n v="36.9"/>
    <x v="555"/>
    <d v="2024-07-26T00:00:00"/>
    <s v="Cameron"/>
  </r>
  <r>
    <d v="2023-02-17T00:00:00"/>
    <n v="1774.4413500000001"/>
    <n v="354.88827000000003"/>
    <x v="4"/>
    <x v="2"/>
    <n v="6"/>
    <n v="327.69"/>
    <s v="Store D"/>
    <x v="0"/>
    <n v="0.05"/>
    <s v="Diana"/>
    <n v="1867.8330000000001"/>
    <x v="4"/>
    <x v="3"/>
    <n v="0"/>
    <s v="REG100835"/>
    <s v="Cust 6615"/>
    <n v="22.34"/>
    <x v="556"/>
    <d v="2023-02-21T00:00:00"/>
    <s v="Wendy"/>
  </r>
  <r>
    <d v="2024-07-02T00:00:00"/>
    <n v="3120.989399999999"/>
    <n v="624.19787999999983"/>
    <x v="0"/>
    <x v="1"/>
    <n v="8"/>
    <n v="432.27"/>
    <s v="Store D"/>
    <x v="1"/>
    <n v="0.05"/>
    <s v="Eva"/>
    <n v="3285.251999999999"/>
    <x v="4"/>
    <x v="0"/>
    <n v="1"/>
    <s v="REG100836"/>
    <s v="Cust 6924"/>
    <n v="20.64"/>
    <x v="557"/>
    <d v="2024-07-04T00:00:00"/>
    <s v="Eric"/>
  </r>
  <r>
    <d v="2025-04-01T00:00:00"/>
    <n v="722.44219999999984"/>
    <n v="144.48843999999997"/>
    <x v="2"/>
    <x v="4"/>
    <n v="4"/>
    <n v="249.98"/>
    <s v="Store C"/>
    <x v="1"/>
    <n v="0.15"/>
    <s v="Eva"/>
    <n v="849.9319999999999"/>
    <x v="3"/>
    <x v="1"/>
    <n v="0"/>
    <s v="REG100837"/>
    <s v="Cust 2411"/>
    <n v="49.08"/>
    <x v="159"/>
    <d v="2025-04-04T00:00:00"/>
    <s v="Ryan"/>
  </r>
  <r>
    <d v="2025-06-02T00:00:00"/>
    <n v="1965.4456500000001"/>
    <n v="393.08913000000007"/>
    <x v="1"/>
    <x v="6"/>
    <n v="14"/>
    <n v="194.31"/>
    <s v="Store C"/>
    <x v="0"/>
    <n v="0.15"/>
    <s v="Frank"/>
    <n v="2312.2890000000002"/>
    <x v="3"/>
    <x v="0"/>
    <n v="0"/>
    <s v="REG100838"/>
    <s v="Cust 9648"/>
    <n v="15.3"/>
    <x v="558"/>
    <d v="2025-06-09T00:00:00"/>
    <s v="Sophie"/>
  </r>
  <r>
    <d v="2024-11-21T00:00:00"/>
    <n v="346.45"/>
    <n v="69.290000000000006"/>
    <x v="4"/>
    <x v="1"/>
    <n v="5"/>
    <n v="69.290000000000006"/>
    <s v="Store C"/>
    <x v="0"/>
    <n v="0"/>
    <s v="Carlos"/>
    <n v="346.45"/>
    <x v="2"/>
    <x v="3"/>
    <n v="0"/>
    <s v="REG100839"/>
    <s v="Cust 1974"/>
    <n v="20.83"/>
    <x v="559"/>
    <d v="2024-11-29T00:00:00"/>
    <s v="Wendy"/>
  </r>
  <r>
    <d v="2024-01-10T00:00:00"/>
    <n v="4603.6500000000005"/>
    <n v="920.73000000000013"/>
    <x v="1"/>
    <x v="6"/>
    <n v="15"/>
    <n v="306.91000000000003"/>
    <s v="Store A"/>
    <x v="1"/>
    <n v="0"/>
    <s v="Carlos"/>
    <n v="4603.6500000000005"/>
    <x v="4"/>
    <x v="0"/>
    <n v="1"/>
    <s v="REG100840"/>
    <s v="Cust 9452"/>
    <n v="19.38"/>
    <x v="560"/>
    <d v="2024-01-14T00:00:00"/>
    <s v="Sophie"/>
  </r>
  <r>
    <d v="2023-10-21T00:00:00"/>
    <n v="1127.9669999999999"/>
    <n v="225.59339999999997"/>
    <x v="2"/>
    <x v="2"/>
    <n v="4"/>
    <n v="390.3"/>
    <s v="Store A"/>
    <x v="1"/>
    <n v="0.15"/>
    <s v="Diana"/>
    <n v="1327.02"/>
    <x v="3"/>
    <x v="3"/>
    <n v="0"/>
    <s v="REG100841"/>
    <s v="Cust 4558"/>
    <n v="43.56"/>
    <x v="72"/>
    <d v="2023-10-26T00:00:00"/>
    <s v="Ryan"/>
  </r>
  <r>
    <d v="2025-01-20T00:00:00"/>
    <n v="432.81"/>
    <n v="86.562000000000012"/>
    <x v="2"/>
    <x v="1"/>
    <n v="7"/>
    <n v="61.83"/>
    <s v="Store B"/>
    <x v="1"/>
    <n v="0"/>
    <s v="Diana"/>
    <n v="432.81"/>
    <x v="0"/>
    <x v="2"/>
    <n v="0"/>
    <s v="REG100842"/>
    <s v="Cust 8811"/>
    <n v="25.49"/>
    <x v="135"/>
    <d v="2025-01-22T00:00:00"/>
    <s v="Ryan"/>
  </r>
  <r>
    <d v="2024-11-09T00:00:00"/>
    <n v="526.3741"/>
    <n v="105.27482000000001"/>
    <x v="4"/>
    <x v="4"/>
    <n v="7"/>
    <n v="83.32"/>
    <s v="Store D"/>
    <x v="0"/>
    <n v="0.05"/>
    <s v="Carlos"/>
    <n v="554.07799999999997"/>
    <x v="4"/>
    <x v="0"/>
    <n v="0"/>
    <s v="REG100843"/>
    <s v="Cust 7788"/>
    <n v="23.4"/>
    <x v="325"/>
    <d v="2024-11-17T00:00:00"/>
    <s v="Wendy"/>
  </r>
  <r>
    <d v="2024-04-03T00:00:00"/>
    <n v="2032.6466"/>
    <n v="406.52932000000004"/>
    <x v="4"/>
    <x v="4"/>
    <n v="4"/>
    <n v="563.05999999999995"/>
    <s v="Store D"/>
    <x v="1"/>
    <n v="0.05"/>
    <s v="Bob"/>
    <n v="2139.6280000000002"/>
    <x v="4"/>
    <x v="2"/>
    <n v="0"/>
    <s v="REG100844"/>
    <s v="Cust 2788"/>
    <n v="19.5"/>
    <x v="516"/>
    <d v="2024-04-07T00:00:00"/>
    <s v="Wendy"/>
  </r>
  <r>
    <d v="2024-01-06T00:00:00"/>
    <n v="2407.7673749999999"/>
    <n v="481.55347499999999"/>
    <x v="2"/>
    <x v="1"/>
    <n v="13"/>
    <n v="256.35000000000002"/>
    <s v="Store D"/>
    <x v="0"/>
    <n v="0.15"/>
    <s v="Alice"/>
    <n v="2832.6675"/>
    <x v="4"/>
    <x v="1"/>
    <n v="0"/>
    <s v="REG100845"/>
    <s v="Cust 6621"/>
    <n v="26.04"/>
    <x v="561"/>
    <d v="2024-01-08T00:00:00"/>
    <s v="Ryan"/>
  </r>
  <r>
    <d v="2023-08-02T00:00:00"/>
    <n v="2463.2293500000001"/>
    <n v="492.64587000000006"/>
    <x v="3"/>
    <x v="6"/>
    <n v="9"/>
    <n v="303.26"/>
    <s v="Store A"/>
    <x v="0"/>
    <n v="0.05"/>
    <s v="Diana"/>
    <n v="2592.873"/>
    <x v="3"/>
    <x v="0"/>
    <n v="0"/>
    <s v="REG100846"/>
    <s v="Cust 8575"/>
    <n v="17.010000000000002"/>
    <x v="562"/>
    <d v="2023-08-05T00:00:00"/>
    <s v="Cameron"/>
  </r>
  <r>
    <d v="2023-11-26T00:00:00"/>
    <n v="2864.2212"/>
    <n v="572.84424000000001"/>
    <x v="2"/>
    <x v="3"/>
    <n v="9"/>
    <n v="440.48"/>
    <s v="Store A"/>
    <x v="1"/>
    <n v="0.15"/>
    <s v="Diana"/>
    <n v="3369.672"/>
    <x v="1"/>
    <x v="2"/>
    <n v="0"/>
    <s v="REG100847"/>
    <s v="Cust 8799"/>
    <n v="32.94"/>
    <x v="168"/>
    <d v="2023-12-01T00:00:00"/>
    <s v="Ryan"/>
  </r>
  <r>
    <d v="2025-04-20T00:00:00"/>
    <n v="7199.4681249999994"/>
    <n v="1439.8936249999999"/>
    <x v="0"/>
    <x v="2"/>
    <n v="17"/>
    <n v="469.25"/>
    <s v="Store B"/>
    <x v="0"/>
    <n v="0.05"/>
    <s v="Bob"/>
    <n v="7578.3874999999998"/>
    <x v="2"/>
    <x v="3"/>
    <n v="0"/>
    <s v="REG100848"/>
    <s v="Cust 1699"/>
    <n v="45.76"/>
    <x v="248"/>
    <d v="2025-04-26T00:00:00"/>
    <s v="Eric"/>
  </r>
  <r>
    <d v="2023-12-29T00:00:00"/>
    <n v="6395.3387999999995"/>
    <n v="1279.0677599999999"/>
    <x v="1"/>
    <x v="3"/>
    <n v="18"/>
    <n v="491.76"/>
    <s v="Store A"/>
    <x v="0"/>
    <n v="0.15"/>
    <s v="Eva"/>
    <n v="7523.9279999999999"/>
    <x v="2"/>
    <x v="1"/>
    <n v="0"/>
    <s v="REG100849"/>
    <s v="Cust 5606"/>
    <n v="37.49"/>
    <x v="183"/>
    <d v="2024-01-05T00:00:00"/>
    <s v="Sophie"/>
  </r>
  <r>
    <d v="2025-01-08T00:00:00"/>
    <n v="7978.2173249999996"/>
    <n v="1595.6434650000001"/>
    <x v="3"/>
    <x v="3"/>
    <n v="19"/>
    <n v="465.27"/>
    <s v="Store C"/>
    <x v="1"/>
    <n v="0.05"/>
    <s v="Diana"/>
    <n v="8398.1234999999997"/>
    <x v="2"/>
    <x v="3"/>
    <n v="0"/>
    <s v="REG100850"/>
    <s v="Cust 4933"/>
    <n v="44.95"/>
    <x v="304"/>
    <d v="2025-01-10T00:00:00"/>
    <s v="Cameron"/>
  </r>
  <r>
    <d v="2024-05-06T00:00:00"/>
    <n v="6186.24"/>
    <n v="1237.248"/>
    <x v="0"/>
    <x v="3"/>
    <n v="18"/>
    <n v="343.68"/>
    <s v="Store B"/>
    <x v="1"/>
    <n v="0"/>
    <s v="Eva"/>
    <n v="6186.24"/>
    <x v="1"/>
    <x v="1"/>
    <n v="0"/>
    <s v="REG100851"/>
    <s v="Cust 9517"/>
    <n v="20.37"/>
    <x v="563"/>
    <d v="2024-05-14T00:00:00"/>
    <s v="Eric"/>
  </r>
  <r>
    <d v="2024-09-15T00:00:00"/>
    <n v="5970.163849999999"/>
    <n v="1194.0327699999998"/>
    <x v="2"/>
    <x v="2"/>
    <n v="14"/>
    <n v="472.51"/>
    <s v="Store D"/>
    <x v="0"/>
    <n v="0.05"/>
    <s v="Bob"/>
    <n v="6284.3829999999989"/>
    <x v="1"/>
    <x v="3"/>
    <n v="0"/>
    <s v="REG100852"/>
    <s v="Cust 6740"/>
    <n v="13.54"/>
    <x v="564"/>
    <d v="2024-09-20T00:00:00"/>
    <s v="Ryan"/>
  </r>
  <r>
    <d v="2023-02-07T00:00:00"/>
    <n v="2308.8240000000001"/>
    <n v="461.76480000000004"/>
    <x v="4"/>
    <x v="0"/>
    <n v="20"/>
    <n v="142.52000000000001"/>
    <s v="Store A"/>
    <x v="1"/>
    <n v="0.1"/>
    <s v="Eva"/>
    <n v="2565.36"/>
    <x v="4"/>
    <x v="0"/>
    <n v="0"/>
    <s v="REG100853"/>
    <s v="Cust 1301"/>
    <n v="30.67"/>
    <x v="230"/>
    <d v="2023-02-12T00:00:00"/>
    <s v="Wendy"/>
  </r>
  <r>
    <d v="2023-03-01T00:00:00"/>
    <n v="28.356549999999999"/>
    <n v="5.6713100000000001"/>
    <x v="0"/>
    <x v="1"/>
    <n v="1"/>
    <n v="31.42"/>
    <s v="Store B"/>
    <x v="1"/>
    <n v="0.05"/>
    <s v="Bob"/>
    <n v="29.849"/>
    <x v="2"/>
    <x v="1"/>
    <n v="0"/>
    <s v="REG100854"/>
    <s v="Cust 1736"/>
    <n v="11.35"/>
    <x v="565"/>
    <d v="2023-03-09T00:00:00"/>
    <s v="Eric"/>
  </r>
  <r>
    <d v="2024-05-08T00:00:00"/>
    <n v="7029.1519250000001"/>
    <n v="1405.8303850000002"/>
    <x v="2"/>
    <x v="5"/>
    <n v="17"/>
    <n v="572.29"/>
    <s v="Store D"/>
    <x v="1"/>
    <n v="0.15"/>
    <s v="Eva"/>
    <n v="8269.5905000000002"/>
    <x v="0"/>
    <x v="1"/>
    <n v="1"/>
    <s v="REG100855"/>
    <s v="Cust 6864"/>
    <n v="44.99"/>
    <x v="336"/>
    <d v="2024-05-12T00:00:00"/>
    <s v="Ryan"/>
  </r>
  <r>
    <d v="2024-06-06T00:00:00"/>
    <n v="4863.8880000000008"/>
    <n v="972.77760000000023"/>
    <x v="0"/>
    <x v="2"/>
    <n v="18"/>
    <n v="333.6"/>
    <s v="Store A"/>
    <x v="1"/>
    <n v="0.1"/>
    <s v="Carlos"/>
    <n v="5404.3200000000006"/>
    <x v="3"/>
    <x v="0"/>
    <n v="1"/>
    <s v="REG100856"/>
    <s v="Cust 5207"/>
    <n v="33.79"/>
    <x v="566"/>
    <d v="2024-06-08T00:00:00"/>
    <s v="Eric"/>
  </r>
  <r>
    <d v="2023-04-29T00:00:00"/>
    <n v="590.88217499999996"/>
    <n v="118.176435"/>
    <x v="2"/>
    <x v="3"/>
    <n v="9"/>
    <n v="90.87"/>
    <s v="Store D"/>
    <x v="1"/>
    <n v="0.15"/>
    <s v="Carlos"/>
    <n v="695.15549999999996"/>
    <x v="3"/>
    <x v="2"/>
    <n v="0"/>
    <s v="REG100857"/>
    <s v="Cust 6525"/>
    <n v="26.56"/>
    <x v="431"/>
    <d v="2023-05-08T00:00:00"/>
    <s v="Ryan"/>
  </r>
  <r>
    <d v="2023-09-20T00:00:00"/>
    <n v="4780.8222750000014"/>
    <n v="956.16445500000032"/>
    <x v="3"/>
    <x v="5"/>
    <n v="9"/>
    <n v="588.59"/>
    <s v="Store D"/>
    <x v="0"/>
    <n v="0.05"/>
    <s v="Diana"/>
    <n v="5032.4445000000014"/>
    <x v="0"/>
    <x v="3"/>
    <n v="0"/>
    <s v="REG100858"/>
    <s v="Cust 8298"/>
    <n v="42.3"/>
    <x v="567"/>
    <d v="2023-09-22T00:00:00"/>
    <s v="Cameron"/>
  </r>
  <r>
    <d v="2024-11-08T00:00:00"/>
    <n v="2490.0336000000002"/>
    <n v="498.00672000000009"/>
    <x v="1"/>
    <x v="3"/>
    <n v="18"/>
    <n v="153.28"/>
    <s v="Store B"/>
    <x v="1"/>
    <n v="0.05"/>
    <s v="Frank"/>
    <n v="2621.0880000000002"/>
    <x v="0"/>
    <x v="2"/>
    <n v="1"/>
    <s v="REG100859"/>
    <s v="Cust 8204"/>
    <n v="33.71"/>
    <x v="137"/>
    <d v="2024-11-13T00:00:00"/>
    <s v="Sophie"/>
  </r>
  <r>
    <d v="2023-03-22T00:00:00"/>
    <n v="2394.7190249999999"/>
    <n v="478.943805"/>
    <x v="2"/>
    <x v="6"/>
    <n v="17"/>
    <n v="194.97"/>
    <s v="Store A"/>
    <x v="1"/>
    <n v="0.15"/>
    <s v="Carlos"/>
    <n v="2817.3164999999999"/>
    <x v="1"/>
    <x v="1"/>
    <n v="1"/>
    <s v="REG100860"/>
    <s v="Cust 4035"/>
    <n v="5.59"/>
    <x v="568"/>
    <d v="2023-03-30T00:00:00"/>
    <s v="Ryan"/>
  </r>
  <r>
    <d v="2023-09-05T00:00:00"/>
    <n v="1838.05"/>
    <n v="367.61"/>
    <x v="0"/>
    <x v="4"/>
    <n v="5"/>
    <n v="367.61"/>
    <s v="Store C"/>
    <x v="1"/>
    <n v="0"/>
    <s v="Alice"/>
    <n v="1838.05"/>
    <x v="2"/>
    <x v="1"/>
    <n v="0"/>
    <s v="REG100861"/>
    <s v="Cust 1654"/>
    <n v="19.55"/>
    <x v="569"/>
    <d v="2023-09-13T00:00:00"/>
    <s v="Eric"/>
  </r>
  <r>
    <d v="2023-02-26T00:00:00"/>
    <n v="8829.6087499999994"/>
    <n v="1765.92175"/>
    <x v="0"/>
    <x v="0"/>
    <n v="17"/>
    <n v="575.5"/>
    <s v="Store D"/>
    <x v="1"/>
    <n v="0.05"/>
    <s v="Alice"/>
    <n v="9294.3249999999989"/>
    <x v="3"/>
    <x v="0"/>
    <n v="0"/>
    <s v="REG100862"/>
    <s v="Cust 1823"/>
    <n v="13.42"/>
    <x v="16"/>
    <d v="2023-03-05T00:00:00"/>
    <s v="Eric"/>
  </r>
  <r>
    <d v="2024-11-26T00:00:00"/>
    <n v="497.33287499999989"/>
    <n v="99.466574999999978"/>
    <x v="4"/>
    <x v="3"/>
    <n v="3"/>
    <n v="229.45"/>
    <s v="Store D"/>
    <x v="1"/>
    <n v="0.15"/>
    <s v="Bob"/>
    <n v="585.09749999999985"/>
    <x v="3"/>
    <x v="2"/>
    <n v="1"/>
    <s v="REG100863"/>
    <s v="Cust 1423"/>
    <n v="19.809999999999999"/>
    <x v="570"/>
    <d v="2024-11-29T00:00:00"/>
    <s v="Wendy"/>
  </r>
  <r>
    <d v="2024-10-14T00:00:00"/>
    <n v="1174.8900000000001"/>
    <n v="234.97800000000004"/>
    <x v="3"/>
    <x v="3"/>
    <n v="3"/>
    <n v="391.63"/>
    <s v="Store C"/>
    <x v="1"/>
    <n v="0"/>
    <s v="Frank"/>
    <n v="1174.8900000000001"/>
    <x v="3"/>
    <x v="3"/>
    <n v="1"/>
    <s v="REG100864"/>
    <s v="Cust 7282"/>
    <n v="25.36"/>
    <x v="571"/>
    <d v="2024-10-17T00:00:00"/>
    <s v="Cameron"/>
  </r>
  <r>
    <d v="2023-05-29T00:00:00"/>
    <n v="818.3024999999999"/>
    <n v="163.66049999999998"/>
    <x v="3"/>
    <x v="0"/>
    <n v="15"/>
    <n v="67.349999999999994"/>
    <s v="Store D"/>
    <x v="0"/>
    <n v="0.1"/>
    <s v="Diana"/>
    <n v="909.22499999999991"/>
    <x v="0"/>
    <x v="0"/>
    <n v="0"/>
    <s v="REG100865"/>
    <s v="Cust 8437"/>
    <n v="24.85"/>
    <x v="572"/>
    <d v="2023-06-03T00:00:00"/>
    <s v="Cameron"/>
  </r>
  <r>
    <d v="2024-03-22T00:00:00"/>
    <n v="1967.4831000000001"/>
    <n v="393.49662000000006"/>
    <x v="3"/>
    <x v="0"/>
    <n v="6"/>
    <n v="453.86"/>
    <s v="Store B"/>
    <x v="1"/>
    <n v="0.15"/>
    <s v="Alice"/>
    <n v="2314.6860000000001"/>
    <x v="2"/>
    <x v="3"/>
    <n v="0"/>
    <s v="REG100866"/>
    <s v="Cust 9508"/>
    <n v="45.32"/>
    <x v="124"/>
    <d v="2024-03-31T00:00:00"/>
    <s v="Cameron"/>
  </r>
  <r>
    <d v="2023-04-22T00:00:00"/>
    <n v="10216.299999999999"/>
    <n v="2043.26"/>
    <x v="1"/>
    <x v="5"/>
    <n v="19"/>
    <n v="537.70000000000005"/>
    <s v="Store D"/>
    <x v="0"/>
    <n v="0"/>
    <s v="Bob"/>
    <n v="10216.299999999999"/>
    <x v="0"/>
    <x v="1"/>
    <n v="0"/>
    <s v="REG100867"/>
    <s v="Cust 1186"/>
    <n v="45.83"/>
    <x v="573"/>
    <d v="2023-05-02T00:00:00"/>
    <s v="Sophie"/>
  </r>
  <r>
    <d v="2025-06-06T00:00:00"/>
    <n v="146.92699999999999"/>
    <n v="29.385400000000001"/>
    <x v="2"/>
    <x v="1"/>
    <n v="5"/>
    <n v="32.56"/>
    <s v="Store C"/>
    <x v="1"/>
    <n v="0.05"/>
    <s v="Diana"/>
    <n v="154.66"/>
    <x v="4"/>
    <x v="0"/>
    <n v="0"/>
    <s v="REG100868"/>
    <s v="Cust 4362"/>
    <n v="46.73"/>
    <x v="472"/>
    <d v="2025-06-12T00:00:00"/>
    <s v="Ryan"/>
  </r>
  <r>
    <d v="2023-01-25T00:00:00"/>
    <n v="393.4"/>
    <n v="78.680000000000007"/>
    <x v="3"/>
    <x v="0"/>
    <n v="2"/>
    <n v="196.7"/>
    <s v="Store A"/>
    <x v="1"/>
    <n v="0"/>
    <s v="Frank"/>
    <n v="393.4"/>
    <x v="0"/>
    <x v="0"/>
    <n v="0"/>
    <s v="REG100869"/>
    <s v="Cust 9388"/>
    <n v="35.840000000000003"/>
    <x v="232"/>
    <d v="2023-01-29T00:00:00"/>
    <s v="Cameron"/>
  </r>
  <r>
    <d v="2023-09-08T00:00:00"/>
    <n v="3591.0540000000001"/>
    <n v="718.21080000000006"/>
    <x v="1"/>
    <x v="1"/>
    <n v="12"/>
    <n v="369.45"/>
    <s v="Store D"/>
    <x v="0"/>
    <n v="0.1"/>
    <s v="Frank"/>
    <n v="3990.06"/>
    <x v="2"/>
    <x v="2"/>
    <n v="1"/>
    <s v="REG100870"/>
    <s v="Cust 4015"/>
    <n v="44.76"/>
    <x v="247"/>
    <d v="2023-09-10T00:00:00"/>
    <s v="Sophie"/>
  </r>
  <r>
    <d v="2024-10-04T00:00:00"/>
    <n v="1577.5932"/>
    <n v="315.51864"/>
    <x v="0"/>
    <x v="5"/>
    <n v="12"/>
    <n v="181.96"/>
    <s v="Store D"/>
    <x v="1"/>
    <n v="0.15"/>
    <s v="Eva"/>
    <n v="1855.992"/>
    <x v="1"/>
    <x v="2"/>
    <n v="0"/>
    <s v="REG100871"/>
    <s v="Cust 6428"/>
    <n v="25.06"/>
    <x v="574"/>
    <d v="2024-10-11T00:00:00"/>
    <s v="Eric"/>
  </r>
  <r>
    <d v="2025-04-06T00:00:00"/>
    <n v="69.511724999999998"/>
    <n v="13.902345"/>
    <x v="0"/>
    <x v="2"/>
    <n v="3"/>
    <n v="32.07"/>
    <s v="Store D"/>
    <x v="1"/>
    <n v="0.15"/>
    <s v="Alice"/>
    <n v="81.778500000000008"/>
    <x v="0"/>
    <x v="2"/>
    <n v="1"/>
    <s v="REG100872"/>
    <s v="Cust 2570"/>
    <n v="43.18"/>
    <x v="575"/>
    <d v="2025-04-08T00:00:00"/>
    <s v="Eric"/>
  </r>
  <r>
    <d v="2024-08-25T00:00:00"/>
    <n v="432.74137500000001"/>
    <n v="86.548275000000004"/>
    <x v="0"/>
    <x v="0"/>
    <n v="15"/>
    <n v="39.93"/>
    <s v="Store A"/>
    <x v="1"/>
    <n v="0.15"/>
    <s v="Diana"/>
    <n v="509.10750000000002"/>
    <x v="3"/>
    <x v="2"/>
    <n v="0"/>
    <s v="REG100873"/>
    <s v="Cust 5132"/>
    <n v="33.44"/>
    <x v="225"/>
    <d v="2024-08-29T00:00:00"/>
    <s v="Eric"/>
  </r>
  <r>
    <d v="2024-03-06T00:00:00"/>
    <n v="1893.6797249999997"/>
    <n v="378.73594499999996"/>
    <x v="2"/>
    <x v="1"/>
    <n v="7"/>
    <n v="374.43"/>
    <s v="Store A"/>
    <x v="1"/>
    <n v="0.15"/>
    <s v="Carlos"/>
    <n v="2227.8584999999998"/>
    <x v="4"/>
    <x v="1"/>
    <n v="0"/>
    <s v="REG100874"/>
    <s v="Cust 4929"/>
    <n v="28.97"/>
    <x v="491"/>
    <d v="2024-03-12T00:00:00"/>
    <s v="Ryan"/>
  </r>
  <r>
    <d v="2023-03-23T00:00:00"/>
    <n v="203.74"/>
    <n v="40.748000000000005"/>
    <x v="0"/>
    <x v="6"/>
    <n v="2"/>
    <n v="101.87"/>
    <s v="Store C"/>
    <x v="0"/>
    <n v="0"/>
    <s v="Diana"/>
    <n v="203.74"/>
    <x v="4"/>
    <x v="0"/>
    <n v="0"/>
    <s v="REG100875"/>
    <s v="Cust 4018"/>
    <n v="28.63"/>
    <x v="433"/>
    <d v="2023-03-26T00:00:00"/>
    <s v="Eric"/>
  </r>
  <r>
    <d v="2024-01-13T00:00:00"/>
    <n v="4029.5271249999992"/>
    <n v="805.90542499999992"/>
    <x v="3"/>
    <x v="5"/>
    <n v="13"/>
    <n v="343.45"/>
    <s v="Store D"/>
    <x v="0"/>
    <n v="0.05"/>
    <s v="Alice"/>
    <n v="4241.6074999999992"/>
    <x v="1"/>
    <x v="1"/>
    <n v="0"/>
    <s v="REG100876"/>
    <s v="Cust 8069"/>
    <n v="27.26"/>
    <x v="576"/>
    <d v="2024-01-17T00:00:00"/>
    <s v="Cameron"/>
  </r>
  <r>
    <d v="2023-07-18T00:00:00"/>
    <n v="2161.65"/>
    <n v="432.33000000000004"/>
    <x v="3"/>
    <x v="6"/>
    <n v="15"/>
    <n v="144.11000000000001"/>
    <s v="Store C"/>
    <x v="1"/>
    <n v="0"/>
    <s v="Frank"/>
    <n v="2161.65"/>
    <x v="1"/>
    <x v="3"/>
    <n v="0"/>
    <s v="REG100877"/>
    <s v="Cust 6741"/>
    <n v="28.51"/>
    <x v="338"/>
    <d v="2023-07-24T00:00:00"/>
    <s v="Cameron"/>
  </r>
  <r>
    <d v="2025-02-23T00:00:00"/>
    <n v="5249.8584000000001"/>
    <n v="1049.9716800000001"/>
    <x v="4"/>
    <x v="3"/>
    <n v="18"/>
    <n v="403.68"/>
    <s v="Store A"/>
    <x v="1"/>
    <n v="0.15"/>
    <s v="Carlos"/>
    <n v="6176.3040000000001"/>
    <x v="4"/>
    <x v="0"/>
    <n v="0"/>
    <s v="REG100878"/>
    <s v="Cust 8050"/>
    <n v="13.09"/>
    <x v="577"/>
    <d v="2025-03-04T00:00:00"/>
    <s v="Wendy"/>
  </r>
  <r>
    <d v="2023-02-22T00:00:00"/>
    <n v="3930.1038000000003"/>
    <n v="786.02076000000011"/>
    <x v="0"/>
    <x v="6"/>
    <n v="14"/>
    <n v="346.57"/>
    <s v="Store B"/>
    <x v="1"/>
    <n v="0.1"/>
    <s v="Carlos"/>
    <n v="4366.7820000000002"/>
    <x v="3"/>
    <x v="0"/>
    <n v="0"/>
    <s v="REG100879"/>
    <s v="Cust 2434"/>
    <n v="36.83"/>
    <x v="429"/>
    <d v="2023-03-02T00:00:00"/>
    <s v="Eric"/>
  </r>
  <r>
    <d v="2024-10-18T00:00:00"/>
    <n v="2749.53"/>
    <n v="549.90600000000006"/>
    <x v="2"/>
    <x v="6"/>
    <n v="7"/>
    <n v="392.79"/>
    <s v="Store C"/>
    <x v="0"/>
    <n v="0"/>
    <s v="Eva"/>
    <n v="2749.53"/>
    <x v="1"/>
    <x v="2"/>
    <n v="0"/>
    <s v="REG100880"/>
    <s v="Cust 9089"/>
    <n v="45.85"/>
    <x v="578"/>
    <d v="2024-10-28T00:00:00"/>
    <s v="Ryan"/>
  </r>
  <r>
    <d v="2023-10-26T00:00:00"/>
    <n v="1022.7851999999999"/>
    <n v="204.55704"/>
    <x v="4"/>
    <x v="6"/>
    <n v="16"/>
    <n v="70.83"/>
    <s v="Store B"/>
    <x v="0"/>
    <n v="0.05"/>
    <s v="Carlos"/>
    <n v="1076.616"/>
    <x v="1"/>
    <x v="3"/>
    <n v="0"/>
    <s v="REG100881"/>
    <s v="Cust 1091"/>
    <n v="5.05"/>
    <x v="71"/>
    <d v="2023-10-31T00:00:00"/>
    <s v="Wendy"/>
  </r>
  <r>
    <d v="2023-01-10T00:00:00"/>
    <n v="4444.7939999999999"/>
    <n v="888.9588"/>
    <x v="3"/>
    <x v="4"/>
    <n v="20"/>
    <n v="274.37"/>
    <s v="Store B"/>
    <x v="1"/>
    <n v="0.1"/>
    <s v="Eva"/>
    <n v="4938.66"/>
    <x v="1"/>
    <x v="2"/>
    <n v="0"/>
    <s v="REG100882"/>
    <s v="Cust 6138"/>
    <n v="12.28"/>
    <x v="579"/>
    <d v="2023-01-14T00:00:00"/>
    <s v="Cameron"/>
  </r>
  <r>
    <d v="2024-03-19T00:00:00"/>
    <n v="159.81299999999999"/>
    <n v="31.962599999999998"/>
    <x v="3"/>
    <x v="2"/>
    <n v="10"/>
    <n v="19.73"/>
    <s v="Store D"/>
    <x v="1"/>
    <n v="0.1"/>
    <s v="Carlos"/>
    <n v="177.57"/>
    <x v="3"/>
    <x v="3"/>
    <n v="0"/>
    <s v="REG100883"/>
    <s v="Cust 6326"/>
    <n v="16.059999999999999"/>
    <x v="422"/>
    <d v="2024-03-22T00:00:00"/>
    <s v="Cameron"/>
  </r>
  <r>
    <d v="2023-12-20T00:00:00"/>
    <n v="4203.1229999999996"/>
    <n v="840.62459999999999"/>
    <x v="3"/>
    <x v="6"/>
    <n v="10"/>
    <n v="465.72"/>
    <s v="Store B"/>
    <x v="0"/>
    <n v="0.05"/>
    <s v="Alice"/>
    <n v="4424.34"/>
    <x v="0"/>
    <x v="0"/>
    <n v="0"/>
    <s v="REG100884"/>
    <s v="Cust 1327"/>
    <n v="28.14"/>
    <x v="580"/>
    <d v="2023-12-26T00:00:00"/>
    <s v="Cameron"/>
  </r>
  <r>
    <d v="2024-12-09T00:00:00"/>
    <n v="955.25729999999999"/>
    <n v="191.05146000000002"/>
    <x v="3"/>
    <x v="4"/>
    <n v="19"/>
    <n v="62.07"/>
    <s v="Store D"/>
    <x v="1"/>
    <n v="0.1"/>
    <s v="Diana"/>
    <n v="1061.3969999999999"/>
    <x v="3"/>
    <x v="0"/>
    <n v="0"/>
    <s v="REG100885"/>
    <s v="Cust 8602"/>
    <n v="14.85"/>
    <x v="531"/>
    <d v="2024-12-19T00:00:00"/>
    <s v="Cameron"/>
  </r>
  <r>
    <d v="2023-05-10T00:00:00"/>
    <n v="5253.6329999999998"/>
    <n v="1050.7266"/>
    <x v="3"/>
    <x v="5"/>
    <n v="11"/>
    <n v="529.20000000000005"/>
    <s v="Store A"/>
    <x v="0"/>
    <n v="0.05"/>
    <s v="Bob"/>
    <n v="5530.14"/>
    <x v="2"/>
    <x v="3"/>
    <n v="1"/>
    <s v="REG100886"/>
    <s v="Cust 9131"/>
    <n v="16.78"/>
    <x v="2"/>
    <d v="2023-05-20T00:00:00"/>
    <s v="Cameron"/>
  </r>
  <r>
    <d v="2023-10-18T00:00:00"/>
    <n v="2196.0477000000001"/>
    <n v="439.20954000000006"/>
    <x v="1"/>
    <x v="4"/>
    <n v="7"/>
    <n v="387.31"/>
    <s v="Store A"/>
    <x v="1"/>
    <n v="0.1"/>
    <s v="Bob"/>
    <n v="2440.0529999999999"/>
    <x v="4"/>
    <x v="2"/>
    <n v="0"/>
    <s v="REG100887"/>
    <s v="Cust 6716"/>
    <n v="14.76"/>
    <x v="90"/>
    <d v="2023-10-21T00:00:00"/>
    <s v="Sophie"/>
  </r>
  <r>
    <d v="2024-12-03T00:00:00"/>
    <n v="152.75"/>
    <n v="30.55"/>
    <x v="1"/>
    <x v="1"/>
    <n v="1"/>
    <n v="152.75"/>
    <s v="Store A"/>
    <x v="0"/>
    <n v="0"/>
    <s v="Bob"/>
    <n v="152.75"/>
    <x v="2"/>
    <x v="0"/>
    <n v="1"/>
    <s v="REG100888"/>
    <s v="Cust 2071"/>
    <n v="9.61"/>
    <x v="581"/>
    <d v="2024-12-06T00:00:00"/>
    <s v="Sophie"/>
  </r>
  <r>
    <d v="2024-10-10T00:00:00"/>
    <n v="469.67040000000003"/>
    <n v="93.934080000000009"/>
    <x v="1"/>
    <x v="3"/>
    <n v="8"/>
    <n v="72.48"/>
    <s v="Store A"/>
    <x v="0"/>
    <n v="0.1"/>
    <s v="Carlos"/>
    <n v="521.85599999999999"/>
    <x v="3"/>
    <x v="3"/>
    <n v="1"/>
    <s v="REG100889"/>
    <s v="Cust 4472"/>
    <n v="26.92"/>
    <x v="268"/>
    <d v="2024-10-17T00:00:00"/>
    <s v="Sophie"/>
  </r>
  <r>
    <d v="2024-06-03T00:00:00"/>
    <n v="628.85160000000008"/>
    <n v="125.77032000000003"/>
    <x v="0"/>
    <x v="1"/>
    <n v="4"/>
    <n v="194.09"/>
    <s v="Store D"/>
    <x v="0"/>
    <n v="0.1"/>
    <s v="Eva"/>
    <n v="698.72400000000005"/>
    <x v="2"/>
    <x v="2"/>
    <n v="0"/>
    <s v="REG100890"/>
    <s v="Cust 3899"/>
    <n v="26.35"/>
    <x v="189"/>
    <d v="2024-06-07T00:00:00"/>
    <s v="Eric"/>
  </r>
  <r>
    <d v="2025-03-26T00:00:00"/>
    <n v="431.30474999999996"/>
    <n v="86.260949999999994"/>
    <x v="1"/>
    <x v="1"/>
    <n v="3"/>
    <n v="159.30000000000001"/>
    <s v="Store B"/>
    <x v="0"/>
    <n v="0.05"/>
    <s v="Eva"/>
    <n v="454.005"/>
    <x v="2"/>
    <x v="1"/>
    <n v="1"/>
    <s v="REG100891"/>
    <s v="Cust 9467"/>
    <n v="45.34"/>
    <x v="582"/>
    <d v="2025-03-29T00:00:00"/>
    <s v="Sophie"/>
  </r>
  <r>
    <d v="2024-04-26T00:00:00"/>
    <n v="982.91880000000003"/>
    <n v="196.58376000000001"/>
    <x v="2"/>
    <x v="4"/>
    <n v="4"/>
    <n v="303.37"/>
    <s v="Store A"/>
    <x v="1"/>
    <n v="0.1"/>
    <s v="Carlos"/>
    <n v="1092.1320000000001"/>
    <x v="1"/>
    <x v="2"/>
    <n v="0"/>
    <s v="REG100892"/>
    <s v="Cust 3824"/>
    <n v="30.19"/>
    <x v="478"/>
    <d v="2024-05-01T00:00:00"/>
    <s v="Ryan"/>
  </r>
  <r>
    <d v="2023-05-05T00:00:00"/>
    <n v="7023.8016000000007"/>
    <n v="1404.7603200000003"/>
    <x v="4"/>
    <x v="3"/>
    <n v="16"/>
    <n v="541.96"/>
    <s v="Store C"/>
    <x v="1"/>
    <n v="0.1"/>
    <s v="Eva"/>
    <n v="7804.2240000000011"/>
    <x v="4"/>
    <x v="1"/>
    <n v="1"/>
    <s v="REG100893"/>
    <s v="Cust 3511"/>
    <n v="9.93"/>
    <x v="583"/>
    <d v="2023-05-13T00:00:00"/>
    <s v="Wendy"/>
  </r>
  <r>
    <d v="2023-09-23T00:00:00"/>
    <n v="290.99"/>
    <n v="58.198000000000008"/>
    <x v="4"/>
    <x v="2"/>
    <n v="7"/>
    <n v="41.57"/>
    <s v="Store D"/>
    <x v="1"/>
    <n v="0"/>
    <s v="Carlos"/>
    <n v="290.99"/>
    <x v="0"/>
    <x v="3"/>
    <n v="0"/>
    <s v="REG100894"/>
    <s v="Cust 3356"/>
    <n v="16.59"/>
    <x v="584"/>
    <d v="2023-09-29T00:00:00"/>
    <s v="Wendy"/>
  </r>
  <r>
    <d v="2025-03-08T00:00:00"/>
    <n v="2517.0744"/>
    <n v="503.41488000000004"/>
    <x v="1"/>
    <x v="4"/>
    <n v="16"/>
    <n v="217.74"/>
    <s v="Store A"/>
    <x v="0"/>
    <n v="0.15"/>
    <s v="Frank"/>
    <n v="2961.2640000000001"/>
    <x v="4"/>
    <x v="0"/>
    <n v="1"/>
    <s v="REG100895"/>
    <s v="Cust 2840"/>
    <n v="25.11"/>
    <x v="251"/>
    <d v="2025-03-15T00:00:00"/>
    <s v="Sophie"/>
  </r>
  <r>
    <d v="2023-01-17T00:00:00"/>
    <n v="287.55"/>
    <n v="57.510000000000005"/>
    <x v="2"/>
    <x v="6"/>
    <n v="15"/>
    <n v="19.170000000000002"/>
    <s v="Store A"/>
    <x v="0"/>
    <n v="0"/>
    <s v="Carlos"/>
    <n v="287.55"/>
    <x v="1"/>
    <x v="0"/>
    <n v="1"/>
    <s v="REG100896"/>
    <s v="Cust 3811"/>
    <n v="48.93"/>
    <x v="585"/>
    <d v="2023-01-27T00:00:00"/>
    <s v="Ryan"/>
  </r>
  <r>
    <d v="2023-04-29T00:00:00"/>
    <n v="3564.0810000000001"/>
    <n v="712.81620000000009"/>
    <x v="3"/>
    <x v="4"/>
    <n v="15"/>
    <n v="293.33999999999997"/>
    <s v="Store D"/>
    <x v="1"/>
    <n v="0.1"/>
    <s v="Eva"/>
    <n v="3960.09"/>
    <x v="2"/>
    <x v="2"/>
    <n v="0"/>
    <s v="REG100897"/>
    <s v="Cust 9960"/>
    <n v="21.03"/>
    <x v="431"/>
    <d v="2023-05-01T00:00:00"/>
    <s v="Cameron"/>
  </r>
  <r>
    <d v="2025-02-16T00:00:00"/>
    <n v="2982.7764000000002"/>
    <n v="596.55528000000004"/>
    <x v="1"/>
    <x v="6"/>
    <n v="18"/>
    <n v="204.58"/>
    <s v="Store C"/>
    <x v="1"/>
    <n v="0.1"/>
    <s v="Diana"/>
    <n v="3314.1959999999999"/>
    <x v="4"/>
    <x v="3"/>
    <n v="0"/>
    <s v="REG100898"/>
    <s v="Cust 5906"/>
    <n v="16.04"/>
    <x v="586"/>
    <d v="2025-02-22T00:00:00"/>
    <s v="Sophie"/>
  </r>
  <r>
    <d v="2023-06-05T00:00:00"/>
    <n v="3517.6357500000004"/>
    <n v="703.52715000000012"/>
    <x v="0"/>
    <x v="6"/>
    <n v="15"/>
    <n v="324.58"/>
    <s v="Store A"/>
    <x v="1"/>
    <n v="0.15"/>
    <s v="Diana"/>
    <n v="4138.3950000000004"/>
    <x v="3"/>
    <x v="3"/>
    <n v="0"/>
    <s v="REG100899"/>
    <s v="Cust 6579"/>
    <n v="24.57"/>
    <x v="587"/>
    <d v="2023-06-09T00:00:00"/>
    <s v="Eric"/>
  </r>
  <r>
    <d v="2023-08-28T00:00:00"/>
    <n v="3907.563275"/>
    <n v="781.512655"/>
    <x v="1"/>
    <x v="1"/>
    <n v="11"/>
    <n v="393.61"/>
    <s v="Store D"/>
    <x v="0"/>
    <n v="0.05"/>
    <s v="Frank"/>
    <n v="4113.2245000000003"/>
    <x v="3"/>
    <x v="2"/>
    <n v="0"/>
    <s v="REG100900"/>
    <s v="Cust 1756"/>
    <n v="32.57"/>
    <x v="228"/>
    <d v="2023-09-06T00:00:00"/>
    <s v="Sophie"/>
  </r>
  <r>
    <d v="2023-08-01T00:00:00"/>
    <n v="1020.0416"/>
    <n v="204.00832000000003"/>
    <x v="2"/>
    <x v="6"/>
    <n v="8"/>
    <n v="141.28"/>
    <s v="Store D"/>
    <x v="0"/>
    <n v="0.05"/>
    <s v="Frank"/>
    <n v="1073.7280000000001"/>
    <x v="0"/>
    <x v="0"/>
    <n v="0"/>
    <s v="REG100901"/>
    <s v="Cust 8150"/>
    <n v="28.69"/>
    <x v="588"/>
    <d v="2023-08-10T00:00:00"/>
    <s v="Ryan"/>
  </r>
  <r>
    <d v="2025-02-12T00:00:00"/>
    <n v="2138.1086999999998"/>
    <n v="427.62173999999999"/>
    <x v="4"/>
    <x v="1"/>
    <n v="13"/>
    <n v="227.64"/>
    <s v="Store C"/>
    <x v="1"/>
    <n v="0.15"/>
    <s v="Frank"/>
    <n v="2515.422"/>
    <x v="4"/>
    <x v="0"/>
    <n v="1"/>
    <s v="REG100902"/>
    <s v="Cust 8999"/>
    <n v="46.67"/>
    <x v="149"/>
    <d v="2025-02-20T00:00:00"/>
    <s v="Wendy"/>
  </r>
  <r>
    <d v="2023-07-03T00:00:00"/>
    <n v="5249.0672999999997"/>
    <n v="1049.8134600000001"/>
    <x v="3"/>
    <x v="0"/>
    <n v="19"/>
    <n v="341.07"/>
    <s v="Store C"/>
    <x v="1"/>
    <n v="0.1"/>
    <s v="Carlos"/>
    <n v="5832.2969999999996"/>
    <x v="4"/>
    <x v="2"/>
    <n v="0"/>
    <s v="REG100903"/>
    <s v="Cust 4277"/>
    <n v="47.75"/>
    <x v="318"/>
    <d v="2023-07-06T00:00:00"/>
    <s v="Cameron"/>
  </r>
  <r>
    <d v="2025-05-09T00:00:00"/>
    <n v="5858.1274999999996"/>
    <n v="1171.6254999999999"/>
    <x v="3"/>
    <x v="1"/>
    <n v="20"/>
    <n v="324.55"/>
    <s v="Store B"/>
    <x v="0"/>
    <n v="0.05"/>
    <s v="Eva"/>
    <n v="6166.45"/>
    <x v="2"/>
    <x v="2"/>
    <n v="1"/>
    <s v="REG100904"/>
    <s v="Cust 8751"/>
    <n v="21.21"/>
    <x v="589"/>
    <d v="2025-05-13T00:00:00"/>
    <s v="Cameron"/>
  </r>
  <r>
    <d v="2024-05-05T00:00:00"/>
    <n v="3901.8672000000006"/>
    <n v="780.37344000000019"/>
    <x v="4"/>
    <x v="2"/>
    <n v="16"/>
    <n v="301.07"/>
    <s v="Store B"/>
    <x v="1"/>
    <n v="0.1"/>
    <s v="Carlos"/>
    <n v="4335.4080000000004"/>
    <x v="1"/>
    <x v="2"/>
    <n v="0"/>
    <s v="REG100905"/>
    <s v="Cust 2482"/>
    <n v="5.58"/>
    <x v="458"/>
    <d v="2024-05-14T00:00:00"/>
    <s v="Wendy"/>
  </r>
  <r>
    <d v="2024-01-08T00:00:00"/>
    <n v="3708.639999999999"/>
    <n v="741.72799999999984"/>
    <x v="1"/>
    <x v="4"/>
    <n v="13"/>
    <n v="285.27999999999997"/>
    <s v="Store D"/>
    <x v="1"/>
    <n v="0"/>
    <s v="Eva"/>
    <n v="3708.639999999999"/>
    <x v="1"/>
    <x v="1"/>
    <n v="0"/>
    <s v="REG100906"/>
    <s v="Cust 4078"/>
    <n v="31.2"/>
    <x v="590"/>
    <d v="2024-01-15T00:00:00"/>
    <s v="Sophie"/>
  </r>
  <r>
    <d v="2025-01-13T00:00:00"/>
    <n v="270.60000000000002"/>
    <n v="54.120000000000005"/>
    <x v="1"/>
    <x v="1"/>
    <n v="15"/>
    <n v="18.04"/>
    <s v="Store C"/>
    <x v="0"/>
    <n v="0"/>
    <s v="Eva"/>
    <n v="270.60000000000002"/>
    <x v="2"/>
    <x v="1"/>
    <n v="1"/>
    <s v="REG100907"/>
    <s v="Cust 9091"/>
    <n v="14.35"/>
    <x v="427"/>
    <d v="2025-01-17T00:00:00"/>
    <s v="Sophie"/>
  </r>
  <r>
    <d v="2025-06-12T00:00:00"/>
    <n v="5449.84"/>
    <n v="1089.9680000000001"/>
    <x v="0"/>
    <x v="6"/>
    <n v="11"/>
    <n v="495.44"/>
    <s v="Store A"/>
    <x v="0"/>
    <n v="0"/>
    <s v="Bob"/>
    <n v="5449.84"/>
    <x v="1"/>
    <x v="0"/>
    <n v="0"/>
    <s v="REG100908"/>
    <s v="Cust 8706"/>
    <n v="44.77"/>
    <x v="103"/>
    <d v="2025-06-18T00:00:00"/>
    <s v="Eric"/>
  </r>
  <r>
    <d v="2025-04-03T00:00:00"/>
    <n v="2396.5614"/>
    <n v="479.31228000000004"/>
    <x v="2"/>
    <x v="0"/>
    <n v="12"/>
    <n v="276.42"/>
    <s v="Store C"/>
    <x v="1"/>
    <n v="0.15"/>
    <s v="Carlos"/>
    <n v="2819.4839999999999"/>
    <x v="0"/>
    <x v="3"/>
    <n v="0"/>
    <s v="REG100909"/>
    <s v="Cust 5042"/>
    <n v="30.57"/>
    <x v="591"/>
    <d v="2025-04-12T00:00:00"/>
    <s v="Ryan"/>
  </r>
  <r>
    <d v="2023-01-26T00:00:00"/>
    <n v="1154.7284"/>
    <n v="230.94568000000001"/>
    <x v="3"/>
    <x v="2"/>
    <n v="7"/>
    <n v="228.32"/>
    <s v="Store C"/>
    <x v="0"/>
    <n v="0.15"/>
    <s v="Eva"/>
    <n v="1358.5039999999999"/>
    <x v="3"/>
    <x v="0"/>
    <n v="0"/>
    <s v="REG100910"/>
    <s v="Cust 3319"/>
    <n v="22.16"/>
    <x v="592"/>
    <d v="2023-01-30T00:00:00"/>
    <s v="Cameron"/>
  </r>
  <r>
    <d v="2023-01-07T00:00:00"/>
    <n v="403.53390000000002"/>
    <n v="80.706780000000009"/>
    <x v="3"/>
    <x v="4"/>
    <n v="1"/>
    <n v="498.19"/>
    <s v="Store A"/>
    <x v="0"/>
    <n v="0.1"/>
    <s v="Bob"/>
    <n v="448.37099999999998"/>
    <x v="1"/>
    <x v="1"/>
    <n v="0"/>
    <s v="REG100911"/>
    <s v="Cust 4139"/>
    <n v="25.55"/>
    <x v="455"/>
    <d v="2023-01-11T00:00:00"/>
    <s v="Cameron"/>
  </r>
  <r>
    <d v="2025-01-15T00:00:00"/>
    <n v="5479.6014000000005"/>
    <n v="1095.92028"/>
    <x v="2"/>
    <x v="2"/>
    <n v="18"/>
    <n v="375.83"/>
    <s v="Store C"/>
    <x v="1"/>
    <n v="0.1"/>
    <s v="Carlos"/>
    <n v="6088.4459999999999"/>
    <x v="1"/>
    <x v="3"/>
    <n v="0"/>
    <s v="REG100912"/>
    <s v="Cust 6993"/>
    <n v="15.13"/>
    <x v="593"/>
    <d v="2025-01-23T00:00:00"/>
    <s v="Ryan"/>
  </r>
  <r>
    <d v="2024-11-30T00:00:00"/>
    <n v="2346.48"/>
    <n v="469.29600000000005"/>
    <x v="0"/>
    <x v="3"/>
    <n v="18"/>
    <n v="130.36000000000001"/>
    <s v="Store B"/>
    <x v="0"/>
    <n v="0"/>
    <s v="Diana"/>
    <n v="2346.48"/>
    <x v="3"/>
    <x v="1"/>
    <n v="0"/>
    <s v="REG100913"/>
    <s v="Cust 8397"/>
    <n v="34.6"/>
    <x v="594"/>
    <d v="2024-12-05T00:00:00"/>
    <s v="Eric"/>
  </r>
  <r>
    <d v="2024-02-26T00:00:00"/>
    <n v="5502.8778999999995"/>
    <n v="1100.5755799999999"/>
    <x v="0"/>
    <x v="4"/>
    <n v="13"/>
    <n v="585.88"/>
    <s v="Store B"/>
    <x v="1"/>
    <n v="0.15"/>
    <s v="Carlos"/>
    <n v="6473.9739999999993"/>
    <x v="2"/>
    <x v="2"/>
    <n v="0"/>
    <s v="REG100914"/>
    <s v="Cust 3082"/>
    <n v="42.18"/>
    <x v="361"/>
    <d v="2024-03-07T00:00:00"/>
    <s v="Eric"/>
  </r>
  <r>
    <d v="2025-06-11T00:00:00"/>
    <n v="4767.6909000000005"/>
    <n v="953.53818000000012"/>
    <x v="2"/>
    <x v="2"/>
    <n v="19"/>
    <n v="278.04000000000002"/>
    <s v="Store B"/>
    <x v="1"/>
    <n v="0.05"/>
    <s v="Bob"/>
    <n v="5018.6220000000003"/>
    <x v="2"/>
    <x v="1"/>
    <n v="0"/>
    <s v="REG100915"/>
    <s v="Cust 1156"/>
    <n v="16.399999999999999"/>
    <x v="54"/>
    <d v="2025-06-15T00:00:00"/>
    <s v="Ryan"/>
  </r>
  <r>
    <d v="2023-11-29T00:00:00"/>
    <n v="2947.01"/>
    <n v="589.40200000000004"/>
    <x v="3"/>
    <x v="1"/>
    <n v="11"/>
    <n v="267.91000000000003"/>
    <s v="Store B"/>
    <x v="1"/>
    <n v="0"/>
    <s v="Eva"/>
    <n v="2947.01"/>
    <x v="3"/>
    <x v="3"/>
    <n v="0"/>
    <s v="REG100916"/>
    <s v="Cust 4720"/>
    <n v="12.05"/>
    <x v="348"/>
    <d v="2023-12-04T00:00:00"/>
    <s v="Cameron"/>
  </r>
  <r>
    <d v="2024-06-27T00:00:00"/>
    <n v="4002.1181999999999"/>
    <n v="800.42363999999998"/>
    <x v="1"/>
    <x v="3"/>
    <n v="12"/>
    <n v="369.54"/>
    <s v="Store B"/>
    <x v="1"/>
    <n v="0.05"/>
    <s v="Diana"/>
    <n v="4212.7560000000003"/>
    <x v="3"/>
    <x v="2"/>
    <n v="1"/>
    <s v="REG100917"/>
    <s v="Cust 7034"/>
    <n v="39.159999999999997"/>
    <x v="595"/>
    <d v="2024-07-05T00:00:00"/>
    <s v="Sophie"/>
  </r>
  <r>
    <d v="2024-05-20T00:00:00"/>
    <n v="3335.5497499999997"/>
    <n v="667.10995000000003"/>
    <x v="1"/>
    <x v="4"/>
    <n v="13"/>
    <n v="284.3"/>
    <s v="Store A"/>
    <x v="0"/>
    <n v="0.05"/>
    <s v="Bob"/>
    <n v="3511.105"/>
    <x v="0"/>
    <x v="2"/>
    <n v="0"/>
    <s v="REG100918"/>
    <s v="Cust 7218"/>
    <n v="48.73"/>
    <x v="510"/>
    <d v="2024-05-27T00:00:00"/>
    <s v="Sophie"/>
  </r>
  <r>
    <d v="2023-06-17T00:00:00"/>
    <n v="5125.2000000000007"/>
    <n v="1025.0400000000002"/>
    <x v="4"/>
    <x v="3"/>
    <n v="12"/>
    <n v="427.1"/>
    <s v="Store C"/>
    <x v="1"/>
    <n v="0"/>
    <s v="Carlos"/>
    <n v="5125.2000000000007"/>
    <x v="1"/>
    <x v="2"/>
    <n v="1"/>
    <s v="REG100919"/>
    <s v="Cust 2651"/>
    <n v="8.11"/>
    <x v="357"/>
    <d v="2023-06-22T00:00:00"/>
    <s v="Wendy"/>
  </r>
  <r>
    <d v="2024-11-06T00:00:00"/>
    <n v="1784.673"/>
    <n v="356.93460000000005"/>
    <x v="0"/>
    <x v="4"/>
    <n v="11"/>
    <n v="200.3"/>
    <s v="Store D"/>
    <x v="1"/>
    <n v="0.1"/>
    <s v="Eva"/>
    <n v="1982.97"/>
    <x v="3"/>
    <x v="2"/>
    <n v="1"/>
    <s v="REG100920"/>
    <s v="Cust 1252"/>
    <n v="48.27"/>
    <x v="158"/>
    <d v="2024-11-13T00:00:00"/>
    <s v="Eric"/>
  </r>
  <r>
    <d v="2025-02-12T00:00:00"/>
    <n v="219.06200000000001"/>
    <n v="43.812400000000004"/>
    <x v="2"/>
    <x v="6"/>
    <n v="4"/>
    <n v="75.8"/>
    <s v="Store C"/>
    <x v="1"/>
    <n v="0.15"/>
    <s v="Carlos"/>
    <n v="257.72000000000003"/>
    <x v="2"/>
    <x v="1"/>
    <n v="0"/>
    <s v="REG100921"/>
    <s v="Cust 6679"/>
    <n v="12.22"/>
    <x v="149"/>
    <d v="2025-02-20T00:00:00"/>
    <s v="Ryan"/>
  </r>
  <r>
    <d v="2025-04-09T00:00:00"/>
    <n v="2073.7199999999998"/>
    <n v="414.74399999999997"/>
    <x v="2"/>
    <x v="4"/>
    <n v="4"/>
    <n v="518.42999999999995"/>
    <s v="Store A"/>
    <x v="0"/>
    <n v="0"/>
    <s v="Alice"/>
    <n v="2073.7199999999998"/>
    <x v="0"/>
    <x v="1"/>
    <n v="0"/>
    <s v="REG100922"/>
    <s v="Cust 1656"/>
    <n v="30.86"/>
    <x v="320"/>
    <d v="2025-04-14T00:00:00"/>
    <s v="Ryan"/>
  </r>
  <r>
    <d v="2024-08-18T00:00:00"/>
    <n v="3106.7840499999998"/>
    <n v="621.35681"/>
    <x v="2"/>
    <x v="5"/>
    <n v="19"/>
    <n v="181.18"/>
    <s v="Store A"/>
    <x v="0"/>
    <n v="0.05"/>
    <s v="Carlos"/>
    <n v="3270.299"/>
    <x v="2"/>
    <x v="0"/>
    <n v="0"/>
    <s v="REG100923"/>
    <s v="Cust 9361"/>
    <n v="12.04"/>
    <x v="596"/>
    <d v="2024-08-26T00:00:00"/>
    <s v="Ryan"/>
  </r>
  <r>
    <d v="2023-02-20T00:00:00"/>
    <n v="533.83777499999997"/>
    <n v="106.767555"/>
    <x v="3"/>
    <x v="0"/>
    <n v="3"/>
    <n v="197.17"/>
    <s v="Store A"/>
    <x v="0"/>
    <n v="0.05"/>
    <s v="Frank"/>
    <n v="561.93449999999996"/>
    <x v="1"/>
    <x v="0"/>
    <n v="1"/>
    <s v="REG100924"/>
    <s v="Cust 4270"/>
    <n v="30.29"/>
    <x v="597"/>
    <d v="2023-02-23T00:00:00"/>
    <s v="Cameron"/>
  </r>
  <r>
    <d v="2025-04-28T00:00:00"/>
    <n v="443.8134"/>
    <n v="88.762680000000003"/>
    <x v="2"/>
    <x v="0"/>
    <n v="6"/>
    <n v="81.96"/>
    <s v="Store D"/>
    <x v="0"/>
    <n v="0.05"/>
    <s v="Diana"/>
    <n v="467.17200000000003"/>
    <x v="2"/>
    <x v="2"/>
    <n v="0"/>
    <s v="REG100925"/>
    <s v="Cust 3049"/>
    <n v="26.43"/>
    <x v="598"/>
    <d v="2025-05-08T00:00:00"/>
    <s v="Ryan"/>
  </r>
  <r>
    <d v="2023-08-10T00:00:00"/>
    <n v="179.34"/>
    <n v="35.868000000000002"/>
    <x v="3"/>
    <x v="6"/>
    <n v="3"/>
    <n v="59.78"/>
    <s v="Store C"/>
    <x v="1"/>
    <n v="0"/>
    <s v="Eva"/>
    <n v="179.34"/>
    <x v="0"/>
    <x v="1"/>
    <n v="0"/>
    <s v="REG100926"/>
    <s v="Cust 6415"/>
    <n v="46.98"/>
    <x v="39"/>
    <d v="2023-08-13T00:00:00"/>
    <s v="Cameron"/>
  </r>
  <r>
    <d v="2024-06-24T00:00:00"/>
    <n v="2057.3352"/>
    <n v="411.46704"/>
    <x v="2"/>
    <x v="5"/>
    <n v="12"/>
    <n v="211.66"/>
    <s v="Store A"/>
    <x v="0"/>
    <n v="0.1"/>
    <s v="Carlos"/>
    <n v="2285.9279999999999"/>
    <x v="2"/>
    <x v="1"/>
    <n v="0"/>
    <s v="REG100927"/>
    <s v="Cust 9856"/>
    <n v="10.36"/>
    <x v="503"/>
    <d v="2024-06-29T00:00:00"/>
    <s v="Ryan"/>
  </r>
  <r>
    <d v="2023-08-06T00:00:00"/>
    <n v="820.92302499999994"/>
    <n v="164.184605"/>
    <x v="3"/>
    <x v="6"/>
    <n v="13"/>
    <n v="69.97"/>
    <s v="Store A"/>
    <x v="0"/>
    <n v="0.05"/>
    <s v="Alice"/>
    <n v="864.12950000000001"/>
    <x v="3"/>
    <x v="3"/>
    <n v="0"/>
    <s v="REG100928"/>
    <s v="Cust 3106"/>
    <n v="27.66"/>
    <x v="23"/>
    <d v="2023-08-12T00:00:00"/>
    <s v="Cameron"/>
  </r>
  <r>
    <d v="2024-11-26T00:00:00"/>
    <n v="2485.3310999999999"/>
    <n v="497.06621999999999"/>
    <x v="0"/>
    <x v="5"/>
    <n v="7"/>
    <n v="438.33"/>
    <s v="Store C"/>
    <x v="1"/>
    <n v="0.1"/>
    <s v="Frank"/>
    <n v="2761.4789999999998"/>
    <x v="4"/>
    <x v="3"/>
    <n v="1"/>
    <s v="REG100929"/>
    <s v="Cust 3259"/>
    <n v="11.57"/>
    <x v="570"/>
    <d v="2024-11-30T00:00:00"/>
    <s v="Eric"/>
  </r>
  <r>
    <d v="2025-02-06T00:00:00"/>
    <n v="1371.0626999999999"/>
    <n v="274.21253999999999"/>
    <x v="0"/>
    <x v="0"/>
    <n v="7"/>
    <n v="241.81"/>
    <s v="Store C"/>
    <x v="0"/>
    <n v="0.1"/>
    <s v="Alice"/>
    <n v="1523.403"/>
    <x v="3"/>
    <x v="0"/>
    <n v="0"/>
    <s v="REG100930"/>
    <s v="Cust 7107"/>
    <n v="32.94"/>
    <x v="323"/>
    <d v="2025-02-10T00:00:00"/>
    <s v="Eric"/>
  </r>
  <r>
    <d v="2025-03-20T00:00:00"/>
    <n v="1011.4422"/>
    <n v="202.28844000000001"/>
    <x v="0"/>
    <x v="2"/>
    <n v="3"/>
    <n v="466.64"/>
    <s v="Store A"/>
    <x v="1"/>
    <n v="0.15"/>
    <s v="Bob"/>
    <n v="1189.932"/>
    <x v="0"/>
    <x v="0"/>
    <n v="0"/>
    <s v="REG100931"/>
    <s v="Cust 7542"/>
    <n v="30.33"/>
    <x v="192"/>
    <d v="2025-03-26T00:00:00"/>
    <s v="Eric"/>
  </r>
  <r>
    <d v="2024-09-10T00:00:00"/>
    <n v="3840.6428999999985"/>
    <n v="768.12857999999972"/>
    <x v="1"/>
    <x v="4"/>
    <n v="9"/>
    <n v="472.84"/>
    <s v="Store D"/>
    <x v="1"/>
    <n v="0.05"/>
    <s v="Alice"/>
    <n v="4042.7819999999988"/>
    <x v="2"/>
    <x v="2"/>
    <n v="0"/>
    <s v="REG100932"/>
    <s v="Cust 6330"/>
    <n v="48.13"/>
    <x v="328"/>
    <d v="2024-09-12T00:00:00"/>
    <s v="Sophie"/>
  </r>
  <r>
    <d v="2025-02-20T00:00:00"/>
    <n v="9026.0810999999994"/>
    <n v="1805.21622"/>
    <x v="1"/>
    <x v="3"/>
    <n v="19"/>
    <n v="586.49"/>
    <s v="Store A"/>
    <x v="0"/>
    <n v="0.1"/>
    <s v="Eva"/>
    <n v="10028.978999999999"/>
    <x v="4"/>
    <x v="1"/>
    <n v="0"/>
    <s v="REG100933"/>
    <s v="Cust 1469"/>
    <n v="19.850000000000001"/>
    <x v="241"/>
    <d v="2025-03-02T00:00:00"/>
    <s v="Sophie"/>
  </r>
  <r>
    <d v="2023-01-20T00:00:00"/>
    <n v="5016.1368749999992"/>
    <n v="1003.2273749999999"/>
    <x v="0"/>
    <x v="3"/>
    <n v="15"/>
    <n v="462.85"/>
    <s v="Store A"/>
    <x v="1"/>
    <n v="0.15"/>
    <s v="Diana"/>
    <n v="5901.3374999999996"/>
    <x v="2"/>
    <x v="3"/>
    <n v="0"/>
    <s v="REG100934"/>
    <s v="Cust 3698"/>
    <n v="46.12"/>
    <x v="411"/>
    <d v="2023-01-26T00:00:00"/>
    <s v="Eric"/>
  </r>
  <r>
    <d v="2024-03-03T00:00:00"/>
    <n v="158.993425"/>
    <n v="31.798685000000003"/>
    <x v="0"/>
    <x v="0"/>
    <n v="1"/>
    <n v="176.17"/>
    <s v="Store C"/>
    <x v="1"/>
    <n v="0.05"/>
    <s v="Alice"/>
    <n v="167.36150000000001"/>
    <x v="3"/>
    <x v="3"/>
    <n v="1"/>
    <s v="REG100935"/>
    <s v="Cust 9833"/>
    <n v="35.770000000000003"/>
    <x v="69"/>
    <d v="2024-03-06T00:00:00"/>
    <s v="Eric"/>
  </r>
  <r>
    <d v="2023-11-27T00:00:00"/>
    <n v="57.7044"/>
    <n v="11.540880000000001"/>
    <x v="4"/>
    <x v="6"/>
    <n v="1"/>
    <n v="71.239999999999995"/>
    <s v="Store A"/>
    <x v="1"/>
    <n v="0.1"/>
    <s v="Carlos"/>
    <n v="64.116"/>
    <x v="3"/>
    <x v="3"/>
    <n v="1"/>
    <s v="REG100936"/>
    <s v="Cust 1074"/>
    <n v="43.69"/>
    <x v="165"/>
    <d v="2023-12-03T00:00:00"/>
    <s v="Wendy"/>
  </r>
  <r>
    <d v="2024-11-10T00:00:00"/>
    <n v="374.58"/>
    <n v="74.915999999999997"/>
    <x v="0"/>
    <x v="0"/>
    <n v="6"/>
    <n v="62.43"/>
    <s v="Store A"/>
    <x v="0"/>
    <n v="0"/>
    <s v="Diana"/>
    <n v="374.58"/>
    <x v="1"/>
    <x v="2"/>
    <n v="0"/>
    <s v="REG100937"/>
    <s v="Cust 7891"/>
    <n v="17.850000000000001"/>
    <x v="329"/>
    <d v="2024-11-18T00:00:00"/>
    <s v="Eric"/>
  </r>
  <r>
    <d v="2025-02-04T00:00:00"/>
    <n v="3231.2763"/>
    <n v="646.25526000000002"/>
    <x v="3"/>
    <x v="5"/>
    <n v="7"/>
    <n v="569.89"/>
    <s v="Store D"/>
    <x v="0"/>
    <n v="0.1"/>
    <s v="Alice"/>
    <n v="3590.3069999999998"/>
    <x v="4"/>
    <x v="1"/>
    <n v="0"/>
    <s v="REG100938"/>
    <s v="Cust 3373"/>
    <n v="26.81"/>
    <x v="599"/>
    <d v="2025-02-08T00:00:00"/>
    <s v="Cameron"/>
  </r>
  <r>
    <d v="2024-02-21T00:00:00"/>
    <n v="153.69574999999998"/>
    <n v="30.739149999999995"/>
    <x v="0"/>
    <x v="2"/>
    <n v="5"/>
    <n v="34.06"/>
    <s v="Store D"/>
    <x v="0"/>
    <n v="0.05"/>
    <s v="Diana"/>
    <n v="161.785"/>
    <x v="1"/>
    <x v="3"/>
    <n v="0"/>
    <s v="REG100939"/>
    <s v="Cust 9045"/>
    <n v="19.72"/>
    <x v="600"/>
    <d v="2024-03-02T00:00:00"/>
    <s v="Eric"/>
  </r>
  <r>
    <d v="2023-03-24T00:00:00"/>
    <n v="6920.8020000000006"/>
    <n v="1384.1604000000002"/>
    <x v="0"/>
    <x v="2"/>
    <n v="17"/>
    <n v="502.6"/>
    <s v="Store A"/>
    <x v="0"/>
    <n v="0.1"/>
    <s v="Frank"/>
    <n v="7689.7800000000007"/>
    <x v="4"/>
    <x v="3"/>
    <n v="0"/>
    <s v="REG100940"/>
    <s v="Cust 9197"/>
    <n v="15.38"/>
    <x v="601"/>
    <d v="2023-03-29T00:00:00"/>
    <s v="Eric"/>
  </r>
  <r>
    <d v="2024-05-05T00:00:00"/>
    <n v="218.0196"/>
    <n v="43.603920000000002"/>
    <x v="1"/>
    <x v="6"/>
    <n v="3"/>
    <n v="89.72"/>
    <s v="Store D"/>
    <x v="0"/>
    <n v="0.1"/>
    <s v="Alice"/>
    <n v="242.244"/>
    <x v="1"/>
    <x v="2"/>
    <n v="0"/>
    <s v="REG100941"/>
    <s v="Cust 6920"/>
    <n v="32.67"/>
    <x v="458"/>
    <d v="2024-05-13T00:00:00"/>
    <s v="Sophie"/>
  </r>
  <r>
    <d v="2024-10-04T00:00:00"/>
    <n v="5883.4673999999995"/>
    <n v="1176.6934799999999"/>
    <x v="1"/>
    <x v="0"/>
    <n v="18"/>
    <n v="403.53"/>
    <s v="Store D"/>
    <x v="0"/>
    <n v="0.1"/>
    <s v="Alice"/>
    <n v="6537.1859999999997"/>
    <x v="0"/>
    <x v="3"/>
    <n v="0"/>
    <s v="REG100942"/>
    <s v="Cust 9652"/>
    <n v="35.729999999999997"/>
    <x v="574"/>
    <d v="2024-10-07T00:00:00"/>
    <s v="Sophie"/>
  </r>
  <r>
    <d v="2025-01-04T00:00:00"/>
    <n v="389.94"/>
    <n v="77.988"/>
    <x v="1"/>
    <x v="3"/>
    <n v="2"/>
    <n v="194.97"/>
    <s v="Store A"/>
    <x v="1"/>
    <n v="0"/>
    <s v="Diana"/>
    <n v="389.94"/>
    <x v="2"/>
    <x v="1"/>
    <n v="0"/>
    <s v="REG100943"/>
    <s v="Cust 4189"/>
    <n v="9.89"/>
    <x v="602"/>
    <d v="2025-01-14T00:00:00"/>
    <s v="Sophie"/>
  </r>
  <r>
    <d v="2024-12-23T00:00:00"/>
    <n v="1861.7852999999998"/>
    <n v="372.35705999999999"/>
    <x v="3"/>
    <x v="6"/>
    <n v="12"/>
    <n v="171.91"/>
    <s v="Store B"/>
    <x v="1"/>
    <n v="0.05"/>
    <s v="Eva"/>
    <n v="1959.7739999999999"/>
    <x v="2"/>
    <x v="2"/>
    <n v="0"/>
    <s v="REG100944"/>
    <s v="Cust 6267"/>
    <n v="34.36"/>
    <x v="473"/>
    <d v="2025-01-02T00:00:00"/>
    <s v="Cameron"/>
  </r>
  <r>
    <d v="2023-01-29T00:00:00"/>
    <n v="8221.7388999999985"/>
    <n v="1644.3477799999998"/>
    <x v="3"/>
    <x v="0"/>
    <n v="17"/>
    <n v="535.88"/>
    <s v="Store A"/>
    <x v="0"/>
    <n v="0.05"/>
    <s v="Bob"/>
    <n v="8654.4619999999995"/>
    <x v="1"/>
    <x v="3"/>
    <n v="0"/>
    <s v="REG100945"/>
    <s v="Cust 7753"/>
    <n v="26.12"/>
    <x v="603"/>
    <d v="2023-02-08T00:00:00"/>
    <s v="Cameron"/>
  </r>
  <r>
    <d v="2024-08-11T00:00:00"/>
    <n v="2687.2478999999998"/>
    <n v="537.44957999999997"/>
    <x v="4"/>
    <x v="3"/>
    <n v="12"/>
    <n v="248.13"/>
    <s v="Store A"/>
    <x v="1"/>
    <n v="0.05"/>
    <s v="Alice"/>
    <n v="2828.6819999999998"/>
    <x v="4"/>
    <x v="0"/>
    <n v="0"/>
    <s v="REG100946"/>
    <s v="Cust 2789"/>
    <n v="26.03"/>
    <x v="111"/>
    <d v="2024-08-17T00:00:00"/>
    <s v="Wendy"/>
  </r>
  <r>
    <d v="2023-11-25T00:00:00"/>
    <n v="964.2"/>
    <n v="192.84000000000003"/>
    <x v="2"/>
    <x v="1"/>
    <n v="2"/>
    <n v="482.1"/>
    <s v="Store C"/>
    <x v="1"/>
    <n v="0"/>
    <s v="Carlos"/>
    <n v="964.2"/>
    <x v="0"/>
    <x v="0"/>
    <n v="0"/>
    <s v="REG100947"/>
    <s v="Cust 3527"/>
    <n v="45.35"/>
    <x v="425"/>
    <d v="2023-11-30T00:00:00"/>
    <s v="Ryan"/>
  </r>
  <r>
    <d v="2025-03-04T00:00:00"/>
    <n v="5569.7058000000006"/>
    <n v="1113.9411600000001"/>
    <x v="2"/>
    <x v="4"/>
    <n v="18"/>
    <n v="382.01"/>
    <s v="Store D"/>
    <x v="0"/>
    <n v="0.1"/>
    <s v="Alice"/>
    <n v="6188.5620000000008"/>
    <x v="0"/>
    <x v="1"/>
    <n v="0"/>
    <s v="REG100948"/>
    <s v="Cust 9538"/>
    <n v="36.549999999999997"/>
    <x v="155"/>
    <d v="2025-03-08T00:00:00"/>
    <s v="Ryan"/>
  </r>
  <r>
    <d v="2025-02-21T00:00:00"/>
    <n v="1767.74"/>
    <n v="353.548"/>
    <x v="2"/>
    <x v="1"/>
    <n v="13"/>
    <n v="135.97999999999999"/>
    <s v="Store C"/>
    <x v="0"/>
    <n v="0"/>
    <s v="Frank"/>
    <n v="1767.74"/>
    <x v="0"/>
    <x v="2"/>
    <n v="0"/>
    <s v="REG100949"/>
    <s v="Cust 7195"/>
    <n v="28.35"/>
    <x v="383"/>
    <d v="2025-03-01T00:00:00"/>
    <s v="Ryan"/>
  </r>
  <r>
    <d v="2025-02-26T00:00:00"/>
    <n v="5062.8599999999997"/>
    <n v="1012.572"/>
    <x v="0"/>
    <x v="2"/>
    <n v="9"/>
    <n v="562.54"/>
    <s v="Store A"/>
    <x v="0"/>
    <n v="0"/>
    <s v="Alice"/>
    <n v="5062.8599999999997"/>
    <x v="2"/>
    <x v="0"/>
    <n v="0"/>
    <s v="REG100950"/>
    <s v="Cust 8929"/>
    <n v="30.27"/>
    <x v="3"/>
    <d v="2025-02-28T00:00:00"/>
    <s v="Eric"/>
  </r>
  <r>
    <d v="2024-03-29T00:00:00"/>
    <n v="3056.88"/>
    <n v="611.37600000000009"/>
    <x v="0"/>
    <x v="4"/>
    <n v="6"/>
    <n v="509.48"/>
    <s v="Store B"/>
    <x v="0"/>
    <n v="0"/>
    <s v="Alice"/>
    <n v="3056.88"/>
    <x v="3"/>
    <x v="2"/>
    <n v="0"/>
    <s v="REG100951"/>
    <s v="Cust 8931"/>
    <n v="35.92"/>
    <x v="604"/>
    <d v="2024-04-06T00:00:00"/>
    <s v="Eric"/>
  </r>
  <r>
    <d v="2025-05-28T00:00:00"/>
    <n v="1410.27"/>
    <n v="282.05400000000003"/>
    <x v="4"/>
    <x v="2"/>
    <n v="3"/>
    <n v="470.09"/>
    <s v="Store B"/>
    <x v="0"/>
    <n v="0"/>
    <s v="Eva"/>
    <n v="1410.27"/>
    <x v="1"/>
    <x v="3"/>
    <n v="0"/>
    <s v="REG100952"/>
    <s v="Cust 1424"/>
    <n v="38.29"/>
    <x v="605"/>
    <d v="2025-06-01T00:00:00"/>
    <s v="Wendy"/>
  </r>
  <r>
    <d v="2024-05-24T00:00:00"/>
    <n v="2808"/>
    <n v="561.6"/>
    <x v="4"/>
    <x v="6"/>
    <n v="10"/>
    <n v="280.8"/>
    <s v="Store C"/>
    <x v="1"/>
    <n v="0"/>
    <s v="Alice"/>
    <n v="2808"/>
    <x v="2"/>
    <x v="1"/>
    <n v="0"/>
    <s v="REG100953"/>
    <s v="Cust 6723"/>
    <n v="49.98"/>
    <x v="606"/>
    <d v="2024-05-30T00:00:00"/>
    <s v="Wendy"/>
  </r>
  <r>
    <d v="2023-05-12T00:00:00"/>
    <n v="1832.9247"/>
    <n v="366.58494000000002"/>
    <x v="1"/>
    <x v="3"/>
    <n v="9"/>
    <n v="251.43"/>
    <s v="Store C"/>
    <x v="1"/>
    <n v="0.1"/>
    <s v="Frank"/>
    <n v="2036.5830000000001"/>
    <x v="2"/>
    <x v="3"/>
    <n v="0"/>
    <s v="REG100954"/>
    <s v="Cust 8850"/>
    <n v="22.57"/>
    <x v="551"/>
    <d v="2023-05-17T00:00:00"/>
    <s v="Sophie"/>
  </r>
  <r>
    <d v="2023-10-11T00:00:00"/>
    <n v="1179.9292"/>
    <n v="235.98584000000002"/>
    <x v="1"/>
    <x v="1"/>
    <n v="4"/>
    <n v="408.28"/>
    <s v="Store A"/>
    <x v="1"/>
    <n v="0.15"/>
    <s v="Alice"/>
    <n v="1388.152"/>
    <x v="4"/>
    <x v="2"/>
    <n v="0"/>
    <s v="REG100955"/>
    <s v="Cust 1722"/>
    <n v="5.38"/>
    <x v="535"/>
    <d v="2023-10-15T00:00:00"/>
    <s v="Sophie"/>
  </r>
  <r>
    <d v="2024-01-25T00:00:00"/>
    <n v="39.63635"/>
    <n v="7.92727"/>
    <x v="2"/>
    <x v="6"/>
    <n v="2"/>
    <n v="27.43"/>
    <s v="Store B"/>
    <x v="1"/>
    <n v="0.15"/>
    <s v="Frank"/>
    <n v="46.631"/>
    <x v="0"/>
    <x v="2"/>
    <n v="0"/>
    <s v="REG100956"/>
    <s v="Cust 1211"/>
    <n v="6.15"/>
    <x v="109"/>
    <d v="2024-02-01T00:00:00"/>
    <s v="Ryan"/>
  </r>
  <r>
    <d v="2023-02-03T00:00:00"/>
    <n v="2866.5252"/>
    <n v="573.30504000000008"/>
    <x v="0"/>
    <x v="1"/>
    <n v="11"/>
    <n v="321.72000000000003"/>
    <s v="Store A"/>
    <x v="1"/>
    <n v="0.1"/>
    <s v="Carlos"/>
    <n v="3185.0279999999998"/>
    <x v="0"/>
    <x v="2"/>
    <n v="1"/>
    <s v="REG100957"/>
    <s v="Cust 9384"/>
    <n v="17.940000000000001"/>
    <x v="151"/>
    <d v="2023-02-06T00:00:00"/>
    <s v="Eric"/>
  </r>
  <r>
    <d v="2024-07-08T00:00:00"/>
    <n v="754.596"/>
    <n v="150.91920000000002"/>
    <x v="2"/>
    <x v="2"/>
    <n v="5"/>
    <n v="186.32"/>
    <s v="Store A"/>
    <x v="0"/>
    <n v="0.1"/>
    <s v="Carlos"/>
    <n v="838.43999999999994"/>
    <x v="1"/>
    <x v="2"/>
    <n v="0"/>
    <s v="REG100958"/>
    <s v="Cust 3809"/>
    <n v="17.09"/>
    <x v="172"/>
    <d v="2024-07-14T00:00:00"/>
    <s v="Ryan"/>
  </r>
  <r>
    <d v="2025-05-31T00:00:00"/>
    <n v="1170.8399999999999"/>
    <n v="234.16800000000001"/>
    <x v="1"/>
    <x v="4"/>
    <n v="3"/>
    <n v="390.28"/>
    <s v="Store B"/>
    <x v="1"/>
    <n v="0"/>
    <s v="Frank"/>
    <n v="1170.8399999999999"/>
    <x v="0"/>
    <x v="2"/>
    <n v="1"/>
    <s v="REG100959"/>
    <s v="Cust 9338"/>
    <n v="45.22"/>
    <x v="534"/>
    <d v="2025-06-10T00:00:00"/>
    <s v="Sophie"/>
  </r>
  <r>
    <d v="2023-11-09T00:00:00"/>
    <n v="1642.7482499999999"/>
    <n v="328.54964999999999"/>
    <x v="1"/>
    <x v="4"/>
    <n v="13"/>
    <n v="174.9"/>
    <s v="Store A"/>
    <x v="0"/>
    <n v="0.15"/>
    <s v="Carlos"/>
    <n v="1932.645"/>
    <x v="0"/>
    <x v="2"/>
    <n v="0"/>
    <s v="REG100960"/>
    <s v="Cust 1822"/>
    <n v="31.26"/>
    <x v="254"/>
    <d v="2023-11-12T00:00:00"/>
    <s v="Sophie"/>
  </r>
  <r>
    <d v="2023-07-06T00:00:00"/>
    <n v="2715.9623999999999"/>
    <n v="543.19248000000005"/>
    <x v="2"/>
    <x v="3"/>
    <n v="8"/>
    <n v="419.13"/>
    <s v="Store A"/>
    <x v="1"/>
    <n v="0.1"/>
    <s v="Alice"/>
    <n v="3017.7359999999999"/>
    <x v="0"/>
    <x v="3"/>
    <n v="1"/>
    <s v="REG100961"/>
    <s v="Cust 8260"/>
    <n v="11.02"/>
    <x v="607"/>
    <d v="2023-07-10T00:00:00"/>
    <s v="Ryan"/>
  </r>
  <r>
    <d v="2023-07-14T00:00:00"/>
    <n v="1403.52"/>
    <n v="280.70400000000001"/>
    <x v="2"/>
    <x v="3"/>
    <n v="12"/>
    <n v="116.96"/>
    <s v="Store D"/>
    <x v="0"/>
    <n v="0"/>
    <s v="Alice"/>
    <n v="1403.52"/>
    <x v="1"/>
    <x v="2"/>
    <n v="0"/>
    <s v="REG100962"/>
    <s v="Cust 7088"/>
    <n v="22.04"/>
    <x v="123"/>
    <d v="2023-07-22T00:00:00"/>
    <s v="Ryan"/>
  </r>
  <r>
    <d v="2023-11-13T00:00:00"/>
    <n v="2884.3452000000002"/>
    <n v="576.86904000000004"/>
    <x v="4"/>
    <x v="3"/>
    <n v="11"/>
    <n v="323.72000000000003"/>
    <s v="Store A"/>
    <x v="0"/>
    <n v="0.1"/>
    <s v="Bob"/>
    <n v="3204.828"/>
    <x v="1"/>
    <x v="2"/>
    <n v="0"/>
    <s v="REG100963"/>
    <s v="Cust 4969"/>
    <n v="7.52"/>
    <x v="327"/>
    <d v="2023-11-15T00:00:00"/>
    <s v="Wendy"/>
  </r>
  <r>
    <d v="2025-02-02T00:00:00"/>
    <n v="1543.6269749999999"/>
    <n v="308.72539499999999"/>
    <x v="4"/>
    <x v="5"/>
    <n v="11"/>
    <n v="155.49"/>
    <s v="Store D"/>
    <x v="1"/>
    <n v="0.05"/>
    <s v="Frank"/>
    <n v="1624.8705"/>
    <x v="4"/>
    <x v="3"/>
    <n v="0"/>
    <s v="REG100964"/>
    <s v="Cust 9046"/>
    <n v="47.01"/>
    <x v="170"/>
    <d v="2025-02-12T00:00:00"/>
    <s v="Wendy"/>
  </r>
  <r>
    <d v="2024-05-06T00:00:00"/>
    <n v="5404"/>
    <n v="1080.8"/>
    <x v="1"/>
    <x v="6"/>
    <n v="20"/>
    <n v="270.2"/>
    <s v="Store A"/>
    <x v="0"/>
    <n v="0"/>
    <s v="Diana"/>
    <n v="5404"/>
    <x v="2"/>
    <x v="2"/>
    <n v="0"/>
    <s v="REG100965"/>
    <s v="Cust 6859"/>
    <n v="6.8"/>
    <x v="563"/>
    <d v="2024-05-15T00:00:00"/>
    <s v="Sophie"/>
  </r>
  <r>
    <d v="2024-10-17T00:00:00"/>
    <n v="5857.2719999999999"/>
    <n v="1171.4544000000001"/>
    <x v="1"/>
    <x v="6"/>
    <n v="15"/>
    <n v="482.08"/>
    <s v="Store D"/>
    <x v="1"/>
    <n v="0.1"/>
    <s v="Eva"/>
    <n v="6508.08"/>
    <x v="3"/>
    <x v="0"/>
    <n v="1"/>
    <s v="REG100966"/>
    <s v="Cust 2800"/>
    <n v="13.35"/>
    <x v="386"/>
    <d v="2024-10-19T00:00:00"/>
    <s v="Sophie"/>
  </r>
  <r>
    <d v="2025-01-29T00:00:00"/>
    <n v="3844.7540999999997"/>
    <n v="768.95082000000002"/>
    <x v="2"/>
    <x v="0"/>
    <n v="11"/>
    <n v="431.51"/>
    <s v="Store C"/>
    <x v="0"/>
    <n v="0.1"/>
    <s v="Carlos"/>
    <n v="4271.9489999999996"/>
    <x v="3"/>
    <x v="1"/>
    <n v="0"/>
    <s v="REG100967"/>
    <s v="Cust 1146"/>
    <n v="22.83"/>
    <x v="608"/>
    <d v="2025-02-05T00:00:00"/>
    <s v="Ryan"/>
  </r>
  <r>
    <d v="2025-03-23T00:00:00"/>
    <n v="1513.8"/>
    <n v="302.76"/>
    <x v="3"/>
    <x v="3"/>
    <n v="5"/>
    <n v="302.76"/>
    <s v="Store D"/>
    <x v="0"/>
    <n v="0"/>
    <s v="Carlos"/>
    <n v="1513.8"/>
    <x v="1"/>
    <x v="0"/>
    <n v="1"/>
    <s v="REG100968"/>
    <s v="Cust 6447"/>
    <n v="46.69"/>
    <x v="609"/>
    <d v="2025-03-29T00:00:00"/>
    <s v="Cameron"/>
  </r>
  <r>
    <d v="2024-04-11T00:00:00"/>
    <n v="6553.48"/>
    <n v="1310.6959999999999"/>
    <x v="4"/>
    <x v="3"/>
    <n v="19"/>
    <n v="344.92"/>
    <s v="Store C"/>
    <x v="0"/>
    <n v="0"/>
    <s v="Eva"/>
    <n v="6553.48"/>
    <x v="4"/>
    <x v="2"/>
    <n v="0"/>
    <s v="REG100969"/>
    <s v="Cust 8519"/>
    <n v="6.91"/>
    <x v="610"/>
    <d v="2024-04-20T00:00:00"/>
    <s v="Wendy"/>
  </r>
  <r>
    <d v="2024-05-03T00:00:00"/>
    <n v="2899.9782"/>
    <n v="579.99563999999998"/>
    <x v="3"/>
    <x v="3"/>
    <n v="7"/>
    <n v="511.46"/>
    <s v="Store C"/>
    <x v="1"/>
    <n v="0.1"/>
    <s v="Eva"/>
    <n v="3222.1979999999999"/>
    <x v="4"/>
    <x v="0"/>
    <n v="0"/>
    <s v="REG100970"/>
    <s v="Cust 3422"/>
    <n v="19.2"/>
    <x v="80"/>
    <d v="2024-05-12T00:00:00"/>
    <s v="Cameron"/>
  </r>
  <r>
    <d v="2024-10-14T00:00:00"/>
    <n v="761.65949999999998"/>
    <n v="152.33189999999999"/>
    <x v="0"/>
    <x v="4"/>
    <n v="7"/>
    <n v="150.6"/>
    <s v="Store A"/>
    <x v="0"/>
    <n v="0.15"/>
    <s v="Bob"/>
    <n v="896.07"/>
    <x v="4"/>
    <x v="2"/>
    <n v="1"/>
    <s v="REG100971"/>
    <s v="Cust 9638"/>
    <n v="15.52"/>
    <x v="571"/>
    <d v="2024-10-21T00:00:00"/>
    <s v="Eric"/>
  </r>
  <r>
    <d v="2024-02-08T00:00:00"/>
    <n v="913.35559999999998"/>
    <n v="182.67112"/>
    <x v="4"/>
    <x v="1"/>
    <n v="8"/>
    <n v="158.02000000000001"/>
    <s v="Store C"/>
    <x v="0"/>
    <n v="0.15"/>
    <s v="Diana"/>
    <n v="1074.5360000000001"/>
    <x v="2"/>
    <x v="0"/>
    <n v="0"/>
    <s v="REG100972"/>
    <s v="Cust 6438"/>
    <n v="47.43"/>
    <x v="279"/>
    <d v="2024-02-13T00:00:00"/>
    <s v="Wendy"/>
  </r>
  <r>
    <d v="2023-05-10T00:00:00"/>
    <n v="868.61159999999995"/>
    <n v="173.72232"/>
    <x v="3"/>
    <x v="5"/>
    <n v="2"/>
    <n v="536.17999999999995"/>
    <s v="Store B"/>
    <x v="1"/>
    <n v="0.1"/>
    <s v="Frank"/>
    <n v="965.12399999999991"/>
    <x v="2"/>
    <x v="0"/>
    <n v="0"/>
    <s v="REG100973"/>
    <s v="Cust 1724"/>
    <n v="34.75"/>
    <x v="2"/>
    <d v="2023-05-13T00:00:00"/>
    <s v="Cameron"/>
  </r>
  <r>
    <d v="2023-03-03T00:00:00"/>
    <n v="6603.7656000000006"/>
    <n v="1320.7531200000003"/>
    <x v="2"/>
    <x v="3"/>
    <n v="16"/>
    <n v="571.26"/>
    <s v="Store C"/>
    <x v="0"/>
    <n v="0.15"/>
    <s v="Bob"/>
    <n v="7769.1360000000004"/>
    <x v="1"/>
    <x v="1"/>
    <n v="0"/>
    <s v="REG100974"/>
    <s v="Cust 7808"/>
    <n v="6.13"/>
    <x v="21"/>
    <d v="2023-03-12T00:00:00"/>
    <s v="Ryan"/>
  </r>
  <r>
    <d v="2025-05-21T00:00:00"/>
    <n v="1306.5624"/>
    <n v="261.31247999999999"/>
    <x v="3"/>
    <x v="5"/>
    <n v="12"/>
    <n v="134.41999999999999"/>
    <s v="Store D"/>
    <x v="1"/>
    <n v="0.1"/>
    <s v="Diana"/>
    <n v="1451.7360000000001"/>
    <x v="1"/>
    <x v="0"/>
    <n v="0"/>
    <s v="REG100975"/>
    <s v="Cust 3045"/>
    <n v="33.979999999999997"/>
    <x v="83"/>
    <d v="2025-05-27T00:00:00"/>
    <s v="Cameron"/>
  </r>
  <r>
    <d v="2025-04-30T00:00:00"/>
    <n v="2818.5"/>
    <n v="563.70000000000005"/>
    <x v="3"/>
    <x v="0"/>
    <n v="5"/>
    <n v="563.70000000000005"/>
    <s v="Store A"/>
    <x v="1"/>
    <n v="0"/>
    <s v="Bob"/>
    <n v="2818.5"/>
    <x v="0"/>
    <x v="1"/>
    <n v="0"/>
    <s v="REG100976"/>
    <s v="Cust 7348"/>
    <n v="29.28"/>
    <x v="611"/>
    <d v="2025-05-07T00:00:00"/>
    <s v="Cameron"/>
  </r>
  <r>
    <d v="2023-04-02T00:00:00"/>
    <n v="4343.8650749999997"/>
    <n v="868.77301499999999"/>
    <x v="2"/>
    <x v="1"/>
    <n v="11"/>
    <n v="546.57000000000005"/>
    <s v="Store D"/>
    <x v="1"/>
    <n v="0.15"/>
    <s v="Bob"/>
    <n v="5110.4295000000002"/>
    <x v="2"/>
    <x v="1"/>
    <n v="1"/>
    <s v="REG100977"/>
    <s v="Cust 5666"/>
    <n v="24.77"/>
    <x v="612"/>
    <d v="2023-04-04T00:00:00"/>
    <s v="Ryan"/>
  </r>
  <r>
    <d v="2024-08-26T00:00:00"/>
    <n v="2963.7377999999999"/>
    <n v="592.74756000000002"/>
    <x v="2"/>
    <x v="4"/>
    <n v="9"/>
    <n v="364.88"/>
    <s v="Store C"/>
    <x v="0"/>
    <n v="0.05"/>
    <s v="Bob"/>
    <n v="3119.7240000000002"/>
    <x v="4"/>
    <x v="1"/>
    <n v="0"/>
    <s v="REG100978"/>
    <s v="Cust 4002"/>
    <n v="40.26"/>
    <x v="98"/>
    <d v="2024-09-05T00:00:00"/>
    <s v="Ryan"/>
  </r>
  <r>
    <d v="2023-11-10T00:00:00"/>
    <n v="1862.5255249999998"/>
    <n v="372.50510499999996"/>
    <x v="1"/>
    <x v="4"/>
    <n v="7"/>
    <n v="368.27"/>
    <s v="Store C"/>
    <x v="0"/>
    <n v="0.15"/>
    <s v="Carlos"/>
    <n v="2191.2064999999998"/>
    <x v="0"/>
    <x v="2"/>
    <n v="0"/>
    <s v="REG100979"/>
    <s v="Cust 6675"/>
    <n v="28.98"/>
    <x v="613"/>
    <d v="2023-11-20T00:00:00"/>
    <s v="Sophie"/>
  </r>
  <r>
    <d v="2025-01-27T00:00:00"/>
    <n v="10745.6"/>
    <n v="2149.1200000000003"/>
    <x v="3"/>
    <x v="6"/>
    <n v="20"/>
    <n v="537.28"/>
    <s v="Store C"/>
    <x v="0"/>
    <n v="0"/>
    <s v="Frank"/>
    <n v="10745.6"/>
    <x v="0"/>
    <x v="3"/>
    <n v="1"/>
    <s v="REG100980"/>
    <s v="Cust 5462"/>
    <n v="15.6"/>
    <x v="614"/>
    <d v="2025-02-02T00:00:00"/>
    <s v="Cameron"/>
  </r>
  <r>
    <d v="2024-04-26T00:00:00"/>
    <n v="309.27"/>
    <n v="61.853999999999999"/>
    <x v="1"/>
    <x v="1"/>
    <n v="3"/>
    <n v="103.09"/>
    <s v="Store D"/>
    <x v="0"/>
    <n v="0"/>
    <s v="Carlos"/>
    <n v="309.27"/>
    <x v="1"/>
    <x v="1"/>
    <n v="1"/>
    <s v="REG100981"/>
    <s v="Cust 3471"/>
    <n v="46.47"/>
    <x v="478"/>
    <d v="2024-04-30T00:00:00"/>
    <s v="Sophie"/>
  </r>
  <r>
    <d v="2023-11-27T00:00:00"/>
    <n v="878.04"/>
    <n v="175.608"/>
    <x v="0"/>
    <x v="5"/>
    <n v="9"/>
    <n v="97.56"/>
    <s v="Store A"/>
    <x v="0"/>
    <n v="0"/>
    <s v="Alice"/>
    <n v="878.04"/>
    <x v="0"/>
    <x v="3"/>
    <n v="0"/>
    <s v="REG100982"/>
    <s v="Cust 1603"/>
    <n v="48.84"/>
    <x v="165"/>
    <d v="2023-12-01T00:00:00"/>
    <s v="Eric"/>
  </r>
  <r>
    <d v="2023-03-30T00:00:00"/>
    <n v="2447.46875"/>
    <n v="489.49375000000003"/>
    <x v="3"/>
    <x v="5"/>
    <n v="10"/>
    <n v="338.75"/>
    <s v="Store A"/>
    <x v="0"/>
    <n v="0.15"/>
    <s v="Carlos"/>
    <n v="2879.375"/>
    <x v="4"/>
    <x v="2"/>
    <n v="1"/>
    <s v="REG100983"/>
    <s v="Cust 7758"/>
    <n v="36.56"/>
    <x v="306"/>
    <d v="2023-04-06T00:00:00"/>
    <s v="Cameron"/>
  </r>
  <r>
    <d v="2024-03-04T00:00:00"/>
    <n v="478.08"/>
    <n v="95.616"/>
    <x v="2"/>
    <x v="2"/>
    <n v="2"/>
    <n v="239.04"/>
    <s v="Store A"/>
    <x v="0"/>
    <n v="0"/>
    <s v="Bob"/>
    <n v="478.08"/>
    <x v="3"/>
    <x v="1"/>
    <n v="1"/>
    <s v="REG100984"/>
    <s v="Cust 3396"/>
    <n v="43.84"/>
    <x v="615"/>
    <d v="2024-03-11T00:00:00"/>
    <s v="Ryan"/>
  </r>
  <r>
    <d v="2023-07-11T00:00:00"/>
    <n v="4110.0695999999998"/>
    <n v="822.01391999999998"/>
    <x v="1"/>
    <x v="0"/>
    <n v="14"/>
    <n v="362.44"/>
    <s v="Store C"/>
    <x v="0"/>
    <n v="0.1"/>
    <s v="Bob"/>
    <n v="4566.7439999999997"/>
    <x v="4"/>
    <x v="2"/>
    <n v="0"/>
    <s v="REG100985"/>
    <s v="Cust 4797"/>
    <n v="36.729999999999997"/>
    <x v="445"/>
    <d v="2023-07-15T00:00:00"/>
    <s v="Sophie"/>
  </r>
  <r>
    <d v="2024-09-20T00:00:00"/>
    <n v="3306.78"/>
    <n v="661.35600000000011"/>
    <x v="4"/>
    <x v="4"/>
    <n v="6"/>
    <n v="551.13"/>
    <s v="Store D"/>
    <x v="1"/>
    <n v="0"/>
    <s v="Carlos"/>
    <n v="3306.78"/>
    <x v="1"/>
    <x v="0"/>
    <n v="0"/>
    <s v="REG100986"/>
    <s v="Cust 1113"/>
    <n v="14.67"/>
    <x v="246"/>
    <d v="2024-09-29T00:00:00"/>
    <s v="Wendy"/>
  </r>
  <r>
    <d v="2025-02-18T00:00:00"/>
    <n v="66.468599999999995"/>
    <n v="13.29372"/>
    <x v="4"/>
    <x v="0"/>
    <n v="1"/>
    <n v="82.06"/>
    <s v="Store D"/>
    <x v="1"/>
    <n v="0.1"/>
    <s v="Eva"/>
    <n v="73.853999999999999"/>
    <x v="2"/>
    <x v="0"/>
    <n v="0"/>
    <s v="REG100987"/>
    <s v="Cust 8843"/>
    <n v="11.11"/>
    <x v="616"/>
    <d v="2025-02-24T00:00:00"/>
    <s v="Wendy"/>
  </r>
  <r>
    <d v="2024-07-16T00:00:00"/>
    <n v="2520.9614499999998"/>
    <n v="504.19228999999996"/>
    <x v="0"/>
    <x v="5"/>
    <n v="7"/>
    <n v="498.46"/>
    <s v="Store C"/>
    <x v="0"/>
    <n v="0.15"/>
    <s v="Carlos"/>
    <n v="2965.837"/>
    <x v="1"/>
    <x v="3"/>
    <n v="0"/>
    <s v="REG100988"/>
    <s v="Cust 7505"/>
    <n v="42.72"/>
    <x v="617"/>
    <d v="2024-07-20T00:00:00"/>
    <s v="Eric"/>
  </r>
  <r>
    <d v="2023-11-23T00:00:00"/>
    <n v="410.52420000000001"/>
    <n v="82.10484000000001"/>
    <x v="0"/>
    <x v="3"/>
    <n v="2"/>
    <n v="253.41"/>
    <s v="Store D"/>
    <x v="1"/>
    <n v="0.1"/>
    <s v="Frank"/>
    <n v="456.13799999999998"/>
    <x v="4"/>
    <x v="0"/>
    <n v="0"/>
    <s v="REG100989"/>
    <s v="Cust 9490"/>
    <n v="49.64"/>
    <x v="488"/>
    <d v="2023-11-25T00:00:00"/>
    <s v="Eric"/>
  </r>
  <r>
    <d v="2023-09-07T00:00:00"/>
    <n v="1867.1472000000001"/>
    <n v="373.42944000000006"/>
    <x v="1"/>
    <x v="1"/>
    <n v="16"/>
    <n v="144.07"/>
    <s v="Store D"/>
    <x v="0"/>
    <n v="0.1"/>
    <s v="Eva"/>
    <n v="2074.6080000000002"/>
    <x v="3"/>
    <x v="0"/>
    <n v="0"/>
    <s v="REG100990"/>
    <s v="Cust 8631"/>
    <n v="7.33"/>
    <x v="288"/>
    <d v="2023-09-09T00:00:00"/>
    <s v="Sophie"/>
  </r>
  <r>
    <d v="2024-02-01T00:00:00"/>
    <n v="1598.1627749999998"/>
    <n v="319.63255499999997"/>
    <x v="4"/>
    <x v="4"/>
    <n v="11"/>
    <n v="201.09"/>
    <s v="Store C"/>
    <x v="1"/>
    <n v="0.15"/>
    <s v="Carlos"/>
    <n v="1880.1914999999999"/>
    <x v="4"/>
    <x v="3"/>
    <n v="1"/>
    <s v="REG100991"/>
    <s v="Cust 6986"/>
    <n v="48.42"/>
    <x v="618"/>
    <d v="2024-02-04T00:00:00"/>
    <s v="Wendy"/>
  </r>
  <r>
    <d v="2025-05-08T00:00:00"/>
    <n v="5216.3595000000005"/>
    <n v="1043.2719000000002"/>
    <x v="1"/>
    <x v="3"/>
    <n v="11"/>
    <n v="585.45000000000005"/>
    <s v="Store D"/>
    <x v="0"/>
    <n v="0.1"/>
    <s v="Alice"/>
    <n v="5795.9550000000008"/>
    <x v="2"/>
    <x v="2"/>
    <n v="0"/>
    <s v="REG100992"/>
    <s v="Cust 9636"/>
    <n v="36.590000000000003"/>
    <x v="33"/>
    <d v="2025-05-12T00:00:00"/>
    <s v="Sophie"/>
  </r>
  <r>
    <d v="2025-01-17T00:00:00"/>
    <n v="1346.31"/>
    <n v="269.262"/>
    <x v="2"/>
    <x v="0"/>
    <n v="3"/>
    <n v="448.77"/>
    <s v="Store A"/>
    <x v="1"/>
    <n v="0"/>
    <s v="Alice"/>
    <n v="1346.31"/>
    <x v="0"/>
    <x v="0"/>
    <n v="0"/>
    <s v="REG100993"/>
    <s v="Cust 7367"/>
    <n v="28.5"/>
    <x v="50"/>
    <d v="2025-01-24T00:00:00"/>
    <s v="Ryan"/>
  </r>
  <r>
    <d v="2023-09-02T00:00:00"/>
    <n v="1659.87"/>
    <n v="331.97399999999999"/>
    <x v="0"/>
    <x v="4"/>
    <n v="9"/>
    <n v="184.43"/>
    <s v="Store D"/>
    <x v="0"/>
    <n v="0"/>
    <s v="Carlos"/>
    <n v="1659.87"/>
    <x v="0"/>
    <x v="2"/>
    <n v="0"/>
    <s v="REG100994"/>
    <s v="Cust 1943"/>
    <n v="30.78"/>
    <x v="447"/>
    <d v="2023-09-08T00:00:00"/>
    <s v="Eric"/>
  </r>
  <r>
    <d v="2023-06-23T00:00:00"/>
    <n v="9505.6"/>
    <n v="1901.1200000000001"/>
    <x v="3"/>
    <x v="0"/>
    <n v="16"/>
    <n v="594.1"/>
    <s v="Store D"/>
    <x v="1"/>
    <n v="0"/>
    <s v="Bob"/>
    <n v="9505.6"/>
    <x v="1"/>
    <x v="0"/>
    <n v="0"/>
    <s v="REG100995"/>
    <s v="Cust 6368"/>
    <n v="18.2"/>
    <x v="366"/>
    <d v="2023-07-01T00:00:00"/>
    <s v="Cameron"/>
  </r>
  <r>
    <d v="2024-01-20T00:00:00"/>
    <n v="7419.0573000000013"/>
    <n v="1483.8114600000004"/>
    <x v="0"/>
    <x v="0"/>
    <n v="19"/>
    <n v="482.07"/>
    <s v="Store B"/>
    <x v="0"/>
    <n v="0.1"/>
    <s v="Bob"/>
    <n v="8243.3970000000008"/>
    <x v="2"/>
    <x v="3"/>
    <n v="0"/>
    <s v="REG100996"/>
    <s v="Cust 9724"/>
    <n v="25.96"/>
    <x v="619"/>
    <d v="2024-01-26T00:00:00"/>
    <s v="Eric"/>
  </r>
  <r>
    <d v="2024-06-26T00:00:00"/>
    <n v="1361.8724999999999"/>
    <n v="272.37450000000001"/>
    <x v="0"/>
    <x v="3"/>
    <n v="20"/>
    <n v="75.45"/>
    <s v="Store B"/>
    <x v="0"/>
    <n v="0.05"/>
    <s v="Eva"/>
    <n v="1433.55"/>
    <x v="2"/>
    <x v="1"/>
    <n v="0"/>
    <s v="REG100997"/>
    <s v="Cust 1983"/>
    <n v="44.77"/>
    <x v="620"/>
    <d v="2024-07-06T00:00:00"/>
    <s v="Eric"/>
  </r>
  <r>
    <d v="2024-12-12T00:00:00"/>
    <n v="800.63640000000009"/>
    <n v="160.12728000000004"/>
    <x v="3"/>
    <x v="4"/>
    <n v="2"/>
    <n v="494.22"/>
    <s v="Store C"/>
    <x v="1"/>
    <n v="0.1"/>
    <s v="Carlos"/>
    <n v="889.59600000000012"/>
    <x v="1"/>
    <x v="0"/>
    <n v="0"/>
    <s v="REG100998"/>
    <s v="Cust 8723"/>
    <n v="13.45"/>
    <x v="621"/>
    <d v="2024-12-17T00:00:00"/>
    <s v="Cameron"/>
  </r>
  <r>
    <d v="2024-02-21T00:00:00"/>
    <n v="1527.3007499999999"/>
    <n v="305.46015"/>
    <x v="0"/>
    <x v="0"/>
    <n v="15"/>
    <n v="112.82"/>
    <s v="Store B"/>
    <x v="0"/>
    <n v="0.05"/>
    <s v="Frank"/>
    <n v="1607.6849999999999"/>
    <x v="2"/>
    <x v="2"/>
    <n v="0"/>
    <s v="REG100999"/>
    <s v="Cust 1901"/>
    <n v="18.21"/>
    <x v="600"/>
    <d v="2024-03-01T00:00:00"/>
    <s v="Eric"/>
  </r>
  <r>
    <d v="2023-07-18T00:00:00"/>
    <n v="364.68"/>
    <n v="72.936000000000007"/>
    <x v="0"/>
    <x v="2"/>
    <n v="3"/>
    <n v="121.56"/>
    <s v="Store D"/>
    <x v="0"/>
    <n v="0"/>
    <s v="Eva"/>
    <n v="364.68"/>
    <x v="3"/>
    <x v="2"/>
    <n v="0"/>
    <s v="REG101000"/>
    <s v="Cust 9682"/>
    <n v="29.06"/>
    <x v="338"/>
    <d v="2023-07-25T00:00:00"/>
    <s v="Eric"/>
  </r>
  <r>
    <d v="2024-10-02T00:00:00"/>
    <n v="5591.28"/>
    <n v="1118.2560000000001"/>
    <x v="2"/>
    <x v="2"/>
    <n v="12"/>
    <n v="465.94"/>
    <s v="Store D"/>
    <x v="0"/>
    <n v="0"/>
    <s v="Alice"/>
    <n v="5591.28"/>
    <x v="2"/>
    <x v="2"/>
    <n v="0"/>
    <s v="REG101001"/>
    <s v="Cust 5413"/>
    <n v="34.159999999999997"/>
    <x v="352"/>
    <d v="2024-10-06T00:00:00"/>
    <s v="Ryan"/>
  </r>
  <r>
    <d v="2024-12-01T00:00:00"/>
    <n v="1628.2259999999999"/>
    <n v="325.64519999999999"/>
    <x v="4"/>
    <x v="1"/>
    <n v="12"/>
    <n v="187.8"/>
    <s v="Store D"/>
    <x v="0"/>
    <n v="0.15"/>
    <s v="Diana"/>
    <n v="1915.56"/>
    <x v="0"/>
    <x v="0"/>
    <n v="0"/>
    <s v="REG101002"/>
    <s v="Cust 9590"/>
    <n v="17.739999999999998"/>
    <x v="622"/>
    <d v="2024-12-04T00:00:00"/>
    <s v="Wendy"/>
  </r>
  <r>
    <d v="2024-09-03T00:00:00"/>
    <n v="405.53924999999998"/>
    <n v="81.107849999999999"/>
    <x v="0"/>
    <x v="2"/>
    <n v="1"/>
    <n v="561.29999999999995"/>
    <s v="Store D"/>
    <x v="1"/>
    <n v="0.15"/>
    <s v="Frank"/>
    <n v="477.10500000000002"/>
    <x v="1"/>
    <x v="3"/>
    <n v="0"/>
    <s v="REG101003"/>
    <s v="Cust 9379"/>
    <n v="5.19"/>
    <x v="623"/>
    <d v="2024-09-12T00:00:00"/>
    <s v="Eric"/>
  </r>
  <r>
    <d v="2025-02-22T00:00:00"/>
    <n v="901.54994999999997"/>
    <n v="180.30999"/>
    <x v="4"/>
    <x v="6"/>
    <n v="7"/>
    <n v="178.26"/>
    <s v="Store C"/>
    <x v="1"/>
    <n v="0.15"/>
    <s v="Bob"/>
    <n v="1060.6469999999999"/>
    <x v="0"/>
    <x v="0"/>
    <n v="0"/>
    <s v="REG101004"/>
    <s v="Cust 4722"/>
    <n v="44.91"/>
    <x v="624"/>
    <d v="2025-03-01T00:00:00"/>
    <s v="Wendy"/>
  </r>
  <r>
    <d v="2025-05-11T00:00:00"/>
    <n v="7988.3935000000001"/>
    <n v="1597.6787000000002"/>
    <x v="4"/>
    <x v="4"/>
    <n v="20"/>
    <n v="552.83000000000004"/>
    <s v="Store D"/>
    <x v="1"/>
    <n v="0.15"/>
    <s v="Eva"/>
    <n v="9398.11"/>
    <x v="0"/>
    <x v="0"/>
    <n v="1"/>
    <s v="REG101005"/>
    <s v="Cust 7152"/>
    <n v="20.5"/>
    <x v="15"/>
    <d v="2025-05-13T00:00:00"/>
    <s v="Wendy"/>
  </r>
  <r>
    <d v="2024-12-20T00:00:00"/>
    <n v="916.5"/>
    <n v="183.3"/>
    <x v="3"/>
    <x v="5"/>
    <n v="2"/>
    <n v="458.25"/>
    <s v="Store B"/>
    <x v="0"/>
    <n v="0"/>
    <s v="Eva"/>
    <n v="916.5"/>
    <x v="1"/>
    <x v="1"/>
    <n v="0"/>
    <s v="REG101006"/>
    <s v="Cust 7255"/>
    <n v="25.94"/>
    <x v="529"/>
    <d v="2024-12-29T00:00:00"/>
    <s v="Cameron"/>
  </r>
  <r>
    <d v="2023-04-18T00:00:00"/>
    <n v="233.62115"/>
    <n v="46.724230000000006"/>
    <x v="0"/>
    <x v="0"/>
    <n v="2"/>
    <n v="129.43"/>
    <s v="Store D"/>
    <x v="1"/>
    <n v="0.05"/>
    <s v="Alice"/>
    <n v="245.917"/>
    <x v="3"/>
    <x v="0"/>
    <n v="0"/>
    <s v="REG101007"/>
    <s v="Cust 9593"/>
    <n v="6.91"/>
    <x v="625"/>
    <d v="2023-04-21T00:00:00"/>
    <s v="Eric"/>
  </r>
  <r>
    <d v="2024-08-29T00:00:00"/>
    <n v="6897.9519"/>
    <n v="1379.5903800000001"/>
    <x v="0"/>
    <x v="6"/>
    <n v="19"/>
    <n v="448.21"/>
    <s v="Store C"/>
    <x v="0"/>
    <n v="0.1"/>
    <s v="Alice"/>
    <n v="7664.3909999999996"/>
    <x v="3"/>
    <x v="2"/>
    <n v="0"/>
    <s v="REG101008"/>
    <s v="Cust 3829"/>
    <n v="30.71"/>
    <x v="496"/>
    <d v="2024-09-03T00:00:00"/>
    <s v="Eric"/>
  </r>
  <r>
    <d v="2023-09-03T00:00:00"/>
    <n v="6360.5312000000004"/>
    <n v="1272.1062400000001"/>
    <x v="2"/>
    <x v="2"/>
    <n v="16"/>
    <n v="440.48"/>
    <s v="Store B"/>
    <x v="1"/>
    <n v="0.05"/>
    <s v="Frank"/>
    <n v="6695.2960000000003"/>
    <x v="4"/>
    <x v="0"/>
    <n v="1"/>
    <s v="REG101009"/>
    <s v="Cust 2561"/>
    <n v="26.87"/>
    <x v="34"/>
    <d v="2023-09-10T00:00:00"/>
    <s v="Ryan"/>
  </r>
  <r>
    <d v="2025-05-19T00:00:00"/>
    <n v="2100.96"/>
    <n v="420.19200000000001"/>
    <x v="0"/>
    <x v="0"/>
    <n v="8"/>
    <n v="262.62"/>
    <s v="Store C"/>
    <x v="0"/>
    <n v="0"/>
    <s v="Alice"/>
    <n v="2100.96"/>
    <x v="4"/>
    <x v="0"/>
    <n v="1"/>
    <s v="REG101010"/>
    <s v="Cust 8387"/>
    <n v="36.729999999999997"/>
    <x v="460"/>
    <d v="2025-05-24T00:00:00"/>
    <s v="Eric"/>
  </r>
  <r>
    <d v="2023-06-18T00:00:00"/>
    <n v="1517.6565000000001"/>
    <n v="303.53130000000004"/>
    <x v="0"/>
    <x v="5"/>
    <n v="15"/>
    <n v="124.91"/>
    <s v="Store A"/>
    <x v="0"/>
    <n v="0.1"/>
    <s v="Eva"/>
    <n v="1686.2850000000001"/>
    <x v="1"/>
    <x v="0"/>
    <n v="0"/>
    <s v="REG101011"/>
    <s v="Cust 2860"/>
    <n v="31.95"/>
    <x v="391"/>
    <d v="2023-06-26T00:00:00"/>
    <s v="Eric"/>
  </r>
  <r>
    <d v="2025-06-18T00:00:00"/>
    <n v="2850.39"/>
    <n v="570.07799999999997"/>
    <x v="4"/>
    <x v="4"/>
    <n v="9"/>
    <n v="391"/>
    <s v="Store D"/>
    <x v="0"/>
    <n v="0.1"/>
    <s v="Eva"/>
    <n v="3167.1"/>
    <x v="3"/>
    <x v="2"/>
    <n v="0"/>
    <s v="REG101012"/>
    <s v="Cust 7794"/>
    <n v="46.76"/>
    <x v="324"/>
    <d v="2025-06-22T00:00:00"/>
    <s v="Wendy"/>
  </r>
  <r>
    <d v="2024-09-29T00:00:00"/>
    <n v="2210.9445000000001"/>
    <n v="442.18890000000005"/>
    <x v="1"/>
    <x v="0"/>
    <n v="12"/>
    <n v="204.15"/>
    <s v="Store C"/>
    <x v="1"/>
    <n v="0.05"/>
    <s v="Alice"/>
    <n v="2327.31"/>
    <x v="3"/>
    <x v="0"/>
    <n v="1"/>
    <s v="REG101013"/>
    <s v="Cust 6075"/>
    <n v="26.4"/>
    <x v="385"/>
    <d v="2024-10-07T00:00:00"/>
    <s v="Sophie"/>
  </r>
  <r>
    <d v="2024-02-25T00:00:00"/>
    <n v="197.09799999999998"/>
    <n v="39.419600000000003"/>
    <x v="0"/>
    <x v="0"/>
    <n v="20"/>
    <n v="13.64"/>
    <s v="Store C"/>
    <x v="1"/>
    <n v="0.15"/>
    <s v="Frank"/>
    <n v="231.88"/>
    <x v="2"/>
    <x v="1"/>
    <n v="0"/>
    <s v="REG101014"/>
    <s v="Cust 4337"/>
    <n v="33.6"/>
    <x v="626"/>
    <d v="2024-03-04T00:00:00"/>
    <s v="Eric"/>
  </r>
  <r>
    <d v="2024-03-21T00:00:00"/>
    <n v="6632.1114999999991"/>
    <n v="1326.4223"/>
    <x v="2"/>
    <x v="6"/>
    <n v="14"/>
    <n v="524.9"/>
    <s v="Store C"/>
    <x v="0"/>
    <n v="0.05"/>
    <s v="Alice"/>
    <n v="6981.1699999999992"/>
    <x v="4"/>
    <x v="0"/>
    <n v="1"/>
    <s v="REG101015"/>
    <s v="Cust 2540"/>
    <n v="20.23"/>
    <x v="58"/>
    <d v="2024-03-30T00:00:00"/>
    <s v="Ryan"/>
  </r>
  <r>
    <d v="2024-02-03T00:00:00"/>
    <n v="932.79600000000005"/>
    <n v="186.55920000000003"/>
    <x v="2"/>
    <x v="0"/>
    <n v="8"/>
    <n v="143.94999999999999"/>
    <s v="Store B"/>
    <x v="1"/>
    <n v="0.1"/>
    <s v="Diana"/>
    <n v="1036.44"/>
    <x v="4"/>
    <x v="1"/>
    <n v="0"/>
    <s v="REG101016"/>
    <s v="Cust 3944"/>
    <n v="28.09"/>
    <x v="490"/>
    <d v="2024-02-09T00:00:00"/>
    <s v="Ryan"/>
  </r>
  <r>
    <d v="2023-11-21T00:00:00"/>
    <n v="934.48079999999993"/>
    <n v="186.89616000000001"/>
    <x v="1"/>
    <x v="0"/>
    <n v="2"/>
    <n v="576.84"/>
    <s v="Store D"/>
    <x v="1"/>
    <n v="0.1"/>
    <s v="Frank"/>
    <n v="1038.3119999999999"/>
    <x v="2"/>
    <x v="0"/>
    <n v="0"/>
    <s v="REG101017"/>
    <s v="Cust 8876"/>
    <n v="43.32"/>
    <x v="283"/>
    <d v="2023-11-24T00:00:00"/>
    <s v="Sophie"/>
  </r>
  <r>
    <d v="2023-01-10T00:00:00"/>
    <n v="3513.72"/>
    <n v="702.74400000000003"/>
    <x v="4"/>
    <x v="3"/>
    <n v="14"/>
    <n v="250.98"/>
    <s v="Store C"/>
    <x v="1"/>
    <n v="0"/>
    <s v="Eva"/>
    <n v="3513.72"/>
    <x v="3"/>
    <x v="3"/>
    <n v="0"/>
    <s v="REG101018"/>
    <s v="Cust 3286"/>
    <n v="14.94"/>
    <x v="579"/>
    <d v="2023-01-18T00:00:00"/>
    <s v="Wendy"/>
  </r>
  <r>
    <d v="2023-02-06T00:00:00"/>
    <n v="2347.87"/>
    <n v="469.57400000000001"/>
    <x v="3"/>
    <x v="1"/>
    <n v="7"/>
    <n v="335.41"/>
    <s v="Store C"/>
    <x v="1"/>
    <n v="0"/>
    <s v="Bob"/>
    <n v="2347.87"/>
    <x v="0"/>
    <x v="1"/>
    <n v="0"/>
    <s v="REG101019"/>
    <s v="Cust 4990"/>
    <n v="18.91"/>
    <x v="235"/>
    <d v="2023-02-10T00:00:00"/>
    <s v="Cameron"/>
  </r>
  <r>
    <d v="2025-04-10T00:00:00"/>
    <n v="2249.5"/>
    <n v="449.90000000000003"/>
    <x v="2"/>
    <x v="6"/>
    <n v="11"/>
    <n v="204.5"/>
    <s v="Store A"/>
    <x v="1"/>
    <n v="0"/>
    <s v="Eva"/>
    <n v="2249.5"/>
    <x v="3"/>
    <x v="2"/>
    <n v="0"/>
    <s v="REG101020"/>
    <s v="Cust 8706"/>
    <n v="13.82"/>
    <x v="627"/>
    <d v="2025-04-20T00:00:00"/>
    <s v="Ryan"/>
  </r>
  <r>
    <d v="2024-02-14T00:00:00"/>
    <n v="489.72357499999993"/>
    <n v="97.944714999999988"/>
    <x v="0"/>
    <x v="5"/>
    <n v="1"/>
    <n v="542.63"/>
    <s v="Store A"/>
    <x v="1"/>
    <n v="0.05"/>
    <s v="Carlos"/>
    <n v="515.49849999999992"/>
    <x v="2"/>
    <x v="3"/>
    <n v="0"/>
    <s v="REG101021"/>
    <s v="Cust 2608"/>
    <n v="33.200000000000003"/>
    <x v="628"/>
    <d v="2024-02-21T00:00:00"/>
    <s v="Eric"/>
  </r>
  <r>
    <d v="2025-05-26T00:00:00"/>
    <n v="165.67740000000001"/>
    <n v="33.135480000000001"/>
    <x v="0"/>
    <x v="1"/>
    <n v="1"/>
    <n v="204.54"/>
    <s v="Store D"/>
    <x v="1"/>
    <n v="0.1"/>
    <s v="Carlos"/>
    <n v="184.08600000000001"/>
    <x v="0"/>
    <x v="3"/>
    <n v="1"/>
    <s v="REG101022"/>
    <s v="Cust 3290"/>
    <n v="17.760000000000002"/>
    <x v="499"/>
    <d v="2025-05-29T00:00:00"/>
    <s v="Eric"/>
  </r>
  <r>
    <d v="2023-09-12T00:00:00"/>
    <n v="3031.4654999999998"/>
    <n v="606.29309999999998"/>
    <x v="4"/>
    <x v="3"/>
    <n v="10"/>
    <n v="419.58"/>
    <s v="Store A"/>
    <x v="0"/>
    <n v="0.15"/>
    <s v="Eva"/>
    <n v="3566.43"/>
    <x v="3"/>
    <x v="0"/>
    <n v="0"/>
    <s v="REG101023"/>
    <s v="Cust 3892"/>
    <n v="13.09"/>
    <x v="629"/>
    <d v="2023-09-19T00:00:00"/>
    <s v="Wendy"/>
  </r>
  <r>
    <d v="2023-05-17T00:00:00"/>
    <n v="444.45309999999995"/>
    <n v="88.890619999999998"/>
    <x v="0"/>
    <x v="2"/>
    <n v="7"/>
    <n v="87.88"/>
    <s v="Store C"/>
    <x v="0"/>
    <n v="0.15"/>
    <s v="Alice"/>
    <n v="522.88599999999997"/>
    <x v="0"/>
    <x v="2"/>
    <n v="1"/>
    <s v="REG101024"/>
    <s v="Cust 6979"/>
    <n v="22.2"/>
    <x v="497"/>
    <d v="2023-05-26T00:00:00"/>
    <s v="Eric"/>
  </r>
  <r>
    <d v="2024-01-29T00:00:00"/>
    <n v="2444.1143999999999"/>
    <n v="488.82288"/>
    <x v="4"/>
    <x v="6"/>
    <n v="7"/>
    <n v="386.88"/>
    <s v="Store B"/>
    <x v="0"/>
    <n v="0.05"/>
    <s v="Carlos"/>
    <n v="2572.752"/>
    <x v="4"/>
    <x v="1"/>
    <n v="0"/>
    <s v="REG101025"/>
    <s v="Cust 9375"/>
    <n v="38.46"/>
    <x v="282"/>
    <d v="2024-01-31T00:00:00"/>
    <s v="Wendy"/>
  </r>
  <r>
    <d v="2025-05-09T00:00:00"/>
    <n v="876.50799999999992"/>
    <n v="175.30160000000001"/>
    <x v="2"/>
    <x v="2"/>
    <n v="4"/>
    <n v="242.8"/>
    <s v="Store D"/>
    <x v="0"/>
    <n v="0.05"/>
    <s v="Diana"/>
    <n v="922.64"/>
    <x v="3"/>
    <x v="0"/>
    <n v="0"/>
    <s v="REG101026"/>
    <s v="Cust 9311"/>
    <n v="30.03"/>
    <x v="589"/>
    <d v="2025-05-18T00:00:00"/>
    <s v="Ryan"/>
  </r>
  <r>
    <d v="2024-04-05T00:00:00"/>
    <n v="1642.36"/>
    <n v="328.47199999999998"/>
    <x v="0"/>
    <x v="6"/>
    <n v="4"/>
    <n v="410.59"/>
    <s v="Store A"/>
    <x v="1"/>
    <n v="0"/>
    <s v="Eva"/>
    <n v="1642.36"/>
    <x v="4"/>
    <x v="3"/>
    <n v="0"/>
    <s v="REG101027"/>
    <s v="Cust 4097"/>
    <n v="17.36"/>
    <x v="393"/>
    <d v="2024-04-09T00:00:00"/>
    <s v="Eric"/>
  </r>
  <r>
    <d v="2024-08-01T00:00:00"/>
    <n v="23.690774999999999"/>
    <n v="4.7381549999999999"/>
    <x v="1"/>
    <x v="3"/>
    <n v="3"/>
    <n v="10.93"/>
    <s v="Store D"/>
    <x v="0"/>
    <n v="0.15"/>
    <s v="Eva"/>
    <n v="27.871500000000001"/>
    <x v="4"/>
    <x v="0"/>
    <n v="0"/>
    <s v="REG101028"/>
    <s v="Cust 6145"/>
    <n v="19.010000000000002"/>
    <x v="537"/>
    <d v="2024-08-10T00:00:00"/>
    <s v="Sophie"/>
  </r>
  <r>
    <d v="2024-07-10T00:00:00"/>
    <n v="3003.2"/>
    <n v="600.64"/>
    <x v="1"/>
    <x v="3"/>
    <n v="20"/>
    <n v="150.16"/>
    <s v="Store C"/>
    <x v="0"/>
    <n v="0"/>
    <s v="Bob"/>
    <n v="3003.2"/>
    <x v="4"/>
    <x v="3"/>
    <n v="0"/>
    <s v="REG101029"/>
    <s v="Cust 8124"/>
    <n v="41.66"/>
    <x v="462"/>
    <d v="2024-07-12T00:00:00"/>
    <s v="Sophie"/>
  </r>
  <r>
    <d v="2024-06-15T00:00:00"/>
    <n v="319.47210000000013"/>
    <n v="63.894420000000025"/>
    <x v="0"/>
    <x v="3"/>
    <n v="1"/>
    <n v="394.41"/>
    <s v="Store B"/>
    <x v="1"/>
    <n v="0.1"/>
    <s v="Alice"/>
    <n v="354.96900000000011"/>
    <x v="1"/>
    <x v="2"/>
    <n v="0"/>
    <s v="REG101030"/>
    <s v="Cust 7826"/>
    <n v="6.37"/>
    <x v="351"/>
    <d v="2024-06-20T00:00:00"/>
    <s v="Eric"/>
  </r>
  <r>
    <d v="2024-05-22T00:00:00"/>
    <n v="2320.8723"/>
    <n v="464.17446000000001"/>
    <x v="0"/>
    <x v="4"/>
    <n v="6"/>
    <n v="535.38"/>
    <s v="Store C"/>
    <x v="0"/>
    <n v="0.15"/>
    <s v="Alice"/>
    <n v="2730.4380000000001"/>
    <x v="0"/>
    <x v="3"/>
    <n v="0"/>
    <s v="REG101031"/>
    <s v="Cust 3472"/>
    <n v="48.66"/>
    <x v="521"/>
    <d v="2024-05-29T00:00:00"/>
    <s v="Eric"/>
  </r>
  <r>
    <d v="2024-01-14T00:00:00"/>
    <n v="6993.0934499999994"/>
    <n v="1398.61869"/>
    <x v="0"/>
    <x v="4"/>
    <n v="19"/>
    <n v="407.82"/>
    <s v="Store D"/>
    <x v="1"/>
    <n v="0.05"/>
    <s v="Diana"/>
    <n v="7361.1509999999998"/>
    <x v="1"/>
    <x v="0"/>
    <n v="0"/>
    <s v="REG101032"/>
    <s v="Cust 4266"/>
    <n v="38.979999999999997"/>
    <x v="73"/>
    <d v="2024-01-18T00:00:00"/>
    <s v="Eric"/>
  </r>
  <r>
    <d v="2024-10-31T00:00:00"/>
    <n v="1744.7851999999998"/>
    <n v="348.95704000000001"/>
    <x v="2"/>
    <x v="5"/>
    <n v="16"/>
    <n v="120.83"/>
    <s v="Store B"/>
    <x v="1"/>
    <n v="0.05"/>
    <s v="Carlos"/>
    <n v="1836.616"/>
    <x v="4"/>
    <x v="2"/>
    <n v="1"/>
    <s v="REG101033"/>
    <s v="Cust 8492"/>
    <n v="39.64"/>
    <x v="335"/>
    <d v="2024-11-02T00:00:00"/>
    <s v="Ryan"/>
  </r>
  <r>
    <d v="2024-04-23T00:00:00"/>
    <n v="224.13509999999999"/>
    <n v="44.827020000000005"/>
    <x v="4"/>
    <x v="6"/>
    <n v="7"/>
    <n v="39.53"/>
    <s v="Store D"/>
    <x v="1"/>
    <n v="0.1"/>
    <s v="Carlos"/>
    <n v="249.03899999999999"/>
    <x v="3"/>
    <x v="2"/>
    <n v="0"/>
    <s v="REG101034"/>
    <s v="Cust 7354"/>
    <n v="18.16"/>
    <x v="502"/>
    <d v="2024-04-29T00:00:00"/>
    <s v="Wendy"/>
  </r>
  <r>
    <d v="2023-06-14T00:00:00"/>
    <n v="404.46440000000001"/>
    <n v="80.892880000000005"/>
    <x v="1"/>
    <x v="5"/>
    <n v="2"/>
    <n v="224.08"/>
    <s v="Store A"/>
    <x v="1"/>
    <n v="0.05"/>
    <s v="Frank"/>
    <n v="425.75200000000001"/>
    <x v="2"/>
    <x v="2"/>
    <n v="0"/>
    <s v="REG101035"/>
    <s v="Cust 6672"/>
    <n v="47.35"/>
    <x v="116"/>
    <d v="2023-06-20T00:00:00"/>
    <s v="Sophie"/>
  </r>
  <r>
    <d v="2024-02-28T00:00:00"/>
    <n v="3793.0991999999997"/>
    <n v="758.61983999999995"/>
    <x v="2"/>
    <x v="6"/>
    <n v="11"/>
    <n v="382.08"/>
    <s v="Store D"/>
    <x v="0"/>
    <n v="0.05"/>
    <s v="Frank"/>
    <n v="3992.7359999999999"/>
    <x v="4"/>
    <x v="2"/>
    <n v="0"/>
    <s v="REG101036"/>
    <s v="Cust 5589"/>
    <n v="5.95"/>
    <x v="630"/>
    <d v="2024-03-02T00:00:00"/>
    <s v="Ryan"/>
  </r>
  <r>
    <d v="2024-06-19T00:00:00"/>
    <n v="718.76002499999993"/>
    <n v="143.752005"/>
    <x v="1"/>
    <x v="6"/>
    <n v="9"/>
    <n v="88.49"/>
    <s v="Store D"/>
    <x v="0"/>
    <n v="0.05"/>
    <s v="Diana"/>
    <n v="756.58949999999993"/>
    <x v="0"/>
    <x v="3"/>
    <n v="0"/>
    <s v="REG101037"/>
    <s v="Cust 2770"/>
    <n v="35.6"/>
    <x v="389"/>
    <d v="2024-06-26T00:00:00"/>
    <s v="Sophie"/>
  </r>
  <r>
    <d v="2023-03-18T00:00:00"/>
    <n v="2510.7550000000001"/>
    <n v="502.15100000000007"/>
    <x v="3"/>
    <x v="5"/>
    <n v="20"/>
    <n v="139.1"/>
    <s v="Store C"/>
    <x v="0"/>
    <n v="0.05"/>
    <s v="Carlos"/>
    <n v="2642.9"/>
    <x v="0"/>
    <x v="0"/>
    <n v="0"/>
    <s v="REG101038"/>
    <s v="Cust 7206"/>
    <n v="30.22"/>
    <x v="132"/>
    <d v="2023-03-20T00:00:00"/>
    <s v="Cameron"/>
  </r>
  <r>
    <d v="2023-03-21T00:00:00"/>
    <n v="4960.9665000000005"/>
    <n v="992.19330000000014"/>
    <x v="4"/>
    <x v="2"/>
    <n v="19"/>
    <n v="322.35000000000002"/>
    <s v="Store D"/>
    <x v="0"/>
    <n v="0.1"/>
    <s v="Alice"/>
    <n v="5512.1850000000004"/>
    <x v="3"/>
    <x v="2"/>
    <n v="0"/>
    <s v="REG101039"/>
    <s v="Cust 1580"/>
    <n v="30.06"/>
    <x v="256"/>
    <d v="2023-03-31T00:00:00"/>
    <s v="Wendy"/>
  </r>
  <r>
    <d v="2024-05-28T00:00:00"/>
    <n v="4335.7680000000009"/>
    <n v="867.15360000000021"/>
    <x v="0"/>
    <x v="6"/>
    <n v="16"/>
    <n v="334.55"/>
    <s v="Store B"/>
    <x v="0"/>
    <n v="0.1"/>
    <s v="Eva"/>
    <n v="4817.5200000000004"/>
    <x v="2"/>
    <x v="1"/>
    <n v="0"/>
    <s v="REG101040"/>
    <s v="Cust 5313"/>
    <n v="37.42"/>
    <x v="17"/>
    <d v="2024-06-01T00:00:00"/>
    <s v="Eric"/>
  </r>
  <r>
    <d v="2023-03-27T00:00:00"/>
    <n v="6649.6"/>
    <n v="1329.92"/>
    <x v="4"/>
    <x v="2"/>
    <n v="20"/>
    <n v="332.48"/>
    <s v="Store B"/>
    <x v="0"/>
    <n v="0"/>
    <s v="Eva"/>
    <n v="6649.6"/>
    <x v="0"/>
    <x v="1"/>
    <n v="1"/>
    <s v="REG101041"/>
    <s v="Cust 4209"/>
    <n v="7.79"/>
    <x v="340"/>
    <d v="2023-03-30T00:00:00"/>
    <s v="Wendy"/>
  </r>
  <r>
    <d v="2023-06-19T00:00:00"/>
    <n v="123.4"/>
    <n v="24.680000000000003"/>
    <x v="3"/>
    <x v="6"/>
    <n v="1"/>
    <n v="123.4"/>
    <s v="Store A"/>
    <x v="1"/>
    <n v="0"/>
    <s v="Eva"/>
    <n v="123.4"/>
    <x v="4"/>
    <x v="3"/>
    <n v="1"/>
    <s v="REG101042"/>
    <s v="Cust 5861"/>
    <n v="12.63"/>
    <x v="182"/>
    <d v="2023-06-25T00:00:00"/>
    <s v="Cameron"/>
  </r>
  <r>
    <d v="2023-10-31T00:00:00"/>
    <n v="238.96394999999998"/>
    <n v="47.792789999999997"/>
    <x v="1"/>
    <x v="0"/>
    <n v="3"/>
    <n v="88.26"/>
    <s v="Store D"/>
    <x v="0"/>
    <n v="0.05"/>
    <s v="Bob"/>
    <n v="251.541"/>
    <x v="3"/>
    <x v="0"/>
    <n v="0"/>
    <s v="REG101043"/>
    <s v="Cust 6348"/>
    <n v="46.45"/>
    <x v="372"/>
    <d v="2023-11-07T00:00:00"/>
    <s v="Sophie"/>
  </r>
  <r>
    <d v="2023-07-11T00:00:00"/>
    <n v="531.87030000000004"/>
    <n v="106.37406000000001"/>
    <x v="4"/>
    <x v="1"/>
    <n v="13"/>
    <n v="50.51"/>
    <s v="Store D"/>
    <x v="0"/>
    <n v="0.1"/>
    <s v="Alice"/>
    <n v="590.96699999999998"/>
    <x v="3"/>
    <x v="2"/>
    <n v="0"/>
    <s v="REG101044"/>
    <s v="Cust 5210"/>
    <n v="40.57"/>
    <x v="445"/>
    <d v="2023-07-18T00:00:00"/>
    <s v="Wendy"/>
  </r>
  <r>
    <d v="2023-05-19T00:00:00"/>
    <n v="2362.6457249999999"/>
    <n v="472.52914499999997"/>
    <x v="1"/>
    <x v="4"/>
    <n v="11"/>
    <n v="237.99"/>
    <s v="Store D"/>
    <x v="0"/>
    <n v="0.05"/>
    <s v="Bob"/>
    <n v="2486.9955"/>
    <x v="3"/>
    <x v="0"/>
    <n v="0"/>
    <s v="REG101045"/>
    <s v="Cust 7325"/>
    <n v="44.7"/>
    <x v="631"/>
    <d v="2023-05-28T00:00:00"/>
    <s v="Sophie"/>
  </r>
  <r>
    <d v="2023-08-05T00:00:00"/>
    <n v="2064.65"/>
    <n v="412.93000000000006"/>
    <x v="2"/>
    <x v="3"/>
    <n v="7"/>
    <n v="294.95"/>
    <s v="Store D"/>
    <x v="0"/>
    <n v="0"/>
    <s v="Frank"/>
    <n v="2064.65"/>
    <x v="0"/>
    <x v="0"/>
    <n v="0"/>
    <s v="REG101046"/>
    <s v="Cust 5818"/>
    <n v="15.78"/>
    <x v="285"/>
    <d v="2023-08-10T00:00:00"/>
    <s v="Ryan"/>
  </r>
  <r>
    <d v="2023-03-24T00:00:00"/>
    <n v="2490.2640000000001"/>
    <n v="498.05280000000005"/>
    <x v="4"/>
    <x v="2"/>
    <n v="8"/>
    <n v="384.3"/>
    <s v="Store C"/>
    <x v="0"/>
    <n v="0.1"/>
    <s v="Frank"/>
    <n v="2766.96"/>
    <x v="1"/>
    <x v="0"/>
    <n v="0"/>
    <s v="REG101047"/>
    <s v="Cust 7773"/>
    <n v="48.83"/>
    <x v="601"/>
    <d v="2023-04-03T00:00:00"/>
    <s v="Wendy"/>
  </r>
  <r>
    <d v="2025-02-14T00:00:00"/>
    <n v="341.46087499999999"/>
    <n v="68.292175"/>
    <x v="4"/>
    <x v="4"/>
    <n v="1"/>
    <n v="378.35"/>
    <s v="Store C"/>
    <x v="0"/>
    <n v="0.05"/>
    <s v="Diana"/>
    <n v="359.4325"/>
    <x v="4"/>
    <x v="0"/>
    <n v="0"/>
    <s v="REG101048"/>
    <s v="Cust 3960"/>
    <n v="20.97"/>
    <x v="202"/>
    <d v="2025-02-17T00:00:00"/>
    <s v="Wendy"/>
  </r>
  <r>
    <d v="2024-12-14T00:00:00"/>
    <n v="461.35"/>
    <n v="92.27000000000001"/>
    <x v="2"/>
    <x v="2"/>
    <n v="1"/>
    <n v="461.35"/>
    <s v="Store D"/>
    <x v="1"/>
    <n v="0"/>
    <s v="Bob"/>
    <n v="461.35"/>
    <x v="3"/>
    <x v="0"/>
    <n v="1"/>
    <s v="REG101049"/>
    <s v="Cust 4496"/>
    <n v="43.74"/>
    <x v="632"/>
    <d v="2024-12-16T00:00:00"/>
    <s v="Ryan"/>
  </r>
  <r>
    <d v="2023-06-28T00:00:00"/>
    <n v="7098"/>
    <n v="1419.6000000000001"/>
    <x v="1"/>
    <x v="6"/>
    <n v="20"/>
    <n v="354.9"/>
    <s v="Store A"/>
    <x v="0"/>
    <n v="0"/>
    <s v="Bob"/>
    <n v="7098"/>
    <x v="1"/>
    <x v="2"/>
    <n v="0"/>
    <s v="REG101050"/>
    <s v="Cust 3875"/>
    <n v="43.24"/>
    <x v="418"/>
    <d v="2023-07-01T00:00:00"/>
    <s v="Sophie"/>
  </r>
  <r>
    <d v="2023-01-24T00:00:00"/>
    <n v="2485.7847000000002"/>
    <n v="497.15694000000008"/>
    <x v="4"/>
    <x v="2"/>
    <n v="7"/>
    <n v="438.41"/>
    <s v="Store C"/>
    <x v="1"/>
    <n v="0.1"/>
    <s v="Diana"/>
    <n v="2761.9830000000002"/>
    <x v="3"/>
    <x v="1"/>
    <n v="1"/>
    <s v="REG101051"/>
    <s v="Cust 7232"/>
    <n v="47.77"/>
    <x v="191"/>
    <d v="2023-01-28T00:00:00"/>
    <s v="Wendy"/>
  </r>
  <r>
    <d v="2024-06-21T00:00:00"/>
    <n v="6855.7509999999993"/>
    <n v="1371.1502"/>
    <x v="3"/>
    <x v="5"/>
    <n v="14"/>
    <n v="542.6"/>
    <s v="Store C"/>
    <x v="1"/>
    <n v="0.05"/>
    <s v="Eva"/>
    <n v="7216.58"/>
    <x v="3"/>
    <x v="3"/>
    <n v="0"/>
    <s v="REG101052"/>
    <s v="Cust 2137"/>
    <n v="44.76"/>
    <x v="378"/>
    <d v="2024-06-30T00:00:00"/>
    <s v="Cameron"/>
  </r>
  <r>
    <d v="2025-04-09T00:00:00"/>
    <n v="580.33260000000007"/>
    <n v="116.06652000000003"/>
    <x v="2"/>
    <x v="6"/>
    <n v="3"/>
    <n v="238.82"/>
    <s v="Store C"/>
    <x v="1"/>
    <n v="0.1"/>
    <s v="Bob"/>
    <n v="644.81400000000008"/>
    <x v="1"/>
    <x v="2"/>
    <n v="0"/>
    <s v="REG101053"/>
    <s v="Cust 4537"/>
    <n v="37.07"/>
    <x v="320"/>
    <d v="2025-04-18T00:00:00"/>
    <s v="Ryan"/>
  </r>
  <r>
    <d v="2025-01-11T00:00:00"/>
    <n v="4305.1824000000006"/>
    <n v="861.03648000000021"/>
    <x v="2"/>
    <x v="5"/>
    <n v="16"/>
    <n v="332.19"/>
    <s v="Store C"/>
    <x v="1"/>
    <n v="0.1"/>
    <s v="Eva"/>
    <n v="4783.5360000000001"/>
    <x v="2"/>
    <x v="1"/>
    <n v="1"/>
    <s v="REG101054"/>
    <s v="Cust 6274"/>
    <n v="34.97"/>
    <x v="405"/>
    <d v="2025-01-19T00:00:00"/>
    <s v="Ryan"/>
  </r>
  <r>
    <d v="2024-07-13T00:00:00"/>
    <n v="3692.4884999999999"/>
    <n v="738.49770000000001"/>
    <x v="3"/>
    <x v="6"/>
    <n v="9"/>
    <n v="454.6"/>
    <s v="Store D"/>
    <x v="0"/>
    <n v="0.05"/>
    <s v="Carlos"/>
    <n v="3886.83"/>
    <x v="3"/>
    <x v="3"/>
    <n v="0"/>
    <s v="REG101055"/>
    <s v="Cust 3810"/>
    <n v="32.86"/>
    <x v="421"/>
    <d v="2024-07-20T00:00:00"/>
    <s v="Cameron"/>
  </r>
  <r>
    <d v="2025-01-04T00:00:00"/>
    <n v="2927.0240999999996"/>
    <n v="585.40481999999997"/>
    <x v="4"/>
    <x v="6"/>
    <n v="6"/>
    <n v="540.54"/>
    <s v="Store A"/>
    <x v="1"/>
    <n v="0.05"/>
    <s v="Carlos"/>
    <n v="3081.078"/>
    <x v="3"/>
    <x v="1"/>
    <n v="0"/>
    <s v="REG101056"/>
    <s v="Cust 5002"/>
    <n v="19.77"/>
    <x v="602"/>
    <d v="2025-01-10T00:00:00"/>
    <s v="Wendy"/>
  </r>
  <r>
    <d v="2023-10-25T00:00:00"/>
    <n v="1490.6475499999999"/>
    <n v="298.12950999999998"/>
    <x v="4"/>
    <x v="2"/>
    <n v="14"/>
    <n v="147.37"/>
    <s v="Store D"/>
    <x v="0"/>
    <n v="0.15"/>
    <s v="Frank"/>
    <n v="1753.703"/>
    <x v="3"/>
    <x v="2"/>
    <n v="1"/>
    <s v="REG101057"/>
    <s v="Cust 8551"/>
    <n v="45.75"/>
    <x v="633"/>
    <d v="2023-10-31T00:00:00"/>
    <s v="Wendy"/>
  </r>
  <r>
    <d v="2023-09-30T00:00:00"/>
    <n v="2129.8144000000002"/>
    <n v="425.96288000000004"/>
    <x v="1"/>
    <x v="0"/>
    <n v="7"/>
    <n v="421.12"/>
    <s v="Store D"/>
    <x v="0"/>
    <n v="0.15"/>
    <s v="Diana"/>
    <n v="2505.6640000000002"/>
    <x v="1"/>
    <x v="3"/>
    <n v="0"/>
    <s v="REG101058"/>
    <s v="Cust 8837"/>
    <n v="44.49"/>
    <x v="508"/>
    <d v="2023-10-02T00:00:00"/>
    <s v="Sophie"/>
  </r>
  <r>
    <d v="2023-03-16T00:00:00"/>
    <n v="8726.4"/>
    <n v="1745.28"/>
    <x v="2"/>
    <x v="1"/>
    <n v="20"/>
    <n v="436.32"/>
    <s v="Store D"/>
    <x v="1"/>
    <n v="0"/>
    <s v="Diana"/>
    <n v="8726.4"/>
    <x v="2"/>
    <x v="0"/>
    <n v="1"/>
    <s v="REG101059"/>
    <s v="Cust 6523"/>
    <n v="37.49"/>
    <x v="399"/>
    <d v="2023-03-26T00:00:00"/>
    <s v="Ryan"/>
  </r>
  <r>
    <d v="2023-07-26T00:00:00"/>
    <n v="6368.9813999999997"/>
    <n v="1273.79628"/>
    <x v="2"/>
    <x v="0"/>
    <n v="18"/>
    <n v="436.83"/>
    <s v="Store A"/>
    <x v="0"/>
    <n v="0.1"/>
    <s v="Bob"/>
    <n v="7076.6459999999997"/>
    <x v="2"/>
    <x v="1"/>
    <n v="0"/>
    <s v="REG101060"/>
    <s v="Cust 1947"/>
    <n v="28.8"/>
    <x v="238"/>
    <d v="2023-08-02T00:00:00"/>
    <s v="Ryan"/>
  </r>
  <r>
    <d v="2023-07-10T00:00:00"/>
    <n v="591.26384999999993"/>
    <n v="118.25277"/>
    <x v="0"/>
    <x v="4"/>
    <n v="2"/>
    <n v="327.57"/>
    <s v="Store A"/>
    <x v="1"/>
    <n v="0.05"/>
    <s v="Diana"/>
    <n v="622.38299999999992"/>
    <x v="3"/>
    <x v="3"/>
    <n v="0"/>
    <s v="REG101061"/>
    <s v="Cust 3440"/>
    <n v="19.489999999999998"/>
    <x v="634"/>
    <d v="2023-07-19T00:00:00"/>
    <s v="Eric"/>
  </r>
  <r>
    <d v="2024-08-06T00:00:00"/>
    <n v="2711.6153999999997"/>
    <n v="542.32308"/>
    <x v="0"/>
    <x v="6"/>
    <n v="18"/>
    <n v="166.92"/>
    <s v="Store C"/>
    <x v="0"/>
    <n v="0.05"/>
    <s v="Alice"/>
    <n v="2854.3319999999999"/>
    <x v="1"/>
    <x v="2"/>
    <n v="0"/>
    <s v="REG101062"/>
    <s v="Cust 4102"/>
    <n v="9.35"/>
    <x v="635"/>
    <d v="2024-08-16T00:00:00"/>
    <s v="Eric"/>
  </r>
  <r>
    <d v="2024-07-16T00:00:00"/>
    <n v="3406.3092000000001"/>
    <n v="681.26184000000012"/>
    <x v="3"/>
    <x v="1"/>
    <n v="14"/>
    <n v="300.38"/>
    <s v="Store A"/>
    <x v="1"/>
    <n v="0.1"/>
    <s v="Alice"/>
    <n v="3784.788"/>
    <x v="0"/>
    <x v="3"/>
    <n v="0"/>
    <s v="REG101063"/>
    <s v="Cust 4145"/>
    <n v="38.6"/>
    <x v="617"/>
    <d v="2024-07-19T00:00:00"/>
    <s v="Cameron"/>
  </r>
  <r>
    <d v="2024-01-31T00:00:00"/>
    <n v="1161.45"/>
    <n v="232.29000000000002"/>
    <x v="2"/>
    <x v="6"/>
    <n v="5"/>
    <n v="232.29"/>
    <s v="Store A"/>
    <x v="0"/>
    <n v="0"/>
    <s v="Alice"/>
    <n v="1161.45"/>
    <x v="0"/>
    <x v="3"/>
    <n v="1"/>
    <s v="REG101064"/>
    <s v="Cust 5206"/>
    <n v="42.38"/>
    <x v="636"/>
    <d v="2024-02-09T00:00:00"/>
    <s v="Ryan"/>
  </r>
  <r>
    <d v="2023-04-22T00:00:00"/>
    <n v="173.44"/>
    <n v="34.688000000000002"/>
    <x v="3"/>
    <x v="5"/>
    <n v="1"/>
    <n v="173.44"/>
    <s v="Store A"/>
    <x v="1"/>
    <n v="0"/>
    <s v="Bob"/>
    <n v="173.44"/>
    <x v="1"/>
    <x v="0"/>
    <n v="0"/>
    <s v="REG101065"/>
    <s v="Cust 4022"/>
    <n v="32.83"/>
    <x v="573"/>
    <d v="2023-04-24T00:00:00"/>
    <s v="Cameron"/>
  </r>
  <r>
    <d v="2025-02-04T00:00:00"/>
    <n v="1665.55035"/>
    <n v="333.11007000000001"/>
    <x v="0"/>
    <x v="1"/>
    <n v="9"/>
    <n v="256.14"/>
    <s v="Store A"/>
    <x v="1"/>
    <n v="0.15"/>
    <s v="Frank"/>
    <n v="1959.471"/>
    <x v="2"/>
    <x v="1"/>
    <n v="1"/>
    <s v="REG101066"/>
    <s v="Cust 8676"/>
    <n v="5.21"/>
    <x v="599"/>
    <d v="2025-02-07T00:00:00"/>
    <s v="Eric"/>
  </r>
  <r>
    <d v="2024-08-25T00:00:00"/>
    <n v="3999.471"/>
    <n v="799.89420000000007"/>
    <x v="3"/>
    <x v="0"/>
    <n v="12"/>
    <n v="461.3"/>
    <s v="Store D"/>
    <x v="0"/>
    <n v="0.15"/>
    <s v="Diana"/>
    <n v="4705.26"/>
    <x v="1"/>
    <x v="0"/>
    <n v="0"/>
    <s v="REG101067"/>
    <s v="Cust 7492"/>
    <n v="8.6"/>
    <x v="225"/>
    <d v="2024-09-03T00:00:00"/>
    <s v="Cameron"/>
  </r>
  <r>
    <d v="2023-08-30T00:00:00"/>
    <n v="174.25469999999999"/>
    <n v="34.850940000000001"/>
    <x v="0"/>
    <x v="1"/>
    <n v="1"/>
    <n v="193.08"/>
    <s v="Store A"/>
    <x v="0"/>
    <n v="0.05"/>
    <s v="Frank"/>
    <n v="183.42599999999999"/>
    <x v="0"/>
    <x v="1"/>
    <n v="0"/>
    <s v="REG101068"/>
    <s v="Cust 3150"/>
    <n v="23.99"/>
    <x v="286"/>
    <d v="2023-09-05T00:00:00"/>
    <s v="Eric"/>
  </r>
  <r>
    <d v="2023-09-06T00:00:00"/>
    <n v="847.36627499999997"/>
    <n v="169.47325499999999"/>
    <x v="4"/>
    <x v="3"/>
    <n v="3"/>
    <n v="312.97000000000003"/>
    <s v="Store C"/>
    <x v="1"/>
    <n v="0.05"/>
    <s v="Eva"/>
    <n v="891.96450000000004"/>
    <x v="2"/>
    <x v="3"/>
    <n v="1"/>
    <s v="REG101069"/>
    <s v="Cust 7872"/>
    <n v="20.059999999999999"/>
    <x v="476"/>
    <d v="2023-09-12T00:00:00"/>
    <s v="Wendy"/>
  </r>
  <r>
    <d v="2025-05-13T00:00:00"/>
    <n v="1159.5681"/>
    <n v="231.91362000000001"/>
    <x v="1"/>
    <x v="0"/>
    <n v="6"/>
    <n v="214.14"/>
    <s v="Store D"/>
    <x v="0"/>
    <n v="0.05"/>
    <s v="Diana"/>
    <n v="1220.598"/>
    <x v="4"/>
    <x v="0"/>
    <n v="0"/>
    <s v="REG101070"/>
    <s v="Cust 8762"/>
    <n v="44.86"/>
    <x v="92"/>
    <d v="2025-05-21T00:00:00"/>
    <s v="Sophie"/>
  </r>
  <r>
    <d v="2023-10-29T00:00:00"/>
    <n v="193.75200000000001"/>
    <n v="38.750400000000006"/>
    <x v="2"/>
    <x v="1"/>
    <n v="4"/>
    <n v="59.8"/>
    <s v="Store D"/>
    <x v="1"/>
    <n v="0.1"/>
    <s v="Frank"/>
    <n v="215.28"/>
    <x v="0"/>
    <x v="0"/>
    <n v="0"/>
    <s v="REG101071"/>
    <s v="Cust 4004"/>
    <n v="42.59"/>
    <x v="637"/>
    <d v="2023-11-06T00:00:00"/>
    <s v="Ryan"/>
  </r>
  <r>
    <d v="2024-06-12T00:00:00"/>
    <n v="3762"/>
    <n v="752.40000000000009"/>
    <x v="0"/>
    <x v="0"/>
    <n v="9"/>
    <n v="418"/>
    <s v="Store C"/>
    <x v="0"/>
    <n v="0"/>
    <s v="Bob"/>
    <n v="3762"/>
    <x v="2"/>
    <x v="2"/>
    <n v="0"/>
    <s v="REG101072"/>
    <s v="Cust 2781"/>
    <n v="30.45"/>
    <x v="638"/>
    <d v="2024-06-18T00:00:00"/>
    <s v="Eric"/>
  </r>
  <r>
    <d v="2023-02-02T00:00:00"/>
    <n v="80.959999999999994"/>
    <n v="16.192"/>
    <x v="1"/>
    <x v="3"/>
    <n v="1"/>
    <n v="80.959999999999994"/>
    <s v="Store A"/>
    <x v="0"/>
    <n v="0"/>
    <s v="Bob"/>
    <n v="80.959999999999994"/>
    <x v="2"/>
    <x v="0"/>
    <n v="0"/>
    <s v="REG101073"/>
    <s v="Cust 9982"/>
    <n v="48.07"/>
    <x v="233"/>
    <d v="2023-02-05T00:00:00"/>
    <s v="Sophie"/>
  </r>
  <r>
    <d v="2023-05-04T00:00:00"/>
    <n v="608.6339999999999"/>
    <n v="121.72679999999998"/>
    <x v="0"/>
    <x v="1"/>
    <n v="20"/>
    <n v="42.12"/>
    <s v="Store B"/>
    <x v="0"/>
    <n v="0.15"/>
    <s v="Alice"/>
    <n v="716.04"/>
    <x v="2"/>
    <x v="3"/>
    <n v="0"/>
    <s v="REG101074"/>
    <s v="Cust 9561"/>
    <n v="43.22"/>
    <x v="639"/>
    <d v="2023-05-12T00:00:00"/>
    <s v="Eric"/>
  </r>
  <r>
    <d v="2023-05-24T00:00:00"/>
    <n v="1099.95"/>
    <n v="219.99"/>
    <x v="4"/>
    <x v="4"/>
    <n v="3"/>
    <n v="366.65"/>
    <s v="Store D"/>
    <x v="0"/>
    <n v="0"/>
    <s v="Carlos"/>
    <n v="1099.95"/>
    <x v="2"/>
    <x v="1"/>
    <n v="0"/>
    <s v="REG101075"/>
    <s v="Cust 3496"/>
    <n v="33.6"/>
    <x v="56"/>
    <d v="2023-05-31T00:00:00"/>
    <s v="Wendy"/>
  </r>
  <r>
    <d v="2023-02-03T00:00:00"/>
    <n v="10163.48"/>
    <n v="2032.6959999999999"/>
    <x v="4"/>
    <x v="4"/>
    <n v="19"/>
    <n v="534.91999999999996"/>
    <s v="Store D"/>
    <x v="1"/>
    <n v="0"/>
    <s v="Diana"/>
    <n v="10163.48"/>
    <x v="0"/>
    <x v="3"/>
    <n v="0"/>
    <s v="REG101076"/>
    <s v="Cust 4085"/>
    <n v="26.97"/>
    <x v="151"/>
    <d v="2023-02-13T00:00:00"/>
    <s v="Wendy"/>
  </r>
  <r>
    <d v="2023-12-25T00:00:00"/>
    <n v="494.52"/>
    <n v="98.903999999999996"/>
    <x v="0"/>
    <x v="3"/>
    <n v="1"/>
    <n v="494.52"/>
    <s v="Store D"/>
    <x v="1"/>
    <n v="0"/>
    <s v="Bob"/>
    <n v="494.52"/>
    <x v="2"/>
    <x v="3"/>
    <n v="0"/>
    <s v="REG101077"/>
    <s v="Cust 1921"/>
    <n v="43.02"/>
    <x v="486"/>
    <d v="2024-01-02T00:00:00"/>
    <s v="Eric"/>
  </r>
  <r>
    <d v="2023-07-26T00:00:00"/>
    <n v="1675.0962000000002"/>
    <n v="335.01924000000008"/>
    <x v="0"/>
    <x v="4"/>
    <n v="6"/>
    <n v="344.67"/>
    <s v="Store D"/>
    <x v="0"/>
    <n v="0.1"/>
    <s v="Diana"/>
    <n v="1861.2180000000001"/>
    <x v="0"/>
    <x v="1"/>
    <n v="1"/>
    <s v="REG101078"/>
    <s v="Cust 9053"/>
    <n v="31.13"/>
    <x v="238"/>
    <d v="2023-08-01T00:00:00"/>
    <s v="Eric"/>
  </r>
  <r>
    <d v="2024-06-06T00:00:00"/>
    <n v="4240.8437999999996"/>
    <n v="848.16876000000002"/>
    <x v="3"/>
    <x v="4"/>
    <n v="12"/>
    <n v="489.14"/>
    <s v="Store D"/>
    <x v="1"/>
    <n v="0.15"/>
    <s v="Bob"/>
    <n v="4989.2280000000001"/>
    <x v="0"/>
    <x v="1"/>
    <n v="0"/>
    <s v="REG101079"/>
    <s v="Cust 9345"/>
    <n v="29.31"/>
    <x v="566"/>
    <d v="2024-06-15T00:00:00"/>
    <s v="Cameron"/>
  </r>
  <r>
    <d v="2024-10-13T00:00:00"/>
    <n v="4162.4563500000004"/>
    <n v="832.4912700000001"/>
    <x v="1"/>
    <x v="6"/>
    <n v="18"/>
    <n v="256.23"/>
    <s v="Store B"/>
    <x v="0"/>
    <n v="0.05"/>
    <s v="Eva"/>
    <n v="4381.5330000000004"/>
    <x v="3"/>
    <x v="3"/>
    <n v="0"/>
    <s v="REG101080"/>
    <s v="Cust 3559"/>
    <n v="11.21"/>
    <x v="129"/>
    <d v="2024-10-18T00:00:00"/>
    <s v="Sophie"/>
  </r>
  <r>
    <d v="2024-11-03T00:00:00"/>
    <n v="1695.92"/>
    <n v="339.18400000000003"/>
    <x v="2"/>
    <x v="6"/>
    <n v="17"/>
    <n v="99.76"/>
    <s v="Store C"/>
    <x v="0"/>
    <n v="0"/>
    <s v="Diana"/>
    <n v="1695.92"/>
    <x v="0"/>
    <x v="0"/>
    <n v="1"/>
    <s v="REG101081"/>
    <s v="Cust 1762"/>
    <n v="21.89"/>
    <x v="640"/>
    <d v="2024-11-13T00:00:00"/>
    <s v="Ryan"/>
  </r>
  <r>
    <d v="2024-02-03T00:00:00"/>
    <n v="6527.9844000000003"/>
    <n v="1305.5968800000001"/>
    <x v="2"/>
    <x v="6"/>
    <n v="14"/>
    <n v="575.66"/>
    <s v="Store C"/>
    <x v="0"/>
    <n v="0.1"/>
    <s v="Frank"/>
    <n v="7253.3159999999998"/>
    <x v="2"/>
    <x v="3"/>
    <n v="0"/>
    <s v="REG101082"/>
    <s v="Cust 7060"/>
    <n v="32.53"/>
    <x v="490"/>
    <d v="2024-02-11T00:00:00"/>
    <s v="Ryan"/>
  </r>
  <r>
    <d v="2023-01-10T00:00:00"/>
    <n v="765.21420000000001"/>
    <n v="153.04284000000001"/>
    <x v="0"/>
    <x v="3"/>
    <n v="6"/>
    <n v="176.52"/>
    <s v="Store D"/>
    <x v="0"/>
    <n v="0.15"/>
    <s v="Alice"/>
    <n v="900.25200000000007"/>
    <x v="0"/>
    <x v="0"/>
    <n v="0"/>
    <s v="REG101083"/>
    <s v="Cust 8796"/>
    <n v="16.98"/>
    <x v="579"/>
    <d v="2023-01-13T00:00:00"/>
    <s v="Eric"/>
  </r>
  <r>
    <d v="2023-10-16T00:00:00"/>
    <n v="2629.8489"/>
    <n v="525.96978000000001"/>
    <x v="0"/>
    <x v="5"/>
    <n v="6"/>
    <n v="485.66"/>
    <s v="Store D"/>
    <x v="0"/>
    <n v="0.05"/>
    <s v="Eva"/>
    <n v="2768.2620000000002"/>
    <x v="1"/>
    <x v="0"/>
    <n v="0"/>
    <s v="REG101084"/>
    <s v="Cust 6055"/>
    <n v="30.62"/>
    <x v="641"/>
    <d v="2023-10-22T00:00:00"/>
    <s v="Eric"/>
  </r>
  <r>
    <d v="2025-03-19T00:00:00"/>
    <n v="917.63279999999997"/>
    <n v="183.52656000000002"/>
    <x v="3"/>
    <x v="0"/>
    <n v="8"/>
    <n v="141.61000000000001"/>
    <s v="Store B"/>
    <x v="1"/>
    <n v="0.1"/>
    <s v="Bob"/>
    <n v="1019.592"/>
    <x v="1"/>
    <x v="2"/>
    <n v="0"/>
    <s v="REG101085"/>
    <s v="Cust 5779"/>
    <n v="14.02"/>
    <x v="302"/>
    <d v="2025-03-24T00:00:00"/>
    <s v="Cameron"/>
  </r>
  <r>
    <d v="2024-12-16T00:00:00"/>
    <n v="1569.4640999999999"/>
    <n v="313.89282000000003"/>
    <x v="4"/>
    <x v="2"/>
    <n v="9"/>
    <n v="215.29"/>
    <s v="Store C"/>
    <x v="0"/>
    <n v="0.1"/>
    <s v="Alice"/>
    <n v="1743.8489999999999"/>
    <x v="2"/>
    <x v="2"/>
    <n v="0"/>
    <s v="REG101086"/>
    <s v="Cust 9330"/>
    <n v="5.84"/>
    <x v="284"/>
    <d v="2024-12-19T00:00:00"/>
    <s v="Wendy"/>
  </r>
  <r>
    <d v="2023-08-16T00:00:00"/>
    <n v="8077.3389000000006"/>
    <n v="1615.4677800000002"/>
    <x v="4"/>
    <x v="0"/>
    <n v="18"/>
    <n v="497.22"/>
    <s v="Store B"/>
    <x v="0"/>
    <n v="0.05"/>
    <s v="Diana"/>
    <n v="8502.4620000000014"/>
    <x v="2"/>
    <x v="2"/>
    <n v="0"/>
    <s v="REG101087"/>
    <s v="Cust 5374"/>
    <n v="17.39"/>
    <x v="484"/>
    <d v="2023-08-20T00:00:00"/>
    <s v="Wendy"/>
  </r>
  <r>
    <d v="2023-01-10T00:00:00"/>
    <n v="4079.7422249999991"/>
    <n v="815.94844499999988"/>
    <x v="0"/>
    <x v="2"/>
    <n v="13"/>
    <n v="347.73"/>
    <s v="Store B"/>
    <x v="0"/>
    <n v="0.05"/>
    <s v="Diana"/>
    <n v="4294.4654999999993"/>
    <x v="1"/>
    <x v="0"/>
    <n v="1"/>
    <s v="REG101088"/>
    <s v="Cust 3321"/>
    <n v="31.81"/>
    <x v="579"/>
    <d v="2023-01-20T00:00:00"/>
    <s v="Eric"/>
  </r>
  <r>
    <d v="2025-05-09T00:00:00"/>
    <n v="902.04030000000012"/>
    <n v="180.40806000000003"/>
    <x v="3"/>
    <x v="3"/>
    <n v="3"/>
    <n v="371.21"/>
    <s v="Store C"/>
    <x v="0"/>
    <n v="0.1"/>
    <s v="Eva"/>
    <n v="1002.2670000000001"/>
    <x v="1"/>
    <x v="1"/>
    <n v="0"/>
    <s v="REG101089"/>
    <s v="Cust 6554"/>
    <n v="20.02"/>
    <x v="589"/>
    <d v="2025-05-18T00:00:00"/>
    <s v="Cameron"/>
  </r>
  <r>
    <d v="2024-04-08T00:00:00"/>
    <n v="3765.6410999999998"/>
    <n v="753.12822000000006"/>
    <x v="0"/>
    <x v="6"/>
    <n v="12"/>
    <n v="434.33"/>
    <s v="Store A"/>
    <x v="0"/>
    <n v="0.15"/>
    <s v="Bob"/>
    <n v="4430.1660000000002"/>
    <x v="4"/>
    <x v="0"/>
    <n v="0"/>
    <s v="REG101090"/>
    <s v="Cust 6855"/>
    <n v="15.33"/>
    <x v="413"/>
    <d v="2024-04-16T00:00:00"/>
    <s v="Eric"/>
  </r>
  <r>
    <d v="2025-05-06T00:00:00"/>
    <n v="5529.384"/>
    <n v="1105.8768"/>
    <x v="0"/>
    <x v="4"/>
    <n v="16"/>
    <n v="426.65"/>
    <s v="Store A"/>
    <x v="1"/>
    <n v="0.1"/>
    <s v="Diana"/>
    <n v="6143.76"/>
    <x v="1"/>
    <x v="3"/>
    <n v="0"/>
    <s v="REG101091"/>
    <s v="Cust 9955"/>
    <n v="10.199999999999999"/>
    <x v="276"/>
    <d v="2025-05-15T00:00:00"/>
    <s v="Eric"/>
  </r>
  <r>
    <d v="2023-05-21T00:00:00"/>
    <n v="1597.2625499999999"/>
    <n v="319.45251000000002"/>
    <x v="4"/>
    <x v="2"/>
    <n v="6"/>
    <n v="294.97000000000003"/>
    <s v="Store A"/>
    <x v="0"/>
    <n v="0.05"/>
    <s v="Bob"/>
    <n v="1681.329"/>
    <x v="2"/>
    <x v="2"/>
    <n v="0"/>
    <s v="REG101092"/>
    <s v="Cust 3320"/>
    <n v="48.08"/>
    <x v="642"/>
    <d v="2023-05-29T00:00:00"/>
    <s v="Wendy"/>
  </r>
  <r>
    <d v="2023-11-23T00:00:00"/>
    <n v="1134.903"/>
    <n v="226.98060000000001"/>
    <x v="3"/>
    <x v="1"/>
    <n v="12"/>
    <n v="130.9"/>
    <s v="Store D"/>
    <x v="1"/>
    <n v="0.15"/>
    <s v="Alice"/>
    <n v="1335.18"/>
    <x v="3"/>
    <x v="1"/>
    <n v="0"/>
    <s v="REG101093"/>
    <s v="Cust 8177"/>
    <n v="34.69"/>
    <x v="488"/>
    <d v="2023-11-30T00:00:00"/>
    <s v="Cameron"/>
  </r>
  <r>
    <d v="2024-03-26T00:00:00"/>
    <n v="7022.4398999999994"/>
    <n v="1404.4879799999999"/>
    <x v="2"/>
    <x v="4"/>
    <n v="18"/>
    <n v="539.98"/>
    <s v="Store C"/>
    <x v="1"/>
    <n v="0.15"/>
    <s v="Eva"/>
    <n v="8261.6939999999995"/>
    <x v="4"/>
    <x v="0"/>
    <n v="1"/>
    <s v="REG101094"/>
    <s v="Cust 1743"/>
    <n v="34.44"/>
    <x v="643"/>
    <d v="2024-04-05T00:00:00"/>
    <s v="Ryan"/>
  </r>
  <r>
    <d v="2024-09-25T00:00:00"/>
    <n v="1451.8763999999999"/>
    <n v="290.37527999999998"/>
    <x v="1"/>
    <x v="2"/>
    <n v="12"/>
    <n v="149.37"/>
    <s v="Store D"/>
    <x v="1"/>
    <n v="0.1"/>
    <s v="Bob"/>
    <n v="1613.1959999999999"/>
    <x v="2"/>
    <x v="3"/>
    <n v="0"/>
    <s v="REG101095"/>
    <s v="Cust 3719"/>
    <n v="20.21"/>
    <x v="644"/>
    <d v="2024-10-02T00:00:00"/>
    <s v="Sophie"/>
  </r>
  <r>
    <d v="2023-04-06T00:00:00"/>
    <n v="1485.6044999999999"/>
    <n v="297.12090000000001"/>
    <x v="0"/>
    <x v="3"/>
    <n v="5"/>
    <n v="411.24"/>
    <s v="Store A"/>
    <x v="0"/>
    <n v="0.15"/>
    <s v="Bob"/>
    <n v="1747.77"/>
    <x v="4"/>
    <x v="2"/>
    <n v="1"/>
    <s v="REG101096"/>
    <s v="Cust 9323"/>
    <n v="5.35"/>
    <x v="645"/>
    <d v="2023-04-10T00:00:00"/>
    <s v="Eric"/>
  </r>
  <r>
    <d v="2024-06-24T00:00:00"/>
    <n v="6683.6983999999993"/>
    <n v="1336.7396799999999"/>
    <x v="2"/>
    <x v="3"/>
    <n v="16"/>
    <n v="462.86"/>
    <s v="Store D"/>
    <x v="1"/>
    <n v="0.05"/>
    <s v="Bob"/>
    <n v="7035.4719999999998"/>
    <x v="4"/>
    <x v="3"/>
    <n v="1"/>
    <s v="REG101097"/>
    <s v="Cust 1914"/>
    <n v="17.43"/>
    <x v="503"/>
    <d v="2024-06-26T00:00:00"/>
    <s v="Ryan"/>
  </r>
  <r>
    <d v="2024-12-15T00:00:00"/>
    <n v="8608.4599999999991"/>
    <n v="1721.692"/>
    <x v="1"/>
    <x v="0"/>
    <n v="17"/>
    <n v="506.38"/>
    <s v="Store B"/>
    <x v="0"/>
    <n v="0"/>
    <s v="Carlos"/>
    <n v="8608.4599999999991"/>
    <x v="4"/>
    <x v="2"/>
    <n v="1"/>
    <s v="REG101098"/>
    <s v="Cust 5928"/>
    <n v="33.36"/>
    <x v="646"/>
    <d v="2024-12-23T00:00:00"/>
    <s v="Sophie"/>
  </r>
  <r>
    <d v="2024-10-03T00:00:00"/>
    <n v="486.59"/>
    <n v="97.317999999999998"/>
    <x v="2"/>
    <x v="2"/>
    <n v="19"/>
    <n v="25.61"/>
    <s v="Store B"/>
    <x v="1"/>
    <n v="0"/>
    <s v="Bob"/>
    <n v="486.59"/>
    <x v="1"/>
    <x v="3"/>
    <n v="0"/>
    <s v="REG101099"/>
    <s v="Cust 1904"/>
    <n v="30.32"/>
    <x v="449"/>
    <d v="2024-10-11T00:00:00"/>
    <s v="Ryan"/>
  </r>
  <r>
    <d v="2023-09-03T00:00:00"/>
    <n v="1687.4944999999998"/>
    <n v="337.49889999999999"/>
    <x v="1"/>
    <x v="2"/>
    <n v="4"/>
    <n v="467.45"/>
    <s v="Store C"/>
    <x v="0"/>
    <n v="0.05"/>
    <s v="Frank"/>
    <n v="1776.31"/>
    <x v="1"/>
    <x v="2"/>
    <n v="0"/>
    <s v="REG101100"/>
    <s v="Cust 8062"/>
    <n v="25.05"/>
    <x v="34"/>
    <d v="2023-09-13T00:00:00"/>
    <s v="Sophie"/>
  </r>
  <r>
    <d v="2023-01-29T00:00:00"/>
    <n v="1015.1125"/>
    <n v="203.02250000000001"/>
    <x v="2"/>
    <x v="6"/>
    <n v="10"/>
    <n v="140.5"/>
    <s v="Store B"/>
    <x v="1"/>
    <n v="0.15"/>
    <s v="Carlos"/>
    <n v="1194.25"/>
    <x v="0"/>
    <x v="0"/>
    <n v="0"/>
    <s v="REG101101"/>
    <s v="Cust 8150"/>
    <n v="43.81"/>
    <x v="603"/>
    <d v="2023-02-05T00:00:00"/>
    <s v="Ryan"/>
  </r>
  <r>
    <d v="2024-06-12T00:00:00"/>
    <n v="462.8"/>
    <n v="92.56"/>
    <x v="2"/>
    <x v="1"/>
    <n v="8"/>
    <n v="57.85"/>
    <s v="Store D"/>
    <x v="0"/>
    <n v="0"/>
    <s v="Frank"/>
    <n v="462.8"/>
    <x v="0"/>
    <x v="2"/>
    <n v="1"/>
    <s v="REG101102"/>
    <s v="Cust 3275"/>
    <n v="49.82"/>
    <x v="638"/>
    <d v="2024-06-20T00:00:00"/>
    <s v="Ryan"/>
  </r>
  <r>
    <d v="2024-11-24T00:00:00"/>
    <n v="3509.0090999999998"/>
    <n v="701.80182000000002"/>
    <x v="2"/>
    <x v="4"/>
    <n v="9"/>
    <n v="539.64"/>
    <s v="Store A"/>
    <x v="1"/>
    <n v="0.15"/>
    <s v="Alice"/>
    <n v="4128.2460000000001"/>
    <x v="1"/>
    <x v="3"/>
    <n v="0"/>
    <s v="REG101103"/>
    <s v="Cust 3854"/>
    <n v="16.079999999999998"/>
    <x v="224"/>
    <d v="2024-12-03T00:00:00"/>
    <s v="Ryan"/>
  </r>
  <r>
    <d v="2023-08-15T00:00:00"/>
    <n v="8573.76"/>
    <n v="1714.7520000000002"/>
    <x v="4"/>
    <x v="4"/>
    <n v="18"/>
    <n v="476.32"/>
    <s v="Store A"/>
    <x v="0"/>
    <n v="0"/>
    <s v="Diana"/>
    <n v="8573.76"/>
    <x v="2"/>
    <x v="1"/>
    <n v="1"/>
    <s v="REG101104"/>
    <s v="Cust 8398"/>
    <n v="47.43"/>
    <x v="374"/>
    <d v="2023-08-20T00:00:00"/>
    <s v="Wendy"/>
  </r>
  <r>
    <d v="2024-08-21T00:00:00"/>
    <n v="1281.7035000000001"/>
    <n v="256.34070000000003"/>
    <x v="3"/>
    <x v="5"/>
    <n v="11"/>
    <n v="143.85"/>
    <s v="Store A"/>
    <x v="0"/>
    <n v="0.1"/>
    <s v="Eva"/>
    <n v="1424.115"/>
    <x v="3"/>
    <x v="0"/>
    <n v="0"/>
    <s v="REG101105"/>
    <s v="Cust 4026"/>
    <n v="6.85"/>
    <x v="647"/>
    <d v="2024-08-30T00:00:00"/>
    <s v="Cameron"/>
  </r>
  <r>
    <d v="2023-05-24T00:00:00"/>
    <n v="1048.5612000000001"/>
    <n v="209.71224000000004"/>
    <x v="4"/>
    <x v="4"/>
    <n v="4"/>
    <n v="323.63"/>
    <s v="Store C"/>
    <x v="1"/>
    <n v="0.1"/>
    <s v="Carlos"/>
    <n v="1165.068"/>
    <x v="2"/>
    <x v="0"/>
    <n v="0"/>
    <s v="REG101106"/>
    <s v="Cust 5794"/>
    <n v="32.92"/>
    <x v="56"/>
    <d v="2023-06-01T00:00:00"/>
    <s v="Wendy"/>
  </r>
  <r>
    <d v="2023-04-27T00:00:00"/>
    <n v="540.05599999999993"/>
    <n v="108.01119999999999"/>
    <x v="4"/>
    <x v="4"/>
    <n v="16"/>
    <n v="37.4"/>
    <s v="Store A"/>
    <x v="0"/>
    <n v="0.05"/>
    <s v="Bob"/>
    <n v="568.4799999999999"/>
    <x v="2"/>
    <x v="0"/>
    <n v="0"/>
    <s v="REG101107"/>
    <s v="Cust 2917"/>
    <n v="49.55"/>
    <x v="178"/>
    <d v="2023-05-01T00:00:00"/>
    <s v="Wendy"/>
  </r>
  <r>
    <d v="2023-05-21T00:00:00"/>
    <n v="339.37380000000013"/>
    <n v="67.874760000000023"/>
    <x v="0"/>
    <x v="5"/>
    <n v="1"/>
    <n v="418.98"/>
    <s v="Store B"/>
    <x v="1"/>
    <n v="0.1"/>
    <s v="Carlos"/>
    <n v="377.08200000000011"/>
    <x v="1"/>
    <x v="0"/>
    <n v="0"/>
    <s v="REG101108"/>
    <s v="Cust 5659"/>
    <n v="43.72"/>
    <x v="642"/>
    <d v="2023-05-26T00:00:00"/>
    <s v="Eric"/>
  </r>
  <r>
    <d v="2025-02-16T00:00:00"/>
    <n v="1300.2"/>
    <n v="260.04000000000002"/>
    <x v="0"/>
    <x v="4"/>
    <n v="12"/>
    <n v="108.35"/>
    <s v="Store A"/>
    <x v="0"/>
    <n v="0"/>
    <s v="Diana"/>
    <n v="1300.2"/>
    <x v="0"/>
    <x v="0"/>
    <n v="0"/>
    <s v="REG101109"/>
    <s v="Cust 1857"/>
    <n v="42.06"/>
    <x v="586"/>
    <d v="2025-02-25T00:00:00"/>
    <s v="Eric"/>
  </r>
  <r>
    <d v="2023-08-24T00:00:00"/>
    <n v="1282.0999999999999"/>
    <n v="256.42"/>
    <x v="0"/>
    <x v="5"/>
    <n v="5"/>
    <n v="256.42"/>
    <s v="Store B"/>
    <x v="1"/>
    <n v="0"/>
    <s v="Alice"/>
    <n v="1282.0999999999999"/>
    <x v="1"/>
    <x v="0"/>
    <n v="0"/>
    <s v="REG101110"/>
    <s v="Cust 6718"/>
    <n v="28.74"/>
    <x v="648"/>
    <d v="2023-08-29T00:00:00"/>
    <s v="Eric"/>
  </r>
  <r>
    <d v="2024-03-14T00:00:00"/>
    <n v="7062.0335999999998"/>
    <n v="1412.40672"/>
    <x v="0"/>
    <x v="2"/>
    <n v="16"/>
    <n v="544.91"/>
    <s v="Store B"/>
    <x v="1"/>
    <n v="0.1"/>
    <s v="Frank"/>
    <n v="7846.7039999999997"/>
    <x v="2"/>
    <x v="0"/>
    <n v="0"/>
    <s v="REG101111"/>
    <s v="Cust 8378"/>
    <n v="39.26"/>
    <x v="47"/>
    <d v="2024-03-21T00:00:00"/>
    <s v="Eric"/>
  </r>
  <r>
    <d v="2024-01-29T00:00:00"/>
    <n v="2154.98"/>
    <n v="430.99600000000004"/>
    <x v="2"/>
    <x v="2"/>
    <n v="19"/>
    <n v="113.42"/>
    <s v="Store A"/>
    <x v="1"/>
    <n v="0"/>
    <s v="Eva"/>
    <n v="2154.98"/>
    <x v="3"/>
    <x v="2"/>
    <n v="0"/>
    <s v="REG101112"/>
    <s v="Cust 3069"/>
    <n v="44.96"/>
    <x v="282"/>
    <d v="2024-02-07T00:00:00"/>
    <s v="Ryan"/>
  </r>
  <r>
    <d v="2024-08-09T00:00:00"/>
    <n v="4234.1130000000003"/>
    <n v="846.82260000000008"/>
    <x v="1"/>
    <x v="1"/>
    <n v="10"/>
    <n v="522.73"/>
    <s v="Store C"/>
    <x v="1"/>
    <n v="0.1"/>
    <s v="Bob"/>
    <n v="4704.5700000000006"/>
    <x v="2"/>
    <x v="3"/>
    <n v="0"/>
    <s v="REG101113"/>
    <s v="Cust 7619"/>
    <n v="20.059999999999999"/>
    <x v="649"/>
    <d v="2024-08-15T00:00:00"/>
    <s v="Sophie"/>
  </r>
  <r>
    <d v="2024-07-08T00:00:00"/>
    <n v="5826.630149999999"/>
    <n v="1165.3260299999999"/>
    <x v="2"/>
    <x v="5"/>
    <n v="18"/>
    <n v="448.03"/>
    <s v="Store B"/>
    <x v="1"/>
    <n v="0.15"/>
    <s v="Frank"/>
    <n v="6854.8589999999986"/>
    <x v="4"/>
    <x v="2"/>
    <n v="1"/>
    <s v="REG101114"/>
    <s v="Cust 6167"/>
    <n v="13.23"/>
    <x v="172"/>
    <d v="2024-07-17T00:00:00"/>
    <s v="Ryan"/>
  </r>
  <r>
    <d v="2024-08-20T00:00:00"/>
    <n v="2822.7041249999988"/>
    <n v="564.54082499999981"/>
    <x v="2"/>
    <x v="4"/>
    <n v="15"/>
    <n v="208.51"/>
    <s v="Store A"/>
    <x v="1"/>
    <n v="0.05"/>
    <s v="Carlos"/>
    <n v="2971.267499999999"/>
    <x v="1"/>
    <x v="3"/>
    <n v="0"/>
    <s v="REG101115"/>
    <s v="Cust 2453"/>
    <n v="37.81"/>
    <x v="650"/>
    <d v="2024-08-29T00:00:00"/>
    <s v="Ryan"/>
  </r>
  <r>
    <d v="2023-06-26T00:00:00"/>
    <n v="4460.9291999999996"/>
    <n v="892.18583999999998"/>
    <x v="3"/>
    <x v="0"/>
    <n v="13"/>
    <n v="423.64"/>
    <s v="Store C"/>
    <x v="1"/>
    <n v="0.1"/>
    <s v="Alice"/>
    <n v="4956.5879999999997"/>
    <x v="3"/>
    <x v="3"/>
    <n v="1"/>
    <s v="REG101116"/>
    <s v="Cust 8896"/>
    <n v="23.31"/>
    <x v="651"/>
    <d v="2023-06-28T00:00:00"/>
    <s v="Cameron"/>
  </r>
  <r>
    <d v="2023-12-23T00:00:00"/>
    <n v="1995.03925"/>
    <n v="399.00785000000002"/>
    <x v="0"/>
    <x v="3"/>
    <n v="5"/>
    <n v="552.26"/>
    <s v="Store D"/>
    <x v="0"/>
    <n v="0.15"/>
    <s v="Alice"/>
    <n v="2347.105"/>
    <x v="3"/>
    <x v="2"/>
    <n v="0"/>
    <s v="REG101117"/>
    <s v="Cust 8800"/>
    <n v="26.5"/>
    <x v="467"/>
    <d v="2023-12-25T00:00:00"/>
    <s v="Eric"/>
  </r>
  <r>
    <d v="2023-08-20T00:00:00"/>
    <n v="147.50910000000002"/>
    <n v="29.501820000000006"/>
    <x v="3"/>
    <x v="2"/>
    <n v="1"/>
    <n v="182.11"/>
    <s v="Store A"/>
    <x v="1"/>
    <n v="0.1"/>
    <s v="Carlos"/>
    <n v="163.899"/>
    <x v="2"/>
    <x v="2"/>
    <n v="0"/>
    <s v="REG101118"/>
    <s v="Cust 1819"/>
    <n v="7.31"/>
    <x v="652"/>
    <d v="2023-08-27T00:00:00"/>
    <s v="Cameron"/>
  </r>
  <r>
    <d v="2024-10-28T00:00:00"/>
    <n v="2946.2292999999995"/>
    <n v="589.24585999999988"/>
    <x v="4"/>
    <x v="2"/>
    <n v="7"/>
    <n v="466.36"/>
    <s v="Store D"/>
    <x v="0"/>
    <n v="0.05"/>
    <s v="Bob"/>
    <n v="3101.2939999999999"/>
    <x v="0"/>
    <x v="1"/>
    <n v="1"/>
    <s v="REG101119"/>
    <s v="Cust 1300"/>
    <n v="11.45"/>
    <x v="653"/>
    <d v="2024-11-06T00:00:00"/>
    <s v="Wendy"/>
  </r>
  <r>
    <d v="2024-11-11T00:00:00"/>
    <n v="1707.5609999999999"/>
    <n v="341.51220000000001"/>
    <x v="0"/>
    <x v="6"/>
    <n v="15"/>
    <n v="140.54"/>
    <s v="Store A"/>
    <x v="0"/>
    <n v="0.1"/>
    <s v="Eva"/>
    <n v="1897.29"/>
    <x v="2"/>
    <x v="1"/>
    <n v="0"/>
    <s v="REG101120"/>
    <s v="Cust 3807"/>
    <n v="49.91"/>
    <x v="207"/>
    <d v="2024-11-21T00:00:00"/>
    <s v="Eric"/>
  </r>
  <r>
    <d v="2023-12-07T00:00:00"/>
    <n v="5653.7575750000005"/>
    <n v="1130.7515150000002"/>
    <x v="4"/>
    <x v="2"/>
    <n v="17"/>
    <n v="460.31"/>
    <s v="Store A"/>
    <x v="1"/>
    <n v="0.15"/>
    <s v="Diana"/>
    <n v="6651.4795000000004"/>
    <x v="0"/>
    <x v="2"/>
    <n v="0"/>
    <s v="REG101121"/>
    <s v="Cust 6633"/>
    <n v="40.18"/>
    <x v="654"/>
    <d v="2023-12-15T00:00:00"/>
    <s v="Wendy"/>
  </r>
  <r>
    <d v="2024-03-23T00:00:00"/>
    <n v="664.35"/>
    <n v="132.87"/>
    <x v="4"/>
    <x v="0"/>
    <n v="5"/>
    <n v="132.87"/>
    <s v="Store B"/>
    <x v="1"/>
    <n v="0"/>
    <s v="Bob"/>
    <n v="664.35"/>
    <x v="3"/>
    <x v="2"/>
    <n v="0"/>
    <s v="REG101122"/>
    <s v="Cust 6573"/>
    <n v="37.909999999999997"/>
    <x v="105"/>
    <d v="2024-04-02T00:00:00"/>
    <s v="Wendy"/>
  </r>
  <r>
    <d v="2024-10-29T00:00:00"/>
    <n v="2272.7837999999997"/>
    <n v="454.55675999999994"/>
    <x v="4"/>
    <x v="5"/>
    <n v="12"/>
    <n v="209.86"/>
    <s v="Store D"/>
    <x v="1"/>
    <n v="0.05"/>
    <s v="Bob"/>
    <n v="2392.404"/>
    <x v="0"/>
    <x v="2"/>
    <n v="0"/>
    <s v="REG101123"/>
    <s v="Cust 8600"/>
    <n v="8.7799999999999994"/>
    <x v="525"/>
    <d v="2024-11-02T00:00:00"/>
    <s v="Wendy"/>
  </r>
  <r>
    <d v="2025-06-17T00:00:00"/>
    <n v="228.54150000000001"/>
    <n v="45.708300000000008"/>
    <x v="0"/>
    <x v="0"/>
    <n v="9"/>
    <n v="31.35"/>
    <s v="Store B"/>
    <x v="1"/>
    <n v="0.1"/>
    <s v="Diana"/>
    <n v="253.935"/>
    <x v="4"/>
    <x v="1"/>
    <n v="0"/>
    <s v="REG101124"/>
    <s v="Cust 8654"/>
    <n v="39.32"/>
    <x v="655"/>
    <d v="2025-06-22T00:00:00"/>
    <s v="Eric"/>
  </r>
  <r>
    <d v="2023-03-18T00:00:00"/>
    <n v="3686.21"/>
    <n v="737.24200000000008"/>
    <x v="2"/>
    <x v="3"/>
    <n v="11"/>
    <n v="335.11"/>
    <s v="Store C"/>
    <x v="1"/>
    <n v="0"/>
    <s v="Frank"/>
    <n v="3686.21"/>
    <x v="1"/>
    <x v="0"/>
    <n v="0"/>
    <s v="REG101125"/>
    <s v="Cust 3708"/>
    <n v="29.95"/>
    <x v="132"/>
    <d v="2023-03-26T00:00:00"/>
    <s v="Ryan"/>
  </r>
  <r>
    <d v="2023-01-19T00:00:00"/>
    <n v="2219.44"/>
    <n v="443.88800000000003"/>
    <x v="0"/>
    <x v="1"/>
    <n v="8"/>
    <n v="277.43"/>
    <s v="Store D"/>
    <x v="0"/>
    <n v="0"/>
    <s v="Carlos"/>
    <n v="2219.44"/>
    <x v="0"/>
    <x v="1"/>
    <n v="0"/>
    <s v="REG101126"/>
    <s v="Cust 1268"/>
    <n v="36.380000000000003"/>
    <x v="656"/>
    <d v="2023-01-23T00:00:00"/>
    <s v="Eric"/>
  </r>
  <r>
    <d v="2023-07-09T00:00:00"/>
    <n v="1558.0037999999997"/>
    <n v="311.60075999999998"/>
    <x v="4"/>
    <x v="2"/>
    <n v="6"/>
    <n v="287.72000000000003"/>
    <s v="Store A"/>
    <x v="1"/>
    <n v="0.05"/>
    <s v="Bob"/>
    <n v="1640.0039999999999"/>
    <x v="3"/>
    <x v="2"/>
    <n v="0"/>
    <s v="REG101127"/>
    <s v="Cust 5600"/>
    <n v="17.14"/>
    <x v="657"/>
    <d v="2023-07-14T00:00:00"/>
    <s v="Wendy"/>
  </r>
  <r>
    <d v="2025-03-16T00:00:00"/>
    <n v="5807.1723499999998"/>
    <n v="1161.4344699999999"/>
    <x v="0"/>
    <x v="0"/>
    <n v="14"/>
    <n v="459.61"/>
    <s v="Store B"/>
    <x v="1"/>
    <n v="0.05"/>
    <s v="Frank"/>
    <n v="6112.8130000000001"/>
    <x v="0"/>
    <x v="3"/>
    <n v="1"/>
    <s v="REG101128"/>
    <s v="Cust 2438"/>
    <n v="43.41"/>
    <x v="527"/>
    <d v="2025-03-26T00:00:00"/>
    <s v="Eric"/>
  </r>
  <r>
    <d v="2025-02-08T00:00:00"/>
    <n v="3213.5130000000004"/>
    <n v="642.70260000000007"/>
    <x v="2"/>
    <x v="5"/>
    <n v="10"/>
    <n v="396.73"/>
    <s v="Store B"/>
    <x v="1"/>
    <n v="0.1"/>
    <s v="Eva"/>
    <n v="3570.57"/>
    <x v="0"/>
    <x v="0"/>
    <n v="0"/>
    <s v="REG101129"/>
    <s v="Cust 4293"/>
    <n v="18.13"/>
    <x v="658"/>
    <d v="2025-02-13T00:00:00"/>
    <s v="Ryan"/>
  </r>
  <r>
    <d v="2024-04-20T00:00:00"/>
    <n v="10328.6"/>
    <n v="2065.7200000000003"/>
    <x v="1"/>
    <x v="6"/>
    <n v="20"/>
    <n v="516.42999999999995"/>
    <s v="Store B"/>
    <x v="1"/>
    <n v="0"/>
    <s v="Bob"/>
    <n v="10328.6"/>
    <x v="0"/>
    <x v="0"/>
    <n v="0"/>
    <s v="REG101130"/>
    <s v="Cust 6895"/>
    <n v="36.229999999999997"/>
    <x v="528"/>
    <d v="2024-04-22T00:00:00"/>
    <s v="Sophie"/>
  </r>
  <r>
    <d v="2025-06-05T00:00:00"/>
    <n v="242.72460000000001"/>
    <n v="48.544920000000005"/>
    <x v="0"/>
    <x v="0"/>
    <n v="1"/>
    <n v="299.66000000000003"/>
    <s v="Store A"/>
    <x v="1"/>
    <n v="0.1"/>
    <s v="Diana"/>
    <n v="269.69400000000002"/>
    <x v="4"/>
    <x v="1"/>
    <n v="0"/>
    <s v="REG101131"/>
    <s v="Cust 2616"/>
    <n v="38.94"/>
    <x v="20"/>
    <d v="2025-06-07T00:00:00"/>
    <s v="Eric"/>
  </r>
  <r>
    <d v="2025-04-25T00:00:00"/>
    <n v="380.64"/>
    <n v="76.128"/>
    <x v="1"/>
    <x v="3"/>
    <n v="12"/>
    <n v="31.72"/>
    <s v="Store B"/>
    <x v="1"/>
    <n v="0"/>
    <s v="Alice"/>
    <n v="380.64"/>
    <x v="3"/>
    <x v="1"/>
    <n v="0"/>
    <s v="REG101132"/>
    <s v="Cust 5362"/>
    <n v="30.78"/>
    <x v="659"/>
    <d v="2025-05-03T00:00:00"/>
    <s v="Sophie"/>
  </r>
  <r>
    <d v="2023-09-06T00:00:00"/>
    <n v="9030.2886500000004"/>
    <n v="1806.0577300000002"/>
    <x v="3"/>
    <x v="1"/>
    <n v="17"/>
    <n v="588.58000000000004"/>
    <s v="Store D"/>
    <x v="0"/>
    <n v="0.05"/>
    <s v="Diana"/>
    <n v="9505.5670000000009"/>
    <x v="3"/>
    <x v="1"/>
    <n v="1"/>
    <s v="REG101133"/>
    <s v="Cust 1670"/>
    <n v="25.31"/>
    <x v="476"/>
    <d v="2023-09-13T00:00:00"/>
    <s v="Cameron"/>
  </r>
  <r>
    <d v="2023-09-29T00:00:00"/>
    <n v="1810.0664999999999"/>
    <n v="362.01330000000002"/>
    <x v="0"/>
    <x v="0"/>
    <n v="11"/>
    <n v="203.15"/>
    <s v="Store C"/>
    <x v="1"/>
    <n v="0.1"/>
    <s v="Eva"/>
    <n v="2011.1849999999999"/>
    <x v="0"/>
    <x v="0"/>
    <n v="0"/>
    <s v="REG101134"/>
    <s v="Cust 2254"/>
    <n v="30.97"/>
    <x v="100"/>
    <d v="2023-10-02T00:00:00"/>
    <s v="Eric"/>
  </r>
  <r>
    <d v="2024-05-21T00:00:00"/>
    <n v="2504.52"/>
    <n v="500.904"/>
    <x v="3"/>
    <x v="4"/>
    <n v="18"/>
    <n v="139.13999999999999"/>
    <s v="Store A"/>
    <x v="0"/>
    <n v="0"/>
    <s v="Carlos"/>
    <n v="2504.52"/>
    <x v="0"/>
    <x v="0"/>
    <n v="1"/>
    <s v="REG101135"/>
    <s v="Cust 9521"/>
    <n v="10.56"/>
    <x v="660"/>
    <d v="2024-05-23T00:00:00"/>
    <s v="Cameron"/>
  </r>
  <r>
    <d v="2025-04-13T00:00:00"/>
    <n v="317.98"/>
    <n v="63.596000000000004"/>
    <x v="4"/>
    <x v="4"/>
    <n v="2"/>
    <n v="158.99"/>
    <s v="Store A"/>
    <x v="0"/>
    <n v="0"/>
    <s v="Bob"/>
    <n v="317.98"/>
    <x v="0"/>
    <x v="3"/>
    <n v="0"/>
    <s v="REG101136"/>
    <s v="Cust 3921"/>
    <n v="48.32"/>
    <x v="91"/>
    <d v="2025-04-19T00:00:00"/>
    <s v="Wendy"/>
  </r>
  <r>
    <d v="2024-11-16T00:00:00"/>
    <n v="1162.8900000000001"/>
    <n v="232.57800000000003"/>
    <x v="0"/>
    <x v="3"/>
    <n v="3"/>
    <n v="387.63"/>
    <s v="Store A"/>
    <x v="0"/>
    <n v="0"/>
    <s v="Diana"/>
    <n v="1162.8900000000001"/>
    <x v="2"/>
    <x v="2"/>
    <n v="0"/>
    <s v="REG101137"/>
    <s v="Cust 7628"/>
    <n v="30.08"/>
    <x v="85"/>
    <d v="2024-11-20T00:00:00"/>
    <s v="Eric"/>
  </r>
  <r>
    <d v="2024-07-20T00:00:00"/>
    <n v="818.58600000000013"/>
    <n v="163.71720000000005"/>
    <x v="2"/>
    <x v="2"/>
    <n v="5"/>
    <n v="202.12"/>
    <s v="Store A"/>
    <x v="1"/>
    <n v="0.1"/>
    <s v="Diana"/>
    <n v="909.54000000000008"/>
    <x v="0"/>
    <x v="0"/>
    <n v="1"/>
    <s v="REG101138"/>
    <s v="Cust 2453"/>
    <n v="45.61"/>
    <x v="555"/>
    <d v="2024-07-28T00:00:00"/>
    <s v="Ryan"/>
  </r>
  <r>
    <d v="2023-05-20T00:00:00"/>
    <n v="966.90729999999996"/>
    <n v="193.38146"/>
    <x v="2"/>
    <x v="2"/>
    <n v="4"/>
    <n v="334.57"/>
    <s v="Store C"/>
    <x v="1"/>
    <n v="0.15"/>
    <s v="Carlos"/>
    <n v="1137.538"/>
    <x v="1"/>
    <x v="3"/>
    <n v="0"/>
    <s v="REG101139"/>
    <s v="Cust 4210"/>
    <n v="11.49"/>
    <x v="42"/>
    <d v="2023-05-27T00:00:00"/>
    <s v="Ryan"/>
  </r>
  <r>
    <d v="2023-10-22T00:00:00"/>
    <n v="5626.3675999999996"/>
    <n v="1125.27352"/>
    <x v="4"/>
    <x v="1"/>
    <n v="16"/>
    <n v="486.71"/>
    <s v="Store B"/>
    <x v="0"/>
    <n v="0.15"/>
    <s v="Carlos"/>
    <n v="6619.2559999999994"/>
    <x v="0"/>
    <x v="0"/>
    <n v="1"/>
    <s v="REG101140"/>
    <s v="Cust 1951"/>
    <n v="12.53"/>
    <x v="661"/>
    <d v="2023-10-26T00:00:00"/>
    <s v="Wendy"/>
  </r>
  <r>
    <d v="2025-05-18T00:00:00"/>
    <n v="272.07905"/>
    <n v="54.41581"/>
    <x v="2"/>
    <x v="4"/>
    <n v="2"/>
    <n v="188.29"/>
    <s v="Store D"/>
    <x v="0"/>
    <n v="0.15"/>
    <s v="Bob"/>
    <n v="320.09300000000002"/>
    <x v="2"/>
    <x v="1"/>
    <n v="0"/>
    <s v="REG101141"/>
    <s v="Cust 9405"/>
    <n v="32.22"/>
    <x v="662"/>
    <d v="2025-05-21T00:00:00"/>
    <s v="Ryan"/>
  </r>
  <r>
    <d v="2024-03-03T00:00:00"/>
    <n v="565.11059999999998"/>
    <n v="113.02212"/>
    <x v="1"/>
    <x v="0"/>
    <n v="3"/>
    <n v="260.72000000000003"/>
    <s v="Store B"/>
    <x v="0"/>
    <n v="0.15"/>
    <s v="Frank"/>
    <n v="664.83600000000001"/>
    <x v="0"/>
    <x v="2"/>
    <n v="0"/>
    <s v="REG101142"/>
    <s v="Cust 8769"/>
    <n v="19.41"/>
    <x v="69"/>
    <d v="2024-03-06T00:00:00"/>
    <s v="Sophie"/>
  </r>
  <r>
    <d v="2023-07-23T00:00:00"/>
    <n v="1741.1922"/>
    <n v="348.23844000000003"/>
    <x v="0"/>
    <x v="2"/>
    <n v="6"/>
    <n v="358.27"/>
    <s v="Store B"/>
    <x v="1"/>
    <n v="0.1"/>
    <s v="Frank"/>
    <n v="1934.6579999999999"/>
    <x v="1"/>
    <x v="3"/>
    <n v="0"/>
    <s v="REG101143"/>
    <s v="Cust 9982"/>
    <n v="7.34"/>
    <x v="41"/>
    <d v="2023-08-02T00:00:00"/>
    <s v="Eric"/>
  </r>
  <r>
    <d v="2025-02-09T00:00:00"/>
    <n v="5187.7098000000005"/>
    <n v="1037.5419600000002"/>
    <x v="2"/>
    <x v="2"/>
    <n v="13"/>
    <n v="492.66"/>
    <s v="Store B"/>
    <x v="1"/>
    <n v="0.1"/>
    <s v="Frank"/>
    <n v="5764.1220000000003"/>
    <x v="1"/>
    <x v="0"/>
    <n v="0"/>
    <s v="REG101144"/>
    <s v="Cust 4068"/>
    <n v="46.21"/>
    <x v="663"/>
    <d v="2025-02-14T00:00:00"/>
    <s v="Ryan"/>
  </r>
  <r>
    <d v="2023-01-17T00:00:00"/>
    <n v="1045.1400000000001"/>
    <n v="209.02800000000002"/>
    <x v="1"/>
    <x v="3"/>
    <n v="3"/>
    <n v="348.38"/>
    <s v="Store B"/>
    <x v="0"/>
    <n v="0"/>
    <s v="Carlos"/>
    <n v="1045.1400000000001"/>
    <x v="1"/>
    <x v="0"/>
    <n v="0"/>
    <s v="REG101145"/>
    <s v="Cust 3523"/>
    <n v="26.25"/>
    <x v="585"/>
    <d v="2023-01-23T00:00:00"/>
    <s v="Sophie"/>
  </r>
  <r>
    <d v="2023-09-17T00:00:00"/>
    <n v="2369.5498499999999"/>
    <n v="473.90996999999999"/>
    <x v="2"/>
    <x v="1"/>
    <n v="6"/>
    <n v="437.59"/>
    <s v="Store D"/>
    <x v="0"/>
    <n v="0.05"/>
    <s v="Diana"/>
    <n v="2494.2629999999999"/>
    <x v="1"/>
    <x v="2"/>
    <n v="1"/>
    <s v="REG101146"/>
    <s v="Cust 3377"/>
    <n v="39.4"/>
    <x v="121"/>
    <d v="2023-09-26T00:00:00"/>
    <s v="Ryan"/>
  </r>
  <r>
    <d v="2025-02-15T00:00:00"/>
    <n v="1817.4050999999999"/>
    <n v="363.48102"/>
    <x v="2"/>
    <x v="6"/>
    <n v="19"/>
    <n v="118.09"/>
    <s v="Store D"/>
    <x v="0"/>
    <n v="0.1"/>
    <s v="Alice"/>
    <n v="2019.3389999999999"/>
    <x v="0"/>
    <x v="1"/>
    <n v="0"/>
    <s v="REG101147"/>
    <s v="Cust 3125"/>
    <n v="10.77"/>
    <x v="664"/>
    <d v="2025-02-23T00:00:00"/>
    <s v="Ryan"/>
  </r>
  <r>
    <d v="2023-10-07T00:00:00"/>
    <n v="2552.7663749999988"/>
    <n v="510.55327499999976"/>
    <x v="4"/>
    <x v="5"/>
    <n v="15"/>
    <n v="188.57"/>
    <s v="Store C"/>
    <x v="0"/>
    <n v="0.05"/>
    <s v="Bob"/>
    <n v="2687.122499999999"/>
    <x v="2"/>
    <x v="0"/>
    <n v="1"/>
    <s v="REG101148"/>
    <s v="Cust 4623"/>
    <n v="38.61"/>
    <x v="444"/>
    <d v="2023-10-09T00:00:00"/>
    <s v="Wendy"/>
  </r>
  <r>
    <d v="2023-08-08T00:00:00"/>
    <n v="1605.92"/>
    <n v="321.18400000000003"/>
    <x v="4"/>
    <x v="1"/>
    <n v="8"/>
    <n v="200.74"/>
    <s v="Store A"/>
    <x v="0"/>
    <n v="0"/>
    <s v="Diana"/>
    <n v="1605.92"/>
    <x v="1"/>
    <x v="1"/>
    <n v="1"/>
    <s v="REG101149"/>
    <s v="Cust 4571"/>
    <n v="30.7"/>
    <x v="665"/>
    <d v="2023-08-10T00:00:00"/>
    <s v="Wendy"/>
  </r>
  <r>
    <d v="2023-08-21T00:00:00"/>
    <n v="307.980075"/>
    <n v="61.596015000000001"/>
    <x v="0"/>
    <x v="0"/>
    <n v="3"/>
    <n v="142.09"/>
    <s v="Store C"/>
    <x v="0"/>
    <n v="0.15"/>
    <s v="Frank"/>
    <n v="362.3295"/>
    <x v="1"/>
    <x v="2"/>
    <n v="0"/>
    <s v="REG101150"/>
    <s v="Cust 6453"/>
    <n v="26.04"/>
    <x v="666"/>
    <d v="2023-08-27T00:00:00"/>
    <s v="Eric"/>
  </r>
  <r>
    <d v="2024-07-07T00:00:00"/>
    <n v="6999.8580000000002"/>
    <n v="1399.9716000000001"/>
    <x v="2"/>
    <x v="5"/>
    <n v="15"/>
    <n v="576.12"/>
    <s v="Store D"/>
    <x v="1"/>
    <n v="0.1"/>
    <s v="Alice"/>
    <n v="7777.62"/>
    <x v="0"/>
    <x v="2"/>
    <n v="0"/>
    <s v="REG101151"/>
    <s v="Cust 6982"/>
    <n v="29.31"/>
    <x v="99"/>
    <d v="2024-07-11T00:00:00"/>
    <s v="Ryan"/>
  </r>
  <r>
    <d v="2025-01-17T00:00:00"/>
    <n v="630.54742499999998"/>
    <n v="126.10948500000001"/>
    <x v="1"/>
    <x v="2"/>
    <n v="9"/>
    <n v="96.97"/>
    <s v="Store D"/>
    <x v="1"/>
    <n v="0.15"/>
    <s v="Bob"/>
    <n v="741.82050000000004"/>
    <x v="2"/>
    <x v="2"/>
    <n v="1"/>
    <s v="REG101152"/>
    <s v="Cust 6824"/>
    <n v="30.87"/>
    <x v="50"/>
    <d v="2025-01-24T00:00:00"/>
    <s v="Sophie"/>
  </r>
  <r>
    <d v="2023-12-06T00:00:00"/>
    <n v="2678.0762999999997"/>
    <n v="535.61525999999992"/>
    <x v="2"/>
    <x v="5"/>
    <n v="17"/>
    <n v="218.04"/>
    <s v="Store D"/>
    <x v="0"/>
    <n v="0.15"/>
    <s v="Bob"/>
    <n v="3150.6779999999999"/>
    <x v="4"/>
    <x v="3"/>
    <n v="0"/>
    <s v="REG101153"/>
    <s v="Cust 3172"/>
    <n v="16"/>
    <x v="667"/>
    <d v="2023-12-16T00:00:00"/>
    <s v="Ryan"/>
  </r>
  <r>
    <d v="2023-03-01T00:00:00"/>
    <n v="276.76065"/>
    <n v="55.352130000000002"/>
    <x v="1"/>
    <x v="2"/>
    <n v="2"/>
    <n v="153.33000000000001"/>
    <s v="Store C"/>
    <x v="0"/>
    <n v="0.05"/>
    <s v="Carlos"/>
    <n v="291.327"/>
    <x v="4"/>
    <x v="3"/>
    <n v="0"/>
    <s v="REG101154"/>
    <s v="Cust 8146"/>
    <n v="31.55"/>
    <x v="565"/>
    <d v="2023-03-04T00:00:00"/>
    <s v="Sophie"/>
  </r>
  <r>
    <d v="2025-02-11T00:00:00"/>
    <n v="2048.4575999999997"/>
    <n v="409.69151999999997"/>
    <x v="2"/>
    <x v="6"/>
    <n v="8"/>
    <n v="316.12"/>
    <s v="Store B"/>
    <x v="0"/>
    <n v="0.1"/>
    <s v="Diana"/>
    <n v="2276.0639999999999"/>
    <x v="1"/>
    <x v="2"/>
    <n v="0"/>
    <s v="REG101155"/>
    <s v="Cust 3299"/>
    <n v="6.28"/>
    <x v="668"/>
    <d v="2025-02-15T00:00:00"/>
    <s v="Ryan"/>
  </r>
  <r>
    <d v="2023-06-20T00:00:00"/>
    <n v="1801.760025"/>
    <n v="360.35200500000002"/>
    <x v="3"/>
    <x v="6"/>
    <n v="13"/>
    <n v="153.57"/>
    <s v="Store B"/>
    <x v="0"/>
    <n v="0.05"/>
    <s v="Carlos"/>
    <n v="1896.5895"/>
    <x v="1"/>
    <x v="3"/>
    <n v="0"/>
    <s v="REG101156"/>
    <s v="Cust 6476"/>
    <n v="27.98"/>
    <x v="300"/>
    <d v="2023-06-25T00:00:00"/>
    <s v="Cameron"/>
  </r>
  <r>
    <d v="2024-02-29T00:00:00"/>
    <n v="1315.998425"/>
    <n v="263.19968499999999"/>
    <x v="4"/>
    <x v="6"/>
    <n v="7"/>
    <n v="208.31"/>
    <s v="Store C"/>
    <x v="0"/>
    <n v="0.05"/>
    <s v="Frank"/>
    <n v="1385.2615000000001"/>
    <x v="0"/>
    <x v="1"/>
    <n v="0"/>
    <s v="REG101157"/>
    <s v="Cust 9835"/>
    <n v="26.57"/>
    <x v="459"/>
    <d v="2024-03-03T00:00:00"/>
    <s v="Wendy"/>
  </r>
  <r>
    <d v="2025-06-30T00:00:00"/>
    <n v="260.7552"/>
    <n v="52.151040000000002"/>
    <x v="2"/>
    <x v="3"/>
    <n v="2"/>
    <n v="160.96"/>
    <s v="Store C"/>
    <x v="0"/>
    <n v="0.1"/>
    <s v="Eva"/>
    <n v="289.72800000000001"/>
    <x v="1"/>
    <x v="2"/>
    <n v="0"/>
    <s v="REG101158"/>
    <s v="Cust 1003"/>
    <n v="44.97"/>
    <x v="148"/>
    <d v="2025-07-05T00:00:00"/>
    <s v="Ryan"/>
  </r>
  <r>
    <d v="2024-08-19T00:00:00"/>
    <n v="908.26109999999994"/>
    <n v="181.65222"/>
    <x v="2"/>
    <x v="4"/>
    <n v="3"/>
    <n v="373.77"/>
    <s v="Store B"/>
    <x v="1"/>
    <n v="0.1"/>
    <s v="Eva"/>
    <n v="1009.179"/>
    <x v="4"/>
    <x v="2"/>
    <n v="1"/>
    <s v="REG101159"/>
    <s v="Cust 9705"/>
    <n v="17.62"/>
    <x v="363"/>
    <d v="2024-08-25T00:00:00"/>
    <s v="Ryan"/>
  </r>
  <r>
    <d v="2024-01-15T00:00:00"/>
    <n v="3251.34"/>
    <n v="650.26800000000003"/>
    <x v="3"/>
    <x v="6"/>
    <n v="20"/>
    <n v="200.7"/>
    <s v="Store D"/>
    <x v="1"/>
    <n v="0.1"/>
    <s v="Alice"/>
    <n v="3612.6"/>
    <x v="0"/>
    <x v="0"/>
    <n v="0"/>
    <s v="REG101160"/>
    <s v="Cust 3421"/>
    <n v="29.6"/>
    <x v="481"/>
    <d v="2024-01-19T00:00:00"/>
    <s v="Cameron"/>
  </r>
  <r>
    <d v="2024-08-08T00:00:00"/>
    <n v="1171.0135499999999"/>
    <n v="234.20271"/>
    <x v="3"/>
    <x v="2"/>
    <n v="14"/>
    <n v="115.77"/>
    <s v="Store B"/>
    <x v="0"/>
    <n v="0.15"/>
    <s v="Frank"/>
    <n v="1377.663"/>
    <x v="2"/>
    <x v="1"/>
    <n v="1"/>
    <s v="REG101161"/>
    <s v="Cust 1690"/>
    <n v="20.12"/>
    <x v="669"/>
    <d v="2024-08-11T00:00:00"/>
    <s v="Cameron"/>
  </r>
  <r>
    <d v="2024-10-05T00:00:00"/>
    <n v="5204.1851999999999"/>
    <n v="1040.8370400000001"/>
    <x v="4"/>
    <x v="1"/>
    <n v="12"/>
    <n v="535.41"/>
    <s v="Store C"/>
    <x v="1"/>
    <n v="0.1"/>
    <s v="Frank"/>
    <n v="5782.4279999999999"/>
    <x v="1"/>
    <x v="3"/>
    <n v="0"/>
    <s v="REG101162"/>
    <s v="Cust 2507"/>
    <n v="27.82"/>
    <x v="198"/>
    <d v="2024-10-07T00:00:00"/>
    <s v="Wendy"/>
  </r>
  <r>
    <d v="2024-01-13T00:00:00"/>
    <n v="1006.8947999999999"/>
    <n v="201.37896000000001"/>
    <x v="1"/>
    <x v="2"/>
    <n v="12"/>
    <n v="103.59"/>
    <s v="Store A"/>
    <x v="1"/>
    <n v="0.1"/>
    <s v="Frank"/>
    <n v="1118.7719999999999"/>
    <x v="3"/>
    <x v="0"/>
    <n v="0"/>
    <s v="REG101163"/>
    <s v="Cust 9880"/>
    <n v="48.11"/>
    <x v="576"/>
    <d v="2024-01-21T00:00:00"/>
    <s v="Sophie"/>
  </r>
  <r>
    <d v="2023-03-29T00:00:00"/>
    <n v="2864.3184000000001"/>
    <n v="572.86368000000004"/>
    <x v="4"/>
    <x v="0"/>
    <n v="18"/>
    <n v="176.32"/>
    <s v="Store B"/>
    <x v="0"/>
    <n v="0.05"/>
    <s v="Diana"/>
    <n v="3015.0720000000001"/>
    <x v="3"/>
    <x v="3"/>
    <n v="0"/>
    <s v="REG101164"/>
    <s v="Cust 3972"/>
    <n v="36.35"/>
    <x v="88"/>
    <d v="2023-04-04T00:00:00"/>
    <s v="Wendy"/>
  </r>
  <r>
    <d v="2023-10-19T00:00:00"/>
    <n v="455.38200000000006"/>
    <n v="91.076400000000021"/>
    <x v="2"/>
    <x v="6"/>
    <n v="5"/>
    <n v="112.44"/>
    <s v="Store D"/>
    <x v="1"/>
    <n v="0.1"/>
    <s v="Bob"/>
    <n v="505.98000000000008"/>
    <x v="2"/>
    <x v="3"/>
    <n v="1"/>
    <s v="REG101165"/>
    <s v="Cust 8280"/>
    <n v="7.46"/>
    <x v="544"/>
    <d v="2023-10-23T00:00:00"/>
    <s v="Ryan"/>
  </r>
  <r>
    <d v="2023-10-23T00:00:00"/>
    <n v="386"/>
    <n v="77.2"/>
    <x v="4"/>
    <x v="3"/>
    <n v="20"/>
    <n v="19.3"/>
    <s v="Store C"/>
    <x v="0"/>
    <n v="0"/>
    <s v="Bob"/>
    <n v="386"/>
    <x v="3"/>
    <x v="1"/>
    <n v="0"/>
    <s v="REG101166"/>
    <s v="Cust 4205"/>
    <n v="47.23"/>
    <x v="25"/>
    <d v="2023-11-01T00:00:00"/>
    <s v="Wendy"/>
  </r>
  <r>
    <d v="2023-03-24T00:00:00"/>
    <n v="1893.4359749999999"/>
    <n v="378.68719499999997"/>
    <x v="1"/>
    <x v="1"/>
    <n v="9"/>
    <n v="233.11"/>
    <s v="Store B"/>
    <x v="1"/>
    <n v="0.05"/>
    <s v="Eva"/>
    <n v="1993.0905"/>
    <x v="3"/>
    <x v="2"/>
    <n v="0"/>
    <s v="REG101167"/>
    <s v="Cust 2579"/>
    <n v="31.43"/>
    <x v="601"/>
    <d v="2023-03-28T00:00:00"/>
    <s v="Sophie"/>
  </r>
  <r>
    <d v="2024-08-09T00:00:00"/>
    <n v="816.54060000000004"/>
    <n v="163.30812000000003"/>
    <x v="4"/>
    <x v="6"/>
    <n v="17"/>
    <n v="66.48"/>
    <s v="Store C"/>
    <x v="0"/>
    <n v="0.15"/>
    <s v="Eva"/>
    <n v="960.63600000000008"/>
    <x v="1"/>
    <x v="2"/>
    <n v="1"/>
    <s v="REG101168"/>
    <s v="Cust 7265"/>
    <n v="10.79"/>
    <x v="649"/>
    <d v="2024-08-14T00:00:00"/>
    <s v="Wendy"/>
  </r>
  <r>
    <d v="2023-04-26T00:00:00"/>
    <n v="6948.7550999999994"/>
    <n v="1389.7510199999999"/>
    <x v="1"/>
    <x v="0"/>
    <n v="17"/>
    <n v="504.63"/>
    <s v="Store A"/>
    <x v="0"/>
    <n v="0.1"/>
    <s v="Carlos"/>
    <n v="7720.838999999999"/>
    <x v="0"/>
    <x v="2"/>
    <n v="1"/>
    <s v="REG101169"/>
    <s v="Cust 1199"/>
    <n v="48.33"/>
    <x v="394"/>
    <d v="2023-05-06T00:00:00"/>
    <s v="Sophie"/>
  </r>
  <r>
    <d v="2024-03-04T00:00:00"/>
    <n v="971.3066"/>
    <n v="194.26132000000001"/>
    <x v="4"/>
    <x v="5"/>
    <n v="11"/>
    <n v="97.84"/>
    <s v="Store B"/>
    <x v="1"/>
    <n v="0.05"/>
    <s v="Alice"/>
    <n v="1022.428"/>
    <x v="3"/>
    <x v="1"/>
    <n v="1"/>
    <s v="REG101170"/>
    <s v="Cust 2928"/>
    <n v="45.97"/>
    <x v="615"/>
    <d v="2024-03-12T00:00:00"/>
    <s v="Wendy"/>
  </r>
  <r>
    <d v="2023-02-14T00:00:00"/>
    <n v="2367.61805"/>
    <n v="473.52361000000002"/>
    <x v="0"/>
    <x v="5"/>
    <n v="7"/>
    <n v="468.14"/>
    <s v="Store A"/>
    <x v="1"/>
    <n v="0.15"/>
    <s v="Bob"/>
    <n v="2785.433"/>
    <x v="4"/>
    <x v="1"/>
    <n v="0"/>
    <s v="REG101171"/>
    <s v="Cust 9447"/>
    <n v="47.56"/>
    <x v="169"/>
    <d v="2023-02-17T00:00:00"/>
    <s v="Eric"/>
  </r>
  <r>
    <d v="2023-04-28T00:00:00"/>
    <n v="8604.2544999999991"/>
    <n v="1720.8508999999999"/>
    <x v="4"/>
    <x v="5"/>
    <n v="20"/>
    <n v="476.69"/>
    <s v="Store B"/>
    <x v="0"/>
    <n v="0.05"/>
    <s v="Bob"/>
    <n v="9057.1099999999988"/>
    <x v="0"/>
    <x v="2"/>
    <n v="0"/>
    <s v="REG101172"/>
    <s v="Cust 9095"/>
    <n v="10.199999999999999"/>
    <x v="266"/>
    <d v="2023-05-03T00:00:00"/>
    <s v="Wendy"/>
  </r>
  <r>
    <d v="2024-03-03T00:00:00"/>
    <n v="232.25484999999998"/>
    <n v="46.450969999999998"/>
    <x v="2"/>
    <x v="1"/>
    <n v="2"/>
    <n v="160.72999999999999"/>
    <s v="Store A"/>
    <x v="0"/>
    <n v="0.15"/>
    <s v="Frank"/>
    <n v="273.24099999999999"/>
    <x v="4"/>
    <x v="0"/>
    <n v="0"/>
    <s v="REG101173"/>
    <s v="Cust 7587"/>
    <n v="20.18"/>
    <x v="69"/>
    <d v="2024-03-11T00:00:00"/>
    <s v="Ryan"/>
  </r>
  <r>
    <d v="2024-09-04T00:00:00"/>
    <n v="1488.9424499999998"/>
    <n v="297.78848999999997"/>
    <x v="4"/>
    <x v="5"/>
    <n v="9"/>
    <n v="228.98"/>
    <s v="Store D"/>
    <x v="1"/>
    <n v="0.15"/>
    <s v="Frank"/>
    <n v="1751.6969999999999"/>
    <x v="0"/>
    <x v="2"/>
    <n v="0"/>
    <s v="REG101174"/>
    <s v="Cust 2611"/>
    <n v="45.79"/>
    <x v="670"/>
    <d v="2024-09-08T00:00:00"/>
    <s v="Wendy"/>
  </r>
  <r>
    <d v="2024-12-30T00:00:00"/>
    <n v="6393.5"/>
    <n v="1278.7"/>
    <x v="0"/>
    <x v="5"/>
    <n v="19"/>
    <n v="336.5"/>
    <s v="Store B"/>
    <x v="0"/>
    <n v="0"/>
    <s v="Alice"/>
    <n v="6393.5"/>
    <x v="0"/>
    <x v="2"/>
    <n v="0"/>
    <s v="REG101175"/>
    <s v="Cust 8284"/>
    <n v="27.43"/>
    <x v="671"/>
    <d v="2025-01-07T00:00:00"/>
    <s v="Eric"/>
  </r>
  <r>
    <d v="2024-02-10T00:00:00"/>
    <n v="7408.62"/>
    <n v="1481.7240000000002"/>
    <x v="0"/>
    <x v="6"/>
    <n v="18"/>
    <n v="411.59"/>
    <s v="Store A"/>
    <x v="0"/>
    <n v="0"/>
    <s v="Bob"/>
    <n v="7408.62"/>
    <x v="2"/>
    <x v="2"/>
    <n v="0"/>
    <s v="REG101176"/>
    <s v="Cust 8154"/>
    <n v="9.6199999999999992"/>
    <x v="672"/>
    <d v="2024-02-16T00:00:00"/>
    <s v="Eric"/>
  </r>
  <r>
    <d v="2023-09-07T00:00:00"/>
    <n v="311.75152500000002"/>
    <n v="62.350305000000006"/>
    <x v="3"/>
    <x v="6"/>
    <n v="1"/>
    <n v="431.49"/>
    <s v="Store C"/>
    <x v="0"/>
    <n v="0.15"/>
    <s v="Alice"/>
    <n v="366.76650000000001"/>
    <x v="4"/>
    <x v="1"/>
    <n v="0"/>
    <s v="REG101177"/>
    <s v="Cust 5215"/>
    <n v="17.53"/>
    <x v="288"/>
    <d v="2023-09-15T00:00:00"/>
    <s v="Cameron"/>
  </r>
  <r>
    <d v="2023-08-11T00:00:00"/>
    <n v="8917.02"/>
    <n v="1783.4040000000002"/>
    <x v="0"/>
    <x v="0"/>
    <n v="18"/>
    <n v="495.39"/>
    <s v="Store A"/>
    <x v="0"/>
    <n v="0"/>
    <s v="Carlos"/>
    <n v="8917.02"/>
    <x v="1"/>
    <x v="1"/>
    <n v="0"/>
    <s v="REG101178"/>
    <s v="Cust 5309"/>
    <n v="14.88"/>
    <x v="673"/>
    <d v="2023-08-15T00:00:00"/>
    <s v="Eric"/>
  </r>
  <r>
    <d v="2023-03-12T00:00:00"/>
    <n v="483.73200000000003"/>
    <n v="96.746400000000008"/>
    <x v="4"/>
    <x v="1"/>
    <n v="4"/>
    <n v="149.30000000000001"/>
    <s v="Store A"/>
    <x v="0"/>
    <n v="0.1"/>
    <s v="Diana"/>
    <n v="537.48"/>
    <x v="3"/>
    <x v="0"/>
    <n v="0"/>
    <s v="REG101179"/>
    <s v="Cust 2016"/>
    <n v="47.84"/>
    <x v="504"/>
    <d v="2023-03-16T00:00:00"/>
    <s v="Wendy"/>
  </r>
  <r>
    <d v="2023-03-29T00:00:00"/>
    <n v="2623.9626000000003"/>
    <n v="524.79252000000008"/>
    <x v="3"/>
    <x v="2"/>
    <n v="18"/>
    <n v="179.97"/>
    <s v="Store C"/>
    <x v="0"/>
    <n v="0.1"/>
    <s v="Eva"/>
    <n v="2915.5140000000001"/>
    <x v="4"/>
    <x v="1"/>
    <n v="0"/>
    <s v="REG101180"/>
    <s v="Cust 2676"/>
    <n v="22.15"/>
    <x v="88"/>
    <d v="2023-03-31T00:00:00"/>
    <s v="Cameron"/>
  </r>
  <r>
    <d v="2025-02-17T00:00:00"/>
    <n v="3783.7673499999996"/>
    <n v="756.75346999999999"/>
    <x v="1"/>
    <x v="3"/>
    <n v="11"/>
    <n v="381.14"/>
    <s v="Store B"/>
    <x v="1"/>
    <n v="0.05"/>
    <s v="Frank"/>
    <n v="3982.913"/>
    <x v="1"/>
    <x v="0"/>
    <n v="0"/>
    <s v="REG101181"/>
    <s v="Cust 7529"/>
    <n v="32.83"/>
    <x v="130"/>
    <d v="2025-02-27T00:00:00"/>
    <s v="Sophie"/>
  </r>
  <r>
    <d v="2024-01-07T00:00:00"/>
    <n v="2051.4727499999999"/>
    <n v="410.29455000000002"/>
    <x v="2"/>
    <x v="3"/>
    <n v="5"/>
    <n v="454.62"/>
    <s v="Store C"/>
    <x v="0"/>
    <n v="0.05"/>
    <s v="Diana"/>
    <n v="2159.4450000000002"/>
    <x v="1"/>
    <x v="3"/>
    <n v="0"/>
    <s v="REG101182"/>
    <s v="Cust 6172"/>
    <n v="10.19"/>
    <x v="674"/>
    <d v="2024-01-15T00:00:00"/>
    <s v="Ryan"/>
  </r>
  <r>
    <d v="2023-01-14T00:00:00"/>
    <n v="3119.7312000000002"/>
    <n v="623.9462400000001"/>
    <x v="0"/>
    <x v="1"/>
    <n v="17"/>
    <n v="226.56"/>
    <s v="Store A"/>
    <x v="0"/>
    <n v="0.1"/>
    <s v="Diana"/>
    <n v="3466.3679999999999"/>
    <x v="1"/>
    <x v="2"/>
    <n v="1"/>
    <s v="REG101183"/>
    <s v="Cust 2527"/>
    <n v="36.89"/>
    <x v="675"/>
    <d v="2023-01-20T00:00:00"/>
    <s v="Eric"/>
  </r>
  <r>
    <d v="2024-01-03T00:00:00"/>
    <n v="265.82"/>
    <n v="53.164000000000001"/>
    <x v="4"/>
    <x v="0"/>
    <n v="2"/>
    <n v="132.91"/>
    <s v="Store A"/>
    <x v="0"/>
    <n v="0"/>
    <s v="Bob"/>
    <n v="265.82"/>
    <x v="3"/>
    <x v="2"/>
    <n v="0"/>
    <s v="REG101184"/>
    <s v="Cust 1970"/>
    <n v="7.76"/>
    <x v="150"/>
    <d v="2024-01-12T00:00:00"/>
    <s v="Wendy"/>
  </r>
  <r>
    <d v="2023-08-25T00:00:00"/>
    <n v="71.38"/>
    <n v="14.276"/>
    <x v="1"/>
    <x v="2"/>
    <n v="2"/>
    <n v="35.69"/>
    <s v="Store C"/>
    <x v="1"/>
    <n v="0"/>
    <s v="Eva"/>
    <n v="71.38"/>
    <x v="3"/>
    <x v="0"/>
    <n v="0"/>
    <s v="REG101185"/>
    <s v="Cust 9543"/>
    <n v="39.89"/>
    <x v="294"/>
    <d v="2023-08-28T00:00:00"/>
    <s v="Sophie"/>
  </r>
  <r>
    <d v="2025-05-16T00:00:00"/>
    <n v="1959.1165499999997"/>
    <n v="391.82330999999999"/>
    <x v="2"/>
    <x v="2"/>
    <n v="6"/>
    <n v="451.93"/>
    <s v="Store A"/>
    <x v="0"/>
    <n v="0.15"/>
    <s v="Eva"/>
    <n v="2304.8429999999998"/>
    <x v="4"/>
    <x v="2"/>
    <n v="1"/>
    <s v="REG101186"/>
    <s v="Cust 2957"/>
    <n v="49.37"/>
    <x v="120"/>
    <d v="2025-05-25T00:00:00"/>
    <s v="Ryan"/>
  </r>
  <r>
    <d v="2023-12-30T00:00:00"/>
    <n v="1708.694225"/>
    <n v="341.73884500000003"/>
    <x v="1"/>
    <x v="0"/>
    <n v="7"/>
    <n v="270.47000000000003"/>
    <s v="Store D"/>
    <x v="0"/>
    <n v="0.05"/>
    <s v="Diana"/>
    <n v="1798.6255000000001"/>
    <x v="2"/>
    <x v="2"/>
    <n v="1"/>
    <s v="REG101187"/>
    <s v="Cust 2852"/>
    <n v="41.56"/>
    <x v="479"/>
    <d v="2024-01-03T00:00:00"/>
    <s v="Sophie"/>
  </r>
  <r>
    <d v="2024-10-06T00:00:00"/>
    <n v="650.68444999999997"/>
    <n v="130.13688999999999"/>
    <x v="1"/>
    <x v="1"/>
    <n v="13"/>
    <n v="55.46"/>
    <s v="Store A"/>
    <x v="1"/>
    <n v="0.05"/>
    <s v="Bob"/>
    <n v="684.93100000000004"/>
    <x v="2"/>
    <x v="0"/>
    <n v="1"/>
    <s v="REG101188"/>
    <s v="Cust 6365"/>
    <n v="18.010000000000002"/>
    <x v="676"/>
    <d v="2024-10-09T00:00:00"/>
    <s v="Sophie"/>
  </r>
  <r>
    <d v="2023-03-12T00:00:00"/>
    <n v="6326.9614000000001"/>
    <n v="1265.39228"/>
    <x v="3"/>
    <x v="5"/>
    <n v="17"/>
    <n v="515.12"/>
    <s v="Store D"/>
    <x v="0"/>
    <n v="0.15"/>
    <s v="Bob"/>
    <n v="7443.4840000000004"/>
    <x v="2"/>
    <x v="1"/>
    <n v="1"/>
    <s v="REG101189"/>
    <s v="Cust 9159"/>
    <n v="32.74"/>
    <x v="504"/>
    <d v="2023-03-22T00:00:00"/>
    <s v="Cameron"/>
  </r>
  <r>
    <d v="2024-04-06T00:00:00"/>
    <n v="256.63"/>
    <n v="51.326000000000001"/>
    <x v="2"/>
    <x v="1"/>
    <n v="1"/>
    <n v="256.63"/>
    <s v="Store D"/>
    <x v="0"/>
    <n v="0"/>
    <s v="Carlos"/>
    <n v="256.63"/>
    <x v="1"/>
    <x v="0"/>
    <n v="0"/>
    <s v="REG101190"/>
    <s v="Cust 3252"/>
    <n v="12.97"/>
    <x v="419"/>
    <d v="2024-04-08T00:00:00"/>
    <s v="Ryan"/>
  </r>
  <r>
    <d v="2023-01-20T00:00:00"/>
    <n v="1530.6039000000001"/>
    <n v="306.12078000000002"/>
    <x v="2"/>
    <x v="5"/>
    <n v="4"/>
    <n v="423.99"/>
    <s v="Store B"/>
    <x v="1"/>
    <n v="0.05"/>
    <s v="Frank"/>
    <n v="1611.162"/>
    <x v="0"/>
    <x v="0"/>
    <n v="0"/>
    <s v="REG101191"/>
    <s v="Cust 8679"/>
    <n v="20.05"/>
    <x v="411"/>
    <d v="2023-01-25T00:00:00"/>
    <s v="Ryan"/>
  </r>
  <r>
    <d v="2024-07-08T00:00:00"/>
    <n v="1054.4358749999999"/>
    <n v="210.88717499999998"/>
    <x v="4"/>
    <x v="0"/>
    <n v="15"/>
    <n v="77.89"/>
    <s v="Store B"/>
    <x v="0"/>
    <n v="0.05"/>
    <s v="Diana"/>
    <n v="1109.9324999999999"/>
    <x v="2"/>
    <x v="3"/>
    <n v="0"/>
    <s v="REG101192"/>
    <s v="Cust 5547"/>
    <n v="20.87"/>
    <x v="172"/>
    <d v="2024-07-12T00:00:00"/>
    <s v="Wendy"/>
  </r>
  <r>
    <d v="2023-10-06T00:00:00"/>
    <n v="129.41849999999999"/>
    <n v="25.883700000000001"/>
    <x v="2"/>
    <x v="1"/>
    <n v="12"/>
    <n v="11.95"/>
    <s v="Store A"/>
    <x v="1"/>
    <n v="0.05"/>
    <s v="Carlos"/>
    <n v="136.22999999999999"/>
    <x v="0"/>
    <x v="3"/>
    <n v="0"/>
    <s v="REG101193"/>
    <s v="Cust 9438"/>
    <n v="26.66"/>
    <x v="677"/>
    <d v="2023-10-16T00:00:00"/>
    <s v="Ryan"/>
  </r>
  <r>
    <d v="2023-09-11T00:00:00"/>
    <n v="380.17350000000005"/>
    <n v="76.034700000000015"/>
    <x v="0"/>
    <x v="2"/>
    <n v="7"/>
    <n v="67.05"/>
    <s v="Store D"/>
    <x v="0"/>
    <n v="0.1"/>
    <s v="Carlos"/>
    <n v="422.41500000000002"/>
    <x v="4"/>
    <x v="0"/>
    <n v="0"/>
    <s v="REG101194"/>
    <s v="Cust 9092"/>
    <n v="36.67"/>
    <x v="471"/>
    <d v="2023-09-18T00:00:00"/>
    <s v="Eric"/>
  </r>
  <r>
    <d v="2023-09-14T00:00:00"/>
    <n v="1621.904125"/>
    <n v="324.38082500000002"/>
    <x v="2"/>
    <x v="1"/>
    <n v="19"/>
    <n v="118.15"/>
    <s v="Store C"/>
    <x v="1"/>
    <n v="0.15"/>
    <s v="Frank"/>
    <n v="1908.1224999999999"/>
    <x v="4"/>
    <x v="1"/>
    <n v="0"/>
    <s v="REG101195"/>
    <s v="Cust 7007"/>
    <n v="12.95"/>
    <x v="242"/>
    <d v="2023-09-19T00:00:00"/>
    <s v="Ryan"/>
  </r>
  <r>
    <d v="2023-11-06T00:00:00"/>
    <n v="1323.2731999999999"/>
    <n v="264.65463999999997"/>
    <x v="2"/>
    <x v="6"/>
    <n v="16"/>
    <n v="114.47"/>
    <s v="Store B"/>
    <x v="0"/>
    <n v="0.15"/>
    <s v="Carlos"/>
    <n v="1556.7919999999999"/>
    <x v="0"/>
    <x v="3"/>
    <n v="0"/>
    <s v="REG101196"/>
    <s v="Cust 3001"/>
    <n v="43.85"/>
    <x v="265"/>
    <d v="2023-11-11T00:00:00"/>
    <s v="Ryan"/>
  </r>
  <r>
    <d v="2024-06-23T00:00:00"/>
    <n v="235.45552499999999"/>
    <n v="47.091104999999999"/>
    <x v="2"/>
    <x v="4"/>
    <n v="9"/>
    <n v="36.21"/>
    <s v="Store C"/>
    <x v="0"/>
    <n v="0.15"/>
    <s v="Bob"/>
    <n v="277.00650000000002"/>
    <x v="2"/>
    <x v="0"/>
    <n v="0"/>
    <s v="REG101197"/>
    <s v="Cust 5771"/>
    <n v="6.71"/>
    <x v="678"/>
    <d v="2024-06-30T00:00:00"/>
    <s v="Ryan"/>
  </r>
  <r>
    <d v="2023-03-30T00:00:00"/>
    <n v="425.89800000000002"/>
    <n v="85.179600000000008"/>
    <x v="4"/>
    <x v="6"/>
    <n v="10"/>
    <n v="52.58"/>
    <s v="Store B"/>
    <x v="0"/>
    <n v="0.1"/>
    <s v="Eva"/>
    <n v="473.22"/>
    <x v="4"/>
    <x v="2"/>
    <n v="0"/>
    <s v="REG101198"/>
    <s v="Cust 4317"/>
    <n v="14.01"/>
    <x v="306"/>
    <d v="2023-04-09T00:00:00"/>
    <s v="Wendy"/>
  </r>
  <r>
    <d v="2024-10-05T00:00:00"/>
    <n v="1323.1836000000001"/>
    <n v="264.63672000000003"/>
    <x v="0"/>
    <x v="1"/>
    <n v="6"/>
    <n v="272.26"/>
    <s v="Store A"/>
    <x v="1"/>
    <n v="0.1"/>
    <s v="Carlos"/>
    <n v="1470.204"/>
    <x v="3"/>
    <x v="1"/>
    <n v="0"/>
    <s v="REG101199"/>
    <s v="Cust 3627"/>
    <n v="43.67"/>
    <x v="198"/>
    <d v="2024-10-15T00:00:00"/>
    <s v="Eric"/>
  </r>
  <r>
    <d v="2023-03-19T00:00:00"/>
    <n v="902.90824999999984"/>
    <n v="180.58164999999997"/>
    <x v="3"/>
    <x v="3"/>
    <n v="10"/>
    <n v="124.97"/>
    <s v="Store D"/>
    <x v="1"/>
    <n v="0.15"/>
    <s v="Eva"/>
    <n v="1062.2449999999999"/>
    <x v="1"/>
    <x v="2"/>
    <n v="1"/>
    <s v="REG101200"/>
    <s v="Cust 4433"/>
    <n v="40.229999999999997"/>
    <x v="127"/>
    <d v="2023-03-29T00:00:00"/>
    <s v="Cameron"/>
  </r>
  <r>
    <d v="2025-03-17T00:00:00"/>
    <n v="1856.96595"/>
    <n v="371.39319"/>
    <x v="2"/>
    <x v="1"/>
    <n v="9"/>
    <n v="228.62"/>
    <s v="Store C"/>
    <x v="1"/>
    <n v="0.05"/>
    <s v="Eva"/>
    <n v="1954.701"/>
    <x v="1"/>
    <x v="1"/>
    <n v="0"/>
    <s v="REG101201"/>
    <s v="Cust 6231"/>
    <n v="31.43"/>
    <x v="253"/>
    <d v="2025-03-21T00:00:00"/>
    <s v="Ryan"/>
  </r>
  <r>
    <d v="2024-12-18T00:00:00"/>
    <n v="4088.0495000000001"/>
    <n v="817.60990000000004"/>
    <x v="3"/>
    <x v="0"/>
    <n v="20"/>
    <n v="282.91000000000003"/>
    <s v="Store A"/>
    <x v="0"/>
    <n v="0.15"/>
    <s v="Frank"/>
    <n v="4809.47"/>
    <x v="3"/>
    <x v="0"/>
    <n v="0"/>
    <s v="REG101202"/>
    <s v="Cust 8987"/>
    <n v="8.19"/>
    <x v="227"/>
    <d v="2024-12-28T00:00:00"/>
    <s v="Cameron"/>
  </r>
  <r>
    <d v="2025-01-06T00:00:00"/>
    <n v="1592.05765"/>
    <n v="318.41153000000003"/>
    <x v="4"/>
    <x v="5"/>
    <n v="17"/>
    <n v="129.62"/>
    <s v="Store D"/>
    <x v="1"/>
    <n v="0.15"/>
    <s v="Eva"/>
    <n v="1873.009"/>
    <x v="0"/>
    <x v="0"/>
    <n v="0"/>
    <s v="REG101203"/>
    <s v="Cust 4510"/>
    <n v="24.28"/>
    <x v="428"/>
    <d v="2025-01-08T00:00:00"/>
    <s v="Wendy"/>
  </r>
  <r>
    <d v="2025-01-14T00:00:00"/>
    <n v="879.12524999999982"/>
    <n v="175.82504999999998"/>
    <x v="3"/>
    <x v="4"/>
    <n v="6"/>
    <n v="162.35"/>
    <s v="Store B"/>
    <x v="0"/>
    <n v="0.05"/>
    <s v="Eva"/>
    <n v="925.39499999999987"/>
    <x v="2"/>
    <x v="1"/>
    <n v="1"/>
    <s v="REG101204"/>
    <s v="Cust 7003"/>
    <n v="19.18"/>
    <x v="679"/>
    <d v="2025-01-20T00:00:00"/>
    <s v="Cameron"/>
  </r>
  <r>
    <d v="2023-01-26T00:00:00"/>
    <n v="2937.48"/>
    <n v="587.49599999999998"/>
    <x v="1"/>
    <x v="6"/>
    <n v="14"/>
    <n v="209.82"/>
    <s v="Store B"/>
    <x v="0"/>
    <n v="0"/>
    <s v="Eva"/>
    <n v="2937.48"/>
    <x v="4"/>
    <x v="1"/>
    <n v="0"/>
    <s v="REG101205"/>
    <s v="Cust 6546"/>
    <n v="36.11"/>
    <x v="592"/>
    <d v="2023-01-30T00:00:00"/>
    <s v="Sophie"/>
  </r>
  <r>
    <d v="2024-08-04T00:00:00"/>
    <n v="4237.2735999999995"/>
    <n v="847.45471999999995"/>
    <x v="2"/>
    <x v="0"/>
    <n v="16"/>
    <n v="293.44"/>
    <s v="Store D"/>
    <x v="0"/>
    <n v="0.05"/>
    <s v="Diana"/>
    <n v="4460.2879999999996"/>
    <x v="1"/>
    <x v="1"/>
    <n v="0"/>
    <s v="REG101206"/>
    <s v="Cust 2951"/>
    <n v="42.56"/>
    <x v="270"/>
    <d v="2024-08-14T00:00:00"/>
    <s v="Ryan"/>
  </r>
  <r>
    <d v="2024-02-13T00:00:00"/>
    <n v="1474.4202"/>
    <n v="294.88404000000003"/>
    <x v="2"/>
    <x v="1"/>
    <n v="11"/>
    <n v="185.52"/>
    <s v="Store D"/>
    <x v="0"/>
    <n v="0.15"/>
    <s v="Diana"/>
    <n v="1734.6120000000001"/>
    <x v="2"/>
    <x v="2"/>
    <n v="0"/>
    <s v="REG101207"/>
    <s v="Cust 4673"/>
    <n v="38.53"/>
    <x v="30"/>
    <d v="2024-02-16T00:00:00"/>
    <s v="Ryan"/>
  </r>
  <r>
    <d v="2023-02-11T00:00:00"/>
    <n v="3490.2819"/>
    <n v="698.05637999999999"/>
    <x v="3"/>
    <x v="2"/>
    <n v="18"/>
    <n v="268.38"/>
    <s v="Store D"/>
    <x v="0"/>
    <n v="0.15"/>
    <s v="Alice"/>
    <n v="4106.2139999999999"/>
    <x v="4"/>
    <x v="0"/>
    <n v="0"/>
    <s v="REG101208"/>
    <s v="Cust 5988"/>
    <n v="48.38"/>
    <x v="70"/>
    <d v="2023-02-14T00:00:00"/>
    <s v="Cameron"/>
  </r>
  <r>
    <d v="2024-06-17T00:00:00"/>
    <n v="7975.9889999999996"/>
    <n v="1595.1977999999999"/>
    <x v="0"/>
    <x v="6"/>
    <n v="18"/>
    <n v="547.04999999999995"/>
    <s v="Store C"/>
    <x v="0"/>
    <n v="0.1"/>
    <s v="Carlos"/>
    <n v="8862.2099999999991"/>
    <x v="4"/>
    <x v="0"/>
    <n v="0"/>
    <s v="REG101209"/>
    <s v="Cust 3922"/>
    <n v="10.99"/>
    <x v="545"/>
    <d v="2024-06-22T00:00:00"/>
    <s v="Eric"/>
  </r>
  <r>
    <d v="2024-06-06T00:00:00"/>
    <n v="255.91672500000001"/>
    <n v="51.183345000000003"/>
    <x v="1"/>
    <x v="0"/>
    <n v="1"/>
    <n v="354.21"/>
    <s v="Store A"/>
    <x v="0"/>
    <n v="0.15"/>
    <s v="Carlos"/>
    <n v="301.07850000000002"/>
    <x v="0"/>
    <x v="3"/>
    <n v="0"/>
    <s v="REG101210"/>
    <s v="Cust 9853"/>
    <n v="26.16"/>
    <x v="566"/>
    <d v="2024-06-12T00:00:00"/>
    <s v="Sophie"/>
  </r>
  <r>
    <d v="2023-11-26T00:00:00"/>
    <n v="4076.357849999999"/>
    <n v="815.27156999999988"/>
    <x v="1"/>
    <x v="3"/>
    <n v="18"/>
    <n v="250.93"/>
    <s v="Store C"/>
    <x v="0"/>
    <n v="0.05"/>
    <s v="Bob"/>
    <n v="4290.9029999999993"/>
    <x v="1"/>
    <x v="3"/>
    <n v="0"/>
    <s v="REG101211"/>
    <s v="Cust 6168"/>
    <n v="47.67"/>
    <x v="168"/>
    <d v="2023-12-02T00:00:00"/>
    <s v="Sophie"/>
  </r>
  <r>
    <d v="2024-04-07T00:00:00"/>
    <n v="7637.1862499999988"/>
    <n v="1527.4372499999999"/>
    <x v="4"/>
    <x v="6"/>
    <n v="18"/>
    <n v="587.25"/>
    <s v="Store C"/>
    <x v="0"/>
    <n v="0.15"/>
    <s v="Carlos"/>
    <n v="8984.9249999999993"/>
    <x v="0"/>
    <x v="3"/>
    <n v="0"/>
    <s v="REG101212"/>
    <s v="Cust 3175"/>
    <n v="42.15"/>
    <x v="680"/>
    <d v="2024-04-09T00:00:00"/>
    <s v="Wendy"/>
  </r>
  <r>
    <d v="2023-02-03T00:00:00"/>
    <n v="876.12"/>
    <n v="175.22400000000002"/>
    <x v="4"/>
    <x v="2"/>
    <n v="2"/>
    <n v="438.06"/>
    <s v="Store B"/>
    <x v="1"/>
    <n v="0"/>
    <s v="Frank"/>
    <n v="876.12"/>
    <x v="0"/>
    <x v="0"/>
    <n v="1"/>
    <s v="REG101213"/>
    <s v="Cust 1813"/>
    <n v="12.9"/>
    <x v="151"/>
    <d v="2023-02-09T00:00:00"/>
    <s v="Wendy"/>
  </r>
  <r>
    <d v="2024-11-25T00:00:00"/>
    <n v="61.701499999999989"/>
    <n v="12.340299999999999"/>
    <x v="0"/>
    <x v="3"/>
    <n v="14"/>
    <n v="6.1"/>
    <s v="Store C"/>
    <x v="0"/>
    <n v="0.15"/>
    <s v="Carlos"/>
    <n v="72.589999999999989"/>
    <x v="0"/>
    <x v="0"/>
    <n v="1"/>
    <s v="REG101214"/>
    <s v="Cust 7749"/>
    <n v="10.18"/>
    <x v="681"/>
    <d v="2024-11-30T00:00:00"/>
    <s v="Eric"/>
  </r>
  <r>
    <d v="2024-06-30T00:00:00"/>
    <n v="160.28"/>
    <n v="32.056000000000004"/>
    <x v="2"/>
    <x v="0"/>
    <n v="2"/>
    <n v="80.14"/>
    <s v="Store D"/>
    <x v="0"/>
    <n v="0"/>
    <s v="Carlos"/>
    <n v="160.28"/>
    <x v="0"/>
    <x v="0"/>
    <n v="1"/>
    <s v="REG101215"/>
    <s v="Cust 3416"/>
    <n v="13.41"/>
    <x v="261"/>
    <d v="2024-07-03T00:00:00"/>
    <s v="Ryan"/>
  </r>
  <r>
    <d v="2023-08-02T00:00:00"/>
    <n v="532.24407499999995"/>
    <n v="106.448815"/>
    <x v="1"/>
    <x v="0"/>
    <n v="11"/>
    <n v="66.97"/>
    <s v="Store A"/>
    <x v="1"/>
    <n v="0.15"/>
    <s v="Bob"/>
    <n v="626.16949999999997"/>
    <x v="1"/>
    <x v="0"/>
    <n v="1"/>
    <s v="REG101216"/>
    <s v="Cust 7066"/>
    <n v="20.350000000000001"/>
    <x v="562"/>
    <d v="2023-08-11T00:00:00"/>
    <s v="Sophie"/>
  </r>
  <r>
    <d v="2024-02-22T00:00:00"/>
    <n v="1088.04"/>
    <n v="217.608"/>
    <x v="1"/>
    <x v="3"/>
    <n v="6"/>
    <n v="181.34"/>
    <s v="Store A"/>
    <x v="0"/>
    <n v="0"/>
    <s v="Alice"/>
    <n v="1088.04"/>
    <x v="4"/>
    <x v="0"/>
    <n v="0"/>
    <s v="REG101217"/>
    <s v="Cust 5180"/>
    <n v="27.65"/>
    <x v="193"/>
    <d v="2024-02-27T00:00:00"/>
    <s v="Sophie"/>
  </r>
  <r>
    <d v="2024-11-29T00:00:00"/>
    <n v="7716.375"/>
    <n v="1543.2750000000001"/>
    <x v="2"/>
    <x v="4"/>
    <n v="15"/>
    <n v="570"/>
    <s v="Store D"/>
    <x v="0"/>
    <n v="0.05"/>
    <s v="Frank"/>
    <n v="8122.5"/>
    <x v="1"/>
    <x v="3"/>
    <n v="0"/>
    <s v="REG101218"/>
    <s v="Cust 6246"/>
    <n v="7.62"/>
    <x v="682"/>
    <d v="2024-12-09T00:00:00"/>
    <s v="Ryan"/>
  </r>
  <r>
    <d v="2023-07-21T00:00:00"/>
    <n v="3822.1044749999996"/>
    <n v="764.42089499999997"/>
    <x v="2"/>
    <x v="4"/>
    <n v="9"/>
    <n v="587.79"/>
    <s v="Store D"/>
    <x v="0"/>
    <n v="0.15"/>
    <s v="Bob"/>
    <n v="4496.5934999999999"/>
    <x v="0"/>
    <x v="3"/>
    <n v="0"/>
    <s v="REG101219"/>
    <s v="Cust 4182"/>
    <n v="24.64"/>
    <x v="12"/>
    <d v="2023-07-31T00:00:00"/>
    <s v="Ryan"/>
  </r>
  <r>
    <d v="2023-04-14T00:00:00"/>
    <n v="954.06660000000011"/>
    <n v="190.81332000000003"/>
    <x v="3"/>
    <x v="1"/>
    <n v="6"/>
    <n v="196.31"/>
    <s v="Store C"/>
    <x v="1"/>
    <n v="0.1"/>
    <s v="Carlos"/>
    <n v="1060.0740000000001"/>
    <x v="0"/>
    <x v="2"/>
    <n v="0"/>
    <s v="REG101220"/>
    <s v="Cust 6843"/>
    <n v="38.65"/>
    <x v="271"/>
    <d v="2023-04-17T00:00:00"/>
    <s v="Cameron"/>
  </r>
  <r>
    <d v="2023-02-01T00:00:00"/>
    <n v="3105.0331999999999"/>
    <n v="621.00664000000006"/>
    <x v="2"/>
    <x v="1"/>
    <n v="8"/>
    <n v="430.06"/>
    <s v="Store B"/>
    <x v="0"/>
    <n v="0.05"/>
    <s v="Bob"/>
    <n v="3268.4560000000001"/>
    <x v="3"/>
    <x v="1"/>
    <n v="0"/>
    <s v="REG101221"/>
    <s v="Cust 6844"/>
    <n v="38.450000000000003"/>
    <x v="307"/>
    <d v="2023-02-05T00:00:00"/>
    <s v="Ryan"/>
  </r>
  <r>
    <d v="2024-06-30T00:00:00"/>
    <n v="4873.0248000000001"/>
    <n v="974.60496000000012"/>
    <x v="0"/>
    <x v="4"/>
    <n v="14"/>
    <n v="429.72"/>
    <s v="Store A"/>
    <x v="1"/>
    <n v="0.1"/>
    <s v="Eva"/>
    <n v="5414.4719999999998"/>
    <x v="4"/>
    <x v="1"/>
    <n v="0"/>
    <s v="REG101222"/>
    <s v="Cust 3248"/>
    <n v="45.78"/>
    <x v="261"/>
    <d v="2024-07-05T00:00:00"/>
    <s v="Eric"/>
  </r>
  <r>
    <d v="2023-10-18T00:00:00"/>
    <n v="1655.42"/>
    <n v="331.08400000000006"/>
    <x v="3"/>
    <x v="1"/>
    <n v="13"/>
    <n v="127.34"/>
    <s v="Store D"/>
    <x v="0"/>
    <n v="0"/>
    <s v="Alice"/>
    <n v="1655.42"/>
    <x v="2"/>
    <x v="2"/>
    <n v="0"/>
    <s v="REG101223"/>
    <s v="Cust 5226"/>
    <n v="6.15"/>
    <x v="90"/>
    <d v="2023-10-21T00:00:00"/>
    <s v="Cameron"/>
  </r>
  <r>
    <d v="2024-07-04T00:00:00"/>
    <n v="2284.9675499999998"/>
    <n v="456.99351000000001"/>
    <x v="0"/>
    <x v="4"/>
    <n v="6"/>
    <n v="421.97"/>
    <s v="Store B"/>
    <x v="0"/>
    <n v="0.05"/>
    <s v="Bob"/>
    <n v="2405.2289999999998"/>
    <x v="4"/>
    <x v="2"/>
    <n v="0"/>
    <s v="REG101224"/>
    <s v="Cust 9804"/>
    <n v="41.31"/>
    <x v="532"/>
    <d v="2024-07-13T00:00:00"/>
    <s v="Eric"/>
  </r>
  <r>
    <d v="2024-07-04T00:00:00"/>
    <n v="815.30512499999998"/>
    <n v="163.061025"/>
    <x v="0"/>
    <x v="5"/>
    <n v="5"/>
    <n v="225.69"/>
    <s v="Store A"/>
    <x v="0"/>
    <n v="0.15"/>
    <s v="Carlos"/>
    <n v="959.1825"/>
    <x v="1"/>
    <x v="2"/>
    <n v="0"/>
    <s v="REG101225"/>
    <s v="Cust 3990"/>
    <n v="47.6"/>
    <x v="532"/>
    <d v="2024-07-12T00:00:00"/>
    <s v="Eric"/>
  </r>
  <r>
    <d v="2023-07-27T00:00:00"/>
    <n v="2327.2447499999998"/>
    <n v="465.44894999999997"/>
    <x v="2"/>
    <x v="4"/>
    <n v="10"/>
    <n v="322.11"/>
    <s v="Store A"/>
    <x v="1"/>
    <n v="0.15"/>
    <s v="Diana"/>
    <n v="2737.9349999999999"/>
    <x v="3"/>
    <x v="2"/>
    <n v="0"/>
    <s v="REG101226"/>
    <s v="Cust 5106"/>
    <n v="28.72"/>
    <x v="74"/>
    <d v="2023-08-02T00:00:00"/>
    <s v="Ryan"/>
  </r>
  <r>
    <d v="2025-03-01T00:00:00"/>
    <n v="755.57299999999998"/>
    <n v="151.1146"/>
    <x v="4"/>
    <x v="2"/>
    <n v="4"/>
    <n v="209.3"/>
    <s v="Store B"/>
    <x v="1"/>
    <n v="0.05"/>
    <s v="Alice"/>
    <n v="795.34"/>
    <x v="1"/>
    <x v="3"/>
    <n v="0"/>
    <s v="REG101227"/>
    <s v="Cust 3448"/>
    <n v="6.89"/>
    <x v="89"/>
    <d v="2025-03-06T00:00:00"/>
    <s v="Wendy"/>
  </r>
  <r>
    <d v="2023-02-23T00:00:00"/>
    <n v="4227.0336000000007"/>
    <n v="845.40672000000018"/>
    <x v="3"/>
    <x v="2"/>
    <n v="16"/>
    <n v="326.16000000000003"/>
    <s v="Store C"/>
    <x v="0"/>
    <n v="0.1"/>
    <s v="Frank"/>
    <n v="4696.7040000000006"/>
    <x v="2"/>
    <x v="3"/>
    <n v="0"/>
    <s v="REG101228"/>
    <s v="Cust 1439"/>
    <n v="44.3"/>
    <x v="0"/>
    <d v="2023-02-25T00:00:00"/>
    <s v="Cameron"/>
  </r>
  <r>
    <d v="2023-01-11T00:00:00"/>
    <n v="6700.4599999999991"/>
    <n v="1340.0919999999999"/>
    <x v="0"/>
    <x v="4"/>
    <n v="13"/>
    <n v="515.41999999999996"/>
    <s v="Store D"/>
    <x v="1"/>
    <n v="0"/>
    <s v="Bob"/>
    <n v="6700.4599999999991"/>
    <x v="0"/>
    <x v="0"/>
    <n v="0"/>
    <s v="REG101229"/>
    <s v="Cust 5342"/>
    <n v="43.37"/>
    <x v="6"/>
    <d v="2023-01-20T00:00:00"/>
    <s v="Eric"/>
  </r>
  <r>
    <d v="2024-04-16T00:00:00"/>
    <n v="908.81000000000006"/>
    <n v="181.76200000000003"/>
    <x v="4"/>
    <x v="5"/>
    <n v="7"/>
    <n v="129.83000000000001"/>
    <s v="Store A"/>
    <x v="0"/>
    <n v="0"/>
    <s v="Carlos"/>
    <n v="908.81000000000006"/>
    <x v="1"/>
    <x v="2"/>
    <n v="0"/>
    <s v="REG101230"/>
    <s v="Cust 4564"/>
    <n v="13.12"/>
    <x v="683"/>
    <d v="2024-04-20T00:00:00"/>
    <s v="Wendy"/>
  </r>
  <r>
    <d v="2024-03-09T00:00:00"/>
    <n v="5771.0813749999988"/>
    <n v="1154.2162749999998"/>
    <x v="3"/>
    <x v="4"/>
    <n v="17"/>
    <n v="376.15"/>
    <s v="Store C"/>
    <x v="1"/>
    <n v="0.05"/>
    <s v="Diana"/>
    <n v="6074.8224999999993"/>
    <x v="1"/>
    <x v="2"/>
    <n v="1"/>
    <s v="REG101231"/>
    <s v="Cust 6441"/>
    <n v="31.96"/>
    <x v="542"/>
    <d v="2024-03-12T00:00:00"/>
    <s v="Cameron"/>
  </r>
  <r>
    <d v="2024-10-07T00:00:00"/>
    <n v="3083.68"/>
    <n v="616.73599999999999"/>
    <x v="1"/>
    <x v="3"/>
    <n v="8"/>
    <n v="385.46"/>
    <s v="Store A"/>
    <x v="0"/>
    <n v="0"/>
    <s v="Bob"/>
    <n v="3083.68"/>
    <x v="4"/>
    <x v="1"/>
    <n v="0"/>
    <s v="REG101232"/>
    <s v="Cust 7591"/>
    <n v="8.89"/>
    <x v="263"/>
    <d v="2024-10-11T00:00:00"/>
    <s v="Sophie"/>
  </r>
  <r>
    <d v="2023-10-06T00:00:00"/>
    <n v="948.26"/>
    <n v="189.65200000000002"/>
    <x v="4"/>
    <x v="6"/>
    <n v="2"/>
    <n v="474.13"/>
    <s v="Store D"/>
    <x v="0"/>
    <n v="0"/>
    <s v="Carlos"/>
    <n v="948.26"/>
    <x v="1"/>
    <x v="0"/>
    <n v="1"/>
    <s v="REG101233"/>
    <s v="Cust 9778"/>
    <n v="14.41"/>
    <x v="677"/>
    <d v="2023-10-15T00:00:00"/>
    <s v="Wendy"/>
  </r>
  <r>
    <d v="2023-04-08T00:00:00"/>
    <n v="6852.2763749999995"/>
    <n v="1370.455275"/>
    <x v="4"/>
    <x v="4"/>
    <n v="15"/>
    <n v="506.17"/>
    <s v="Store B"/>
    <x v="0"/>
    <n v="0.05"/>
    <s v="Alice"/>
    <n v="7212.9224999999997"/>
    <x v="0"/>
    <x v="3"/>
    <n v="0"/>
    <s v="REG101234"/>
    <s v="Cust 1195"/>
    <n v="41.73"/>
    <x v="684"/>
    <d v="2023-04-13T00:00:00"/>
    <s v="Wendy"/>
  </r>
  <r>
    <d v="2024-02-20T00:00:00"/>
    <n v="48.682050000000004"/>
    <n v="9.7364100000000011"/>
    <x v="1"/>
    <x v="1"/>
    <n v="1"/>
    <n v="67.38"/>
    <s v="Store D"/>
    <x v="1"/>
    <n v="0.15"/>
    <s v="Alice"/>
    <n v="57.273000000000003"/>
    <x v="2"/>
    <x v="2"/>
    <n v="0"/>
    <s v="REG101235"/>
    <s v="Cust 8126"/>
    <n v="6.14"/>
    <x v="5"/>
    <d v="2024-02-27T00:00:00"/>
    <s v="Sophie"/>
  </r>
  <r>
    <d v="2023-01-30T00:00:00"/>
    <n v="2972.7262499999997"/>
    <n v="594.54525000000001"/>
    <x v="4"/>
    <x v="3"/>
    <n v="15"/>
    <n v="274.3"/>
    <s v="Store B"/>
    <x v="1"/>
    <n v="0.15"/>
    <s v="Frank"/>
    <n v="3497.3249999999998"/>
    <x v="2"/>
    <x v="3"/>
    <n v="0"/>
    <s v="REG101236"/>
    <s v="Cust 4609"/>
    <n v="21.56"/>
    <x v="685"/>
    <d v="2023-02-08T00:00:00"/>
    <s v="Wendy"/>
  </r>
  <r>
    <d v="2023-05-12T00:00:00"/>
    <n v="668.96"/>
    <n v="133.792"/>
    <x v="1"/>
    <x v="4"/>
    <n v="2"/>
    <n v="334.48"/>
    <s v="Store B"/>
    <x v="0"/>
    <n v="0"/>
    <s v="Alice"/>
    <n v="668.96"/>
    <x v="3"/>
    <x v="3"/>
    <n v="0"/>
    <s v="REG101237"/>
    <s v="Cust 1449"/>
    <n v="31.53"/>
    <x v="551"/>
    <d v="2023-05-20T00:00:00"/>
    <s v="Sophie"/>
  </r>
  <r>
    <d v="2024-01-08T00:00:00"/>
    <n v="2845.3494999999998"/>
    <n v="569.06989999999996"/>
    <x v="1"/>
    <x v="3"/>
    <n v="7"/>
    <n v="562.6"/>
    <s v="Store A"/>
    <x v="1"/>
    <n v="0.15"/>
    <s v="Eva"/>
    <n v="3347.47"/>
    <x v="0"/>
    <x v="2"/>
    <n v="0"/>
    <s v="REG101238"/>
    <s v="Cust 3508"/>
    <n v="19.95"/>
    <x v="590"/>
    <d v="2024-01-12T00:00:00"/>
    <s v="Sophie"/>
  </r>
  <r>
    <d v="2024-06-05T00:00:00"/>
    <n v="90.592949999999988"/>
    <n v="18.118589999999998"/>
    <x v="2"/>
    <x v="4"/>
    <n v="7"/>
    <n v="14.34"/>
    <s v="Store D"/>
    <x v="1"/>
    <n v="0.05"/>
    <s v="Alice"/>
    <n v="95.36099999999999"/>
    <x v="3"/>
    <x v="2"/>
    <n v="0"/>
    <s v="REG101239"/>
    <s v="Cust 4826"/>
    <n v="19.45"/>
    <x v="410"/>
    <d v="2024-06-08T00:00:00"/>
    <s v="Ryan"/>
  </r>
  <r>
    <d v="2025-05-21T00:00:00"/>
    <n v="309.35520000000002"/>
    <n v="61.871040000000008"/>
    <x v="0"/>
    <x v="1"/>
    <n v="11"/>
    <n v="34.72"/>
    <s v="Store B"/>
    <x v="0"/>
    <n v="0.1"/>
    <s v="Diana"/>
    <n v="343.72800000000001"/>
    <x v="1"/>
    <x v="0"/>
    <n v="0"/>
    <s v="REG101240"/>
    <s v="Cust 1232"/>
    <n v="9.31"/>
    <x v="83"/>
    <d v="2025-05-23T00:00:00"/>
    <s v="Eric"/>
  </r>
  <r>
    <d v="2025-05-21T00:00:00"/>
    <n v="105.42"/>
    <n v="21.084000000000003"/>
    <x v="0"/>
    <x v="3"/>
    <n v="7"/>
    <n v="15.06"/>
    <s v="Store A"/>
    <x v="1"/>
    <n v="0"/>
    <s v="Alice"/>
    <n v="105.42"/>
    <x v="4"/>
    <x v="3"/>
    <n v="1"/>
    <s v="REG101241"/>
    <s v="Cust 9675"/>
    <n v="46.57"/>
    <x v="83"/>
    <d v="2025-05-26T00:00:00"/>
    <s v="Eric"/>
  </r>
  <r>
    <d v="2023-03-05T00:00:00"/>
    <n v="4846.3076749999991"/>
    <n v="969.26153499999987"/>
    <x v="0"/>
    <x v="6"/>
    <n v="11"/>
    <n v="488.17"/>
    <s v="Store B"/>
    <x v="0"/>
    <n v="0.05"/>
    <s v="Bob"/>
    <n v="5101.3764999999994"/>
    <x v="4"/>
    <x v="2"/>
    <n v="1"/>
    <s v="REG101242"/>
    <s v="Cust 5153"/>
    <n v="37.47"/>
    <x v="509"/>
    <d v="2023-03-11T00:00:00"/>
    <s v="Eric"/>
  </r>
  <r>
    <d v="2024-10-27T00:00:00"/>
    <n v="2422.2197499999988"/>
    <n v="484.4439499999998"/>
    <x v="1"/>
    <x v="5"/>
    <n v="10"/>
    <n v="268.39"/>
    <s v="Store B"/>
    <x v="1"/>
    <n v="0.05"/>
    <s v="Alice"/>
    <n v="2549.704999999999"/>
    <x v="2"/>
    <x v="1"/>
    <n v="0"/>
    <s v="REG101243"/>
    <s v="Cust 6330"/>
    <n v="25.86"/>
    <x v="686"/>
    <d v="2024-11-02T00:00:00"/>
    <s v="Sophie"/>
  </r>
  <r>
    <d v="2025-03-24T00:00:00"/>
    <n v="259.92900000000009"/>
    <n v="51.985800000000019"/>
    <x v="2"/>
    <x v="5"/>
    <n v="5"/>
    <n v="64.180000000000007"/>
    <s v="Store C"/>
    <x v="1"/>
    <n v="0.1"/>
    <s v="Eva"/>
    <n v="288.81000000000012"/>
    <x v="1"/>
    <x v="1"/>
    <n v="0"/>
    <s v="REG101244"/>
    <s v="Cust 8277"/>
    <n v="21.17"/>
    <x v="687"/>
    <d v="2025-03-29T00:00:00"/>
    <s v="Ryan"/>
  </r>
  <r>
    <d v="2024-09-21T00:00:00"/>
    <n v="6315.9206249999997"/>
    <n v="1263.184125"/>
    <x v="4"/>
    <x v="1"/>
    <n v="15"/>
    <n v="466.55"/>
    <s v="Store A"/>
    <x v="1"/>
    <n v="0.05"/>
    <s v="Alice"/>
    <n v="6648.3374999999996"/>
    <x v="4"/>
    <x v="1"/>
    <n v="1"/>
    <s v="REG101245"/>
    <s v="Cust 5884"/>
    <n v="36.68"/>
    <x v="367"/>
    <d v="2024-09-27T00:00:00"/>
    <s v="Wendy"/>
  </r>
  <r>
    <d v="2025-05-18T00:00:00"/>
    <n v="3648.5547999999999"/>
    <n v="729.71096"/>
    <x v="2"/>
    <x v="2"/>
    <n v="8"/>
    <n v="505.34"/>
    <s v="Store B"/>
    <x v="1"/>
    <n v="0.05"/>
    <s v="Bob"/>
    <n v="3840.5839999999998"/>
    <x v="3"/>
    <x v="3"/>
    <n v="0"/>
    <s v="REG101246"/>
    <s v="Cust 4061"/>
    <n v="22.88"/>
    <x v="662"/>
    <d v="2025-05-27T00:00:00"/>
    <s v="Ryan"/>
  </r>
  <r>
    <d v="2024-07-11T00:00:00"/>
    <n v="489.6450000000001"/>
    <n v="97.92900000000003"/>
    <x v="0"/>
    <x v="4"/>
    <n v="6"/>
    <n v="100.75"/>
    <s v="Store A"/>
    <x v="0"/>
    <n v="0.1"/>
    <s v="Frank"/>
    <n v="544.05000000000007"/>
    <x v="2"/>
    <x v="0"/>
    <n v="0"/>
    <s v="REG101247"/>
    <s v="Cust 8095"/>
    <n v="12.98"/>
    <x v="156"/>
    <d v="2024-07-14T00:00:00"/>
    <s v="Eric"/>
  </r>
  <r>
    <d v="2025-01-27T00:00:00"/>
    <n v="2546.6383999999998"/>
    <n v="509.32767999999999"/>
    <x v="2"/>
    <x v="5"/>
    <n v="8"/>
    <n v="352.72"/>
    <s v="Store C"/>
    <x v="1"/>
    <n v="0.05"/>
    <s v="Carlos"/>
    <n v="2680.672"/>
    <x v="4"/>
    <x v="3"/>
    <n v="0"/>
    <s v="REG101248"/>
    <s v="Cust 2435"/>
    <n v="30.8"/>
    <x v="614"/>
    <d v="2025-02-04T00:00:00"/>
    <s v="Ryan"/>
  </r>
  <r>
    <d v="2023-11-26T00:00:00"/>
    <n v="4736.34"/>
    <n v="947.26800000000003"/>
    <x v="0"/>
    <x v="0"/>
    <n v="9"/>
    <n v="526.26"/>
    <s v="Store B"/>
    <x v="1"/>
    <n v="0"/>
    <s v="Bob"/>
    <n v="4736.34"/>
    <x v="4"/>
    <x v="0"/>
    <n v="0"/>
    <s v="REG101249"/>
    <s v="Cust 6785"/>
    <n v="15.47"/>
    <x v="168"/>
    <d v="2023-12-06T00:00:00"/>
    <s v="Eric"/>
  </r>
  <r>
    <d v="2024-06-02T00:00:00"/>
    <n v="6755.0570999999991"/>
    <n v="1351.0114199999998"/>
    <x v="3"/>
    <x v="6"/>
    <n v="18"/>
    <n v="519.41999999999996"/>
    <s v="Store C"/>
    <x v="1"/>
    <n v="0.15"/>
    <s v="Eva"/>
    <n v="7947.1259999999993"/>
    <x v="4"/>
    <x v="2"/>
    <n v="0"/>
    <s v="REG101250"/>
    <s v="Cust 6485"/>
    <n v="32.96"/>
    <x v="403"/>
    <d v="2024-06-04T00:00:00"/>
    <s v="Cameron"/>
  </r>
  <r>
    <d v="2023-01-17T00:00:00"/>
    <n v="1761.9326999999998"/>
    <n v="352.38653999999997"/>
    <x v="2"/>
    <x v="3"/>
    <n v="18"/>
    <n v="108.46"/>
    <s v="Store D"/>
    <x v="0"/>
    <n v="0.05"/>
    <s v="Frank"/>
    <n v="1854.6659999999999"/>
    <x v="0"/>
    <x v="1"/>
    <n v="0"/>
    <s v="REG101251"/>
    <s v="Cust 6960"/>
    <n v="10.72"/>
    <x v="585"/>
    <d v="2023-01-24T00:00:00"/>
    <s v="Ryan"/>
  </r>
  <r>
    <d v="2025-05-03T00:00:00"/>
    <n v="4935.6280999999999"/>
    <n v="987.12562000000003"/>
    <x v="2"/>
    <x v="2"/>
    <n v="13"/>
    <n v="420.68"/>
    <s v="Store D"/>
    <x v="0"/>
    <n v="0.05"/>
    <s v="Frank"/>
    <n v="5195.3980000000001"/>
    <x v="0"/>
    <x v="3"/>
    <n v="0"/>
    <s v="REG101252"/>
    <s v="Cust 1135"/>
    <n v="24.51"/>
    <x v="688"/>
    <d v="2025-05-11T00:00:00"/>
    <s v="Ryan"/>
  </r>
  <r>
    <d v="2025-01-05T00:00:00"/>
    <n v="72.589574999999996"/>
    <n v="14.517915"/>
    <x v="2"/>
    <x v="6"/>
    <n v="17"/>
    <n v="5.91"/>
    <s v="Store A"/>
    <x v="0"/>
    <n v="0.15"/>
    <s v="Eva"/>
    <n v="85.399500000000003"/>
    <x v="0"/>
    <x v="1"/>
    <n v="0"/>
    <s v="REG101253"/>
    <s v="Cust 6186"/>
    <n v="44.85"/>
    <x v="689"/>
    <d v="2025-01-13T00:00:00"/>
    <s v="Ryan"/>
  </r>
  <r>
    <d v="2024-02-20T00:00:00"/>
    <n v="1811.08"/>
    <n v="362.21600000000001"/>
    <x v="0"/>
    <x v="1"/>
    <n v="4"/>
    <n v="452.77"/>
    <s v="Store B"/>
    <x v="1"/>
    <n v="0"/>
    <s v="Diana"/>
    <n v="1811.08"/>
    <x v="3"/>
    <x v="1"/>
    <n v="0"/>
    <s v="REG101254"/>
    <s v="Cust 8828"/>
    <n v="32.01"/>
    <x v="5"/>
    <d v="2024-03-01T00:00:00"/>
    <s v="Eric"/>
  </r>
  <r>
    <d v="2023-12-26T00:00:00"/>
    <n v="794.02749999999992"/>
    <n v="158.80549999999999"/>
    <x v="2"/>
    <x v="4"/>
    <n v="7"/>
    <n v="157"/>
    <s v="Store A"/>
    <x v="0"/>
    <n v="0.15"/>
    <s v="Alice"/>
    <n v="934.15"/>
    <x v="0"/>
    <x v="1"/>
    <n v="1"/>
    <s v="REG101255"/>
    <s v="Cust 9097"/>
    <n v="39.72"/>
    <x v="442"/>
    <d v="2024-01-04T00:00:00"/>
    <s v="Ryan"/>
  </r>
  <r>
    <d v="2023-03-07T00:00:00"/>
    <n v="4908.1626000000006"/>
    <n v="981.63252000000011"/>
    <x v="2"/>
    <x v="6"/>
    <n v="11"/>
    <n v="550.86"/>
    <s v="Store C"/>
    <x v="1"/>
    <n v="0.1"/>
    <s v="Bob"/>
    <n v="5453.5140000000001"/>
    <x v="0"/>
    <x v="0"/>
    <n v="0"/>
    <s v="REG101256"/>
    <s v="Cust 4744"/>
    <n v="21.82"/>
    <x v="334"/>
    <d v="2023-03-12T00:00:00"/>
    <s v="Ryan"/>
  </r>
  <r>
    <d v="2024-09-13T00:00:00"/>
    <n v="623.69812499999989"/>
    <n v="124.73962499999999"/>
    <x v="2"/>
    <x v="3"/>
    <n v="5"/>
    <n v="172.65"/>
    <s v="Store C"/>
    <x v="0"/>
    <n v="0.15"/>
    <s v="Alice"/>
    <n v="733.76249999999993"/>
    <x v="4"/>
    <x v="1"/>
    <n v="0"/>
    <s v="REG101257"/>
    <s v="Cust 4287"/>
    <n v="28.3"/>
    <x v="277"/>
    <d v="2024-09-22T00:00:00"/>
    <s v="Ryan"/>
  </r>
  <r>
    <d v="2024-01-02T00:00:00"/>
    <n v="2324.8000000000002"/>
    <n v="464.96000000000004"/>
    <x v="0"/>
    <x v="5"/>
    <n v="16"/>
    <n v="145.30000000000001"/>
    <s v="Store B"/>
    <x v="0"/>
    <n v="0"/>
    <s v="Eva"/>
    <n v="2324.8000000000002"/>
    <x v="2"/>
    <x v="0"/>
    <n v="1"/>
    <s v="REG101258"/>
    <s v="Cust 2236"/>
    <n v="29.64"/>
    <x v="78"/>
    <d v="2024-01-12T00:00:00"/>
    <s v="Eric"/>
  </r>
  <r>
    <d v="2025-02-08T00:00:00"/>
    <n v="545.77800000000002"/>
    <n v="109.15560000000001"/>
    <x v="1"/>
    <x v="6"/>
    <n v="10"/>
    <n v="67.38"/>
    <s v="Store C"/>
    <x v="1"/>
    <n v="0.1"/>
    <s v="Diana"/>
    <n v="606.41999999999996"/>
    <x v="1"/>
    <x v="0"/>
    <n v="1"/>
    <s v="REG101259"/>
    <s v="Cust 5312"/>
    <n v="20.58"/>
    <x v="658"/>
    <d v="2025-02-18T00:00:00"/>
    <s v="Sophie"/>
  </r>
  <r>
    <d v="2025-03-04T00:00:00"/>
    <n v="2116.9499999999998"/>
    <n v="423.39"/>
    <x v="1"/>
    <x v="6"/>
    <n v="15"/>
    <n v="141.13"/>
    <s v="Store D"/>
    <x v="0"/>
    <n v="0"/>
    <s v="Carlos"/>
    <n v="2116.9499999999998"/>
    <x v="4"/>
    <x v="1"/>
    <n v="0"/>
    <s v="REG101260"/>
    <s v="Cust 5096"/>
    <n v="19.63"/>
    <x v="155"/>
    <d v="2025-03-12T00:00:00"/>
    <s v="Sophie"/>
  </r>
  <r>
    <d v="2024-03-12T00:00:00"/>
    <n v="482.485525"/>
    <n v="96.497105000000005"/>
    <x v="3"/>
    <x v="5"/>
    <n v="1"/>
    <n v="534.61"/>
    <s v="Store D"/>
    <x v="1"/>
    <n v="0.05"/>
    <s v="Frank"/>
    <n v="507.87950000000001"/>
    <x v="0"/>
    <x v="1"/>
    <n v="0"/>
    <s v="REG101261"/>
    <s v="Cust 1162"/>
    <n v="22.68"/>
    <x v="690"/>
    <d v="2024-03-21T00:00:00"/>
    <s v="Cameron"/>
  </r>
  <r>
    <d v="2024-07-03T00:00:00"/>
    <n v="4548.9248999999991"/>
    <n v="909.7849799999999"/>
    <x v="0"/>
    <x v="1"/>
    <n v="9"/>
    <n v="560.04"/>
    <s v="Store D"/>
    <x v="1"/>
    <n v="0.05"/>
    <s v="Carlos"/>
    <n v="4788.3419999999996"/>
    <x v="1"/>
    <x v="2"/>
    <n v="0"/>
    <s v="REG101262"/>
    <s v="Cust 1669"/>
    <n v="22.81"/>
    <x v="691"/>
    <d v="2024-07-07T00:00:00"/>
    <s v="Eric"/>
  </r>
  <r>
    <d v="2025-01-05T00:00:00"/>
    <n v="1784.0736000000002"/>
    <n v="356.81472000000008"/>
    <x v="2"/>
    <x v="0"/>
    <n v="8"/>
    <n v="275.32"/>
    <s v="Store D"/>
    <x v="1"/>
    <n v="0.1"/>
    <s v="Diana"/>
    <n v="1982.3040000000001"/>
    <x v="4"/>
    <x v="1"/>
    <n v="0"/>
    <s v="REG101263"/>
    <s v="Cust 6213"/>
    <n v="18.260000000000002"/>
    <x v="689"/>
    <d v="2025-01-13T00:00:00"/>
    <s v="Ryan"/>
  </r>
  <r>
    <d v="2024-03-21T00:00:00"/>
    <n v="286.26397499999996"/>
    <n v="57.252794999999992"/>
    <x v="0"/>
    <x v="1"/>
    <n v="3"/>
    <n v="105.73"/>
    <s v="Store D"/>
    <x v="1"/>
    <n v="0.05"/>
    <s v="Bob"/>
    <n v="301.33049999999997"/>
    <x v="3"/>
    <x v="0"/>
    <n v="1"/>
    <s v="REG101264"/>
    <s v="Cust 7659"/>
    <n v="12.12"/>
    <x v="58"/>
    <d v="2024-03-28T00:00:00"/>
    <s v="Eric"/>
  </r>
  <r>
    <d v="2025-03-28T00:00:00"/>
    <n v="6911.0414999999985"/>
    <n v="1382.2082999999998"/>
    <x v="3"/>
    <x v="4"/>
    <n v="15"/>
    <n v="568.80999999999995"/>
    <s v="Store D"/>
    <x v="1"/>
    <n v="0.1"/>
    <s v="Frank"/>
    <n v="7678.9349999999986"/>
    <x v="1"/>
    <x v="3"/>
    <n v="0"/>
    <s v="REG101265"/>
    <s v="Cust 2894"/>
    <n v="8.5399999999999991"/>
    <x v="136"/>
    <d v="2025-04-03T00:00:00"/>
    <s v="Cameron"/>
  </r>
  <r>
    <d v="2025-04-13T00:00:00"/>
    <n v="3084.3180000000002"/>
    <n v="616.86360000000013"/>
    <x v="3"/>
    <x v="0"/>
    <n v="20"/>
    <n v="190.39"/>
    <s v="Store B"/>
    <x v="1"/>
    <n v="0.1"/>
    <s v="Bob"/>
    <n v="3427.02"/>
    <x v="1"/>
    <x v="1"/>
    <n v="0"/>
    <s v="REG101266"/>
    <s v="Cust 1457"/>
    <n v="49.93"/>
    <x v="91"/>
    <d v="2025-04-18T00:00:00"/>
    <s v="Cameron"/>
  </r>
  <r>
    <d v="2024-04-30T00:00:00"/>
    <n v="7431.5550249999987"/>
    <n v="1486.3110049999998"/>
    <x v="4"/>
    <x v="3"/>
    <n v="19"/>
    <n v="433.39"/>
    <s v="Store C"/>
    <x v="1"/>
    <n v="0.05"/>
    <s v="Bob"/>
    <n v="7822.6894999999986"/>
    <x v="0"/>
    <x v="2"/>
    <n v="0"/>
    <s v="REG101267"/>
    <s v="Cust 2410"/>
    <n v="7.59"/>
    <x v="401"/>
    <d v="2024-05-09T00:00:00"/>
    <s v="Wendy"/>
  </r>
  <r>
    <d v="2025-02-15T00:00:00"/>
    <n v="66.990200000000002"/>
    <n v="13.398040000000002"/>
    <x v="1"/>
    <x v="1"/>
    <n v="1"/>
    <n v="92.72"/>
    <s v="Store C"/>
    <x v="0"/>
    <n v="0.15"/>
    <s v="Eva"/>
    <n v="78.811999999999998"/>
    <x v="3"/>
    <x v="2"/>
    <n v="0"/>
    <s v="REG101268"/>
    <s v="Cust 4723"/>
    <n v="48.46"/>
    <x v="664"/>
    <d v="2025-02-19T00:00:00"/>
    <s v="Sophie"/>
  </r>
  <r>
    <d v="2025-02-18T00:00:00"/>
    <n v="213.2568"/>
    <n v="42.651360000000004"/>
    <x v="4"/>
    <x v="0"/>
    <n v="1"/>
    <n v="263.27999999999997"/>
    <s v="Store D"/>
    <x v="0"/>
    <n v="0.1"/>
    <s v="Eva"/>
    <n v="236.952"/>
    <x v="2"/>
    <x v="1"/>
    <n v="0"/>
    <s v="REG101269"/>
    <s v="Cust 1586"/>
    <n v="36.28"/>
    <x v="616"/>
    <d v="2025-02-23T00:00:00"/>
    <s v="Wendy"/>
  </r>
  <r>
    <d v="2023-09-08T00:00:00"/>
    <n v="3944.49"/>
    <n v="788.89800000000002"/>
    <x v="4"/>
    <x v="1"/>
    <n v="11"/>
    <n v="358.59"/>
    <s v="Store B"/>
    <x v="0"/>
    <n v="0"/>
    <s v="Frank"/>
    <n v="3944.49"/>
    <x v="2"/>
    <x v="3"/>
    <n v="0"/>
    <s v="REG101270"/>
    <s v="Cust 5049"/>
    <n v="29.19"/>
    <x v="247"/>
    <d v="2023-09-10T00:00:00"/>
    <s v="Wendy"/>
  </r>
  <r>
    <d v="2024-02-04T00:00:00"/>
    <n v="10719.54"/>
    <n v="2143.9080000000004"/>
    <x v="3"/>
    <x v="5"/>
    <n v="18"/>
    <n v="595.53"/>
    <s v="Store B"/>
    <x v="1"/>
    <n v="0"/>
    <s v="Frank"/>
    <n v="10719.54"/>
    <x v="4"/>
    <x v="2"/>
    <n v="0"/>
    <s v="REG101271"/>
    <s v="Cust 9534"/>
    <n v="42.91"/>
    <x v="692"/>
    <d v="2024-02-06T00:00:00"/>
    <s v="Cameron"/>
  </r>
  <r>
    <d v="2024-11-25T00:00:00"/>
    <n v="5809.2467999999999"/>
    <n v="1161.8493599999999"/>
    <x v="2"/>
    <x v="4"/>
    <n v="14"/>
    <n v="574.32000000000005"/>
    <s v="Store D"/>
    <x v="0"/>
    <n v="0.15"/>
    <s v="Diana"/>
    <n v="6834.4080000000004"/>
    <x v="2"/>
    <x v="1"/>
    <n v="0"/>
    <s v="REG101272"/>
    <s v="Cust 5693"/>
    <n v="12.07"/>
    <x v="681"/>
    <d v="2024-12-05T00:00:00"/>
    <s v="Ryan"/>
  </r>
  <r>
    <d v="2024-12-30T00:00:00"/>
    <n v="7994.34"/>
    <n v="1598.8680000000002"/>
    <x v="2"/>
    <x v="0"/>
    <n v="18"/>
    <n v="444.13"/>
    <s v="Store D"/>
    <x v="1"/>
    <n v="0"/>
    <s v="Frank"/>
    <n v="7994.34"/>
    <x v="4"/>
    <x v="1"/>
    <n v="0"/>
    <s v="REG101273"/>
    <s v="Cust 6950"/>
    <n v="5.41"/>
    <x v="671"/>
    <d v="2025-01-02T00:00:00"/>
    <s v="Ryan"/>
  </r>
  <r>
    <d v="2023-09-05T00:00:00"/>
    <n v="6640.3233000000009"/>
    <n v="1328.0646600000002"/>
    <x v="4"/>
    <x v="5"/>
    <n v="19"/>
    <n v="431.47"/>
    <s v="Store A"/>
    <x v="1"/>
    <n v="0.1"/>
    <s v="Eva"/>
    <n v="7378.1370000000006"/>
    <x v="1"/>
    <x v="2"/>
    <n v="0"/>
    <s v="REG101274"/>
    <s v="Cust 7098"/>
    <n v="49.23"/>
    <x v="569"/>
    <d v="2023-09-10T00:00:00"/>
    <s v="Wendy"/>
  </r>
  <r>
    <d v="2023-08-01T00:00:00"/>
    <n v="1282.31"/>
    <n v="256.46199999999999"/>
    <x v="4"/>
    <x v="6"/>
    <n v="19"/>
    <n v="67.489999999999995"/>
    <s v="Store C"/>
    <x v="1"/>
    <n v="0"/>
    <s v="Frank"/>
    <n v="1282.31"/>
    <x v="3"/>
    <x v="1"/>
    <n v="0"/>
    <s v="REG101275"/>
    <s v="Cust 8300"/>
    <n v="32.04"/>
    <x v="588"/>
    <d v="2023-08-11T00:00:00"/>
    <s v="Wendy"/>
  </r>
  <r>
    <d v="2023-01-06T00:00:00"/>
    <n v="204.012325"/>
    <n v="40.802465000000005"/>
    <x v="3"/>
    <x v="5"/>
    <n v="11"/>
    <n v="25.67"/>
    <s v="Store C"/>
    <x v="1"/>
    <n v="0.15"/>
    <s v="Carlos"/>
    <n v="240.0145"/>
    <x v="2"/>
    <x v="1"/>
    <n v="0"/>
    <s v="REG101276"/>
    <s v="Cust 9557"/>
    <n v="30.12"/>
    <x v="463"/>
    <d v="2023-01-08T00:00:00"/>
    <s v="Cameron"/>
  </r>
  <r>
    <d v="2025-05-02T00:00:00"/>
    <n v="1474.76"/>
    <n v="294.952"/>
    <x v="3"/>
    <x v="1"/>
    <n v="4"/>
    <n v="368.69"/>
    <s v="Store D"/>
    <x v="0"/>
    <n v="0"/>
    <s v="Diana"/>
    <n v="1474.76"/>
    <x v="1"/>
    <x v="2"/>
    <n v="0"/>
    <s v="REG101277"/>
    <s v="Cust 8787"/>
    <n v="48.57"/>
    <x v="693"/>
    <d v="2025-05-06T00:00:00"/>
    <s v="Cameron"/>
  </r>
  <r>
    <d v="2023-12-21T00:00:00"/>
    <n v="1623.6606750000001"/>
    <n v="324.73213500000003"/>
    <x v="4"/>
    <x v="4"/>
    <n v="7"/>
    <n v="257.01"/>
    <s v="Store D"/>
    <x v="1"/>
    <n v="0.05"/>
    <s v="Eva"/>
    <n v="1709.1165000000001"/>
    <x v="2"/>
    <x v="3"/>
    <n v="0"/>
    <s v="REG101278"/>
    <s v="Cust 9717"/>
    <n v="35.520000000000003"/>
    <x v="146"/>
    <d v="2023-12-28T00:00:00"/>
    <s v="Wendy"/>
  </r>
  <r>
    <d v="2024-09-10T00:00:00"/>
    <n v="1197.56"/>
    <n v="239.512"/>
    <x v="0"/>
    <x v="0"/>
    <n v="14"/>
    <n v="85.54"/>
    <s v="Store B"/>
    <x v="0"/>
    <n v="0"/>
    <s v="Frank"/>
    <n v="1197.56"/>
    <x v="1"/>
    <x v="0"/>
    <n v="0"/>
    <s v="REG101279"/>
    <s v="Cust 2719"/>
    <n v="16.079999999999998"/>
    <x v="328"/>
    <d v="2024-09-14T00:00:00"/>
    <s v="Eric"/>
  </r>
  <r>
    <d v="2024-04-05T00:00:00"/>
    <n v="1740.069"/>
    <n v="348.0138"/>
    <x v="3"/>
    <x v="3"/>
    <n v="9"/>
    <n v="267.60000000000002"/>
    <s v="Store D"/>
    <x v="1"/>
    <n v="0.15"/>
    <s v="Eva"/>
    <n v="2047.14"/>
    <x v="2"/>
    <x v="0"/>
    <n v="0"/>
    <s v="REG101280"/>
    <s v="Cust 6203"/>
    <n v="8.48"/>
    <x v="393"/>
    <d v="2024-04-10T00:00:00"/>
    <s v="Cameron"/>
  </r>
  <r>
    <d v="2023-07-26T00:00:00"/>
    <n v="2837.7993750000001"/>
    <n v="567.55987500000003"/>
    <x v="0"/>
    <x v="2"/>
    <n v="15"/>
    <n v="261.85000000000002"/>
    <s v="Store D"/>
    <x v="0"/>
    <n v="0.15"/>
    <s v="Diana"/>
    <n v="3338.5875000000001"/>
    <x v="0"/>
    <x v="1"/>
    <n v="0"/>
    <s v="REG101281"/>
    <s v="Cust 9151"/>
    <n v="40.68"/>
    <x v="238"/>
    <d v="2023-07-31T00:00:00"/>
    <s v="Eric"/>
  </r>
  <r>
    <d v="2023-11-12T00:00:00"/>
    <n v="1981.2311749999999"/>
    <n v="396.24623500000001"/>
    <x v="0"/>
    <x v="6"/>
    <n v="11"/>
    <n v="199.57"/>
    <s v="Store A"/>
    <x v="1"/>
    <n v="0.05"/>
    <s v="Bob"/>
    <n v="2085.5065"/>
    <x v="3"/>
    <x v="1"/>
    <n v="0"/>
    <s v="REG101282"/>
    <s v="Cust 5096"/>
    <n v="48.94"/>
    <x v="694"/>
    <d v="2023-11-14T00:00:00"/>
    <s v="Eric"/>
  </r>
  <r>
    <d v="2025-04-18T00:00:00"/>
    <n v="2278.6319999999992"/>
    <n v="455.72639999999984"/>
    <x v="3"/>
    <x v="1"/>
    <n v="5"/>
    <n v="504.96"/>
    <s v="Store C"/>
    <x v="1"/>
    <n v="0.05"/>
    <s v="Diana"/>
    <n v="2398.559999999999"/>
    <x v="1"/>
    <x v="0"/>
    <n v="0"/>
    <s v="REG101283"/>
    <s v="Cust 4250"/>
    <n v="22.12"/>
    <x v="308"/>
    <d v="2025-04-20T00:00:00"/>
    <s v="Cameron"/>
  </r>
  <r>
    <d v="2023-08-12T00:00:00"/>
    <n v="204.61479999999997"/>
    <n v="40.922959999999996"/>
    <x v="1"/>
    <x v="3"/>
    <n v="8"/>
    <n v="28.34"/>
    <s v="Store C"/>
    <x v="0"/>
    <n v="0.05"/>
    <s v="Alice"/>
    <n v="215.38399999999999"/>
    <x v="4"/>
    <x v="3"/>
    <n v="1"/>
    <s v="REG101284"/>
    <s v="Cust 1276"/>
    <n v="23.19"/>
    <x v="181"/>
    <d v="2023-08-19T00:00:00"/>
    <s v="Sophie"/>
  </r>
  <r>
    <d v="2024-12-12T00:00:00"/>
    <n v="6817.9400999999998"/>
    <n v="1363.5880200000001"/>
    <x v="4"/>
    <x v="6"/>
    <n v="17"/>
    <n v="495.13"/>
    <s v="Store D"/>
    <x v="0"/>
    <n v="0.1"/>
    <s v="Alice"/>
    <n v="7575.4889999999996"/>
    <x v="0"/>
    <x v="0"/>
    <n v="1"/>
    <s v="REG101285"/>
    <s v="Cust 6063"/>
    <n v="26.37"/>
    <x v="621"/>
    <d v="2024-12-21T00:00:00"/>
    <s v="Wendy"/>
  </r>
  <r>
    <d v="2025-05-07T00:00:00"/>
    <n v="1794.8017500000001"/>
    <n v="358.96035000000006"/>
    <x v="4"/>
    <x v="1"/>
    <n v="14"/>
    <n v="142.05000000000001"/>
    <s v="Store D"/>
    <x v="1"/>
    <n v="0.05"/>
    <s v="Frank"/>
    <n v="1889.2650000000001"/>
    <x v="1"/>
    <x v="1"/>
    <n v="0"/>
    <s v="REG101286"/>
    <s v="Cust 7604"/>
    <n v="33.65"/>
    <x v="695"/>
    <d v="2025-05-13T00:00:00"/>
    <s v="Wendy"/>
  </r>
  <r>
    <d v="2025-03-10T00:00:00"/>
    <n v="8069.76"/>
    <n v="1613.9520000000002"/>
    <x v="0"/>
    <x v="3"/>
    <n v="16"/>
    <n v="504.36"/>
    <s v="Store D"/>
    <x v="0"/>
    <n v="0"/>
    <s v="Bob"/>
    <n v="8069.76"/>
    <x v="3"/>
    <x v="3"/>
    <n v="1"/>
    <s v="REG101287"/>
    <s v="Cust 9402"/>
    <n v="11.67"/>
    <x v="506"/>
    <d v="2025-03-13T00:00:00"/>
    <s v="Eric"/>
  </r>
  <r>
    <d v="2025-06-01T00:00:00"/>
    <n v="855.4"/>
    <n v="171.08"/>
    <x v="0"/>
    <x v="2"/>
    <n v="7"/>
    <n v="122.2"/>
    <s v="Store B"/>
    <x v="1"/>
    <n v="0"/>
    <s v="Carlos"/>
    <n v="855.4"/>
    <x v="2"/>
    <x v="3"/>
    <n v="0"/>
    <s v="REG101288"/>
    <s v="Cust 4398"/>
    <n v="30.21"/>
    <x v="216"/>
    <d v="2025-06-10T00:00:00"/>
    <s v="Eric"/>
  </r>
  <r>
    <d v="2025-05-19T00:00:00"/>
    <n v="1711.5591499999998"/>
    <n v="342.31182999999999"/>
    <x v="4"/>
    <x v="3"/>
    <n v="7"/>
    <n v="338.42"/>
    <s v="Store B"/>
    <x v="1"/>
    <n v="0.15"/>
    <s v="Alice"/>
    <n v="2013.5989999999999"/>
    <x v="0"/>
    <x v="0"/>
    <n v="0"/>
    <s v="REG101289"/>
    <s v="Cust 8770"/>
    <n v="5.82"/>
    <x v="460"/>
    <d v="2025-05-21T00:00:00"/>
    <s v="Wendy"/>
  </r>
  <r>
    <d v="2023-02-08T00:00:00"/>
    <n v="899"/>
    <n v="179.8"/>
    <x v="0"/>
    <x v="5"/>
    <n v="4"/>
    <n v="224.75"/>
    <s v="Store D"/>
    <x v="0"/>
    <n v="0"/>
    <s v="Frank"/>
    <n v="899"/>
    <x v="3"/>
    <x v="3"/>
    <n v="0"/>
    <s v="REG101290"/>
    <s v="Cust 2148"/>
    <n v="43.86"/>
    <x v="162"/>
    <d v="2023-02-16T00:00:00"/>
    <s v="Eric"/>
  </r>
  <r>
    <d v="2025-04-24T00:00:00"/>
    <n v="6605.8415999999997"/>
    <n v="1321.16832"/>
    <x v="3"/>
    <x v="2"/>
    <n v="16"/>
    <n v="509.71"/>
    <s v="Store C"/>
    <x v="0"/>
    <n v="0.1"/>
    <s v="Carlos"/>
    <n v="7339.8239999999996"/>
    <x v="4"/>
    <x v="3"/>
    <n v="0"/>
    <s v="REG101291"/>
    <s v="Cust 4107"/>
    <n v="41.78"/>
    <x v="696"/>
    <d v="2025-05-03T00:00:00"/>
    <s v="Cameron"/>
  </r>
  <r>
    <d v="2024-09-01T00:00:00"/>
    <n v="3374.3303999999998"/>
    <n v="674.86608000000001"/>
    <x v="2"/>
    <x v="5"/>
    <n v="14"/>
    <n v="297.56"/>
    <s v="Store B"/>
    <x v="0"/>
    <n v="0.1"/>
    <s v="Diana"/>
    <n v="3749.2559999999999"/>
    <x v="3"/>
    <x v="0"/>
    <n v="0"/>
    <s v="REG101292"/>
    <s v="Cust 4450"/>
    <n v="31.44"/>
    <x v="404"/>
    <d v="2024-09-08T00:00:00"/>
    <s v="Ryan"/>
  </r>
  <r>
    <d v="2024-11-07T00:00:00"/>
    <n v="4283.6530750000002"/>
    <n v="856.73061500000006"/>
    <x v="3"/>
    <x v="6"/>
    <n v="13"/>
    <n v="365.11"/>
    <s v="Store C"/>
    <x v="1"/>
    <n v="0.05"/>
    <s v="Diana"/>
    <n v="4509.1085000000003"/>
    <x v="0"/>
    <x v="3"/>
    <n v="0"/>
    <s v="REG101293"/>
    <s v="Cust 8233"/>
    <n v="13.97"/>
    <x v="697"/>
    <d v="2024-11-13T00:00:00"/>
    <s v="Cameron"/>
  </r>
  <r>
    <d v="2024-11-29T00:00:00"/>
    <n v="139.13"/>
    <n v="27.826000000000001"/>
    <x v="0"/>
    <x v="3"/>
    <n v="1"/>
    <n v="139.13"/>
    <s v="Store C"/>
    <x v="0"/>
    <n v="0"/>
    <s v="Carlos"/>
    <n v="139.13"/>
    <x v="4"/>
    <x v="3"/>
    <n v="1"/>
    <s v="REG101294"/>
    <s v="Cust 9012"/>
    <n v="35.92"/>
    <x v="682"/>
    <d v="2024-12-02T00:00:00"/>
    <s v="Eric"/>
  </r>
  <r>
    <d v="2023-04-10T00:00:00"/>
    <n v="3263.34"/>
    <n v="652.66800000000012"/>
    <x v="4"/>
    <x v="3"/>
    <n v="6"/>
    <n v="543.89"/>
    <s v="Store C"/>
    <x v="1"/>
    <n v="0"/>
    <s v="Bob"/>
    <n v="3263.34"/>
    <x v="4"/>
    <x v="3"/>
    <n v="1"/>
    <s v="REG101295"/>
    <s v="Cust 1496"/>
    <n v="13.19"/>
    <x v="154"/>
    <d v="2023-04-20T00:00:00"/>
    <s v="Wendy"/>
  </r>
  <r>
    <d v="2024-01-10T00:00:00"/>
    <n v="4174.3"/>
    <n v="834.86000000000013"/>
    <x v="2"/>
    <x v="6"/>
    <n v="19"/>
    <n v="219.7"/>
    <s v="Store A"/>
    <x v="1"/>
    <n v="0"/>
    <s v="Alice"/>
    <n v="4174.3"/>
    <x v="4"/>
    <x v="0"/>
    <n v="0"/>
    <s v="REG101296"/>
    <s v="Cust 9365"/>
    <n v="15.38"/>
    <x v="560"/>
    <d v="2024-01-16T00:00:00"/>
    <s v="Ryan"/>
  </r>
  <r>
    <d v="2025-05-17T00:00:00"/>
    <n v="510.85109999999992"/>
    <n v="102.17021999999999"/>
    <x v="1"/>
    <x v="1"/>
    <n v="6"/>
    <n v="94.34"/>
    <s v="Store C"/>
    <x v="1"/>
    <n v="0.05"/>
    <s v="Alice"/>
    <n v="537.73799999999994"/>
    <x v="4"/>
    <x v="2"/>
    <n v="1"/>
    <s v="REG101297"/>
    <s v="Cust 1392"/>
    <n v="49.26"/>
    <x v="347"/>
    <d v="2025-05-23T00:00:00"/>
    <s v="Sophie"/>
  </r>
  <r>
    <d v="2024-07-26T00:00:00"/>
    <n v="3163.9864499999999"/>
    <n v="632.79728999999998"/>
    <x v="3"/>
    <x v="0"/>
    <n v="9"/>
    <n v="486.58"/>
    <s v="Store A"/>
    <x v="1"/>
    <n v="0.15"/>
    <s v="Alice"/>
    <n v="3722.337"/>
    <x v="0"/>
    <x v="0"/>
    <n v="0"/>
    <s v="REG101298"/>
    <s v="Cust 3474"/>
    <n v="38.72"/>
    <x v="698"/>
    <d v="2024-07-30T00:00:00"/>
    <s v="Cameron"/>
  </r>
  <r>
    <d v="2024-12-26T00:00:00"/>
    <n v="5018.7161999999989"/>
    <n v="1003.7432399999998"/>
    <x v="1"/>
    <x v="2"/>
    <n v="12"/>
    <n v="578.86"/>
    <s v="Store D"/>
    <x v="1"/>
    <n v="0.15"/>
    <s v="Frank"/>
    <n v="5904.3719999999994"/>
    <x v="4"/>
    <x v="0"/>
    <n v="0"/>
    <s v="REG101299"/>
    <s v="Cust 2111"/>
    <n v="25.84"/>
    <x v="215"/>
    <d v="2025-01-03T00:00:00"/>
    <s v="Sophie"/>
  </r>
  <r>
    <d v="2025-01-23T00:00:00"/>
    <n v="1378.16"/>
    <n v="275.63200000000001"/>
    <x v="0"/>
    <x v="5"/>
    <n v="7"/>
    <n v="196.88"/>
    <s v="Store C"/>
    <x v="1"/>
    <n v="0"/>
    <s v="Diana"/>
    <n v="1378.16"/>
    <x v="3"/>
    <x v="1"/>
    <n v="0"/>
    <s v="REG101300"/>
    <s v="Cust 9506"/>
    <n v="44.92"/>
    <x v="187"/>
    <d v="2025-01-31T00:00:00"/>
    <s v="Eric"/>
  </r>
  <r>
    <d v="2024-03-25T00:00:00"/>
    <n v="2530.6343999999999"/>
    <n v="506.12688000000003"/>
    <x v="1"/>
    <x v="1"/>
    <n v="7"/>
    <n v="446.32"/>
    <s v="Store B"/>
    <x v="0"/>
    <n v="0.1"/>
    <s v="Alice"/>
    <n v="2811.8159999999998"/>
    <x v="3"/>
    <x v="3"/>
    <n v="0"/>
    <s v="REG101301"/>
    <s v="Cust 2341"/>
    <n v="47.23"/>
    <x v="699"/>
    <d v="2024-04-01T00:00:00"/>
    <s v="Sophie"/>
  </r>
  <r>
    <d v="2025-03-04T00:00:00"/>
    <n v="4921.18"/>
    <n v="984.2360000000001"/>
    <x v="3"/>
    <x v="5"/>
    <n v="11"/>
    <n v="447.38"/>
    <s v="Store D"/>
    <x v="0"/>
    <n v="0"/>
    <s v="Alice"/>
    <n v="4921.18"/>
    <x v="1"/>
    <x v="1"/>
    <n v="0"/>
    <s v="REG101302"/>
    <s v="Cust 7035"/>
    <n v="36.72"/>
    <x v="155"/>
    <d v="2025-03-11T00:00:00"/>
    <s v="Cameron"/>
  </r>
  <r>
    <d v="2023-10-20T00:00:00"/>
    <n v="3122.3556000000003"/>
    <n v="624.47112000000016"/>
    <x v="1"/>
    <x v="2"/>
    <n v="14"/>
    <n v="275.33999999999997"/>
    <s v="Store B"/>
    <x v="1"/>
    <n v="0.1"/>
    <s v="Carlos"/>
    <n v="3469.2840000000001"/>
    <x v="0"/>
    <x v="3"/>
    <n v="1"/>
    <s v="REG101303"/>
    <s v="Cust 5935"/>
    <n v="32.799999999999997"/>
    <x v="700"/>
    <d v="2023-10-24T00:00:00"/>
    <s v="Sophie"/>
  </r>
  <r>
    <d v="2024-09-19T00:00:00"/>
    <n v="39.939799999999998"/>
    <n v="7.9879600000000002"/>
    <x v="3"/>
    <x v="2"/>
    <n v="2"/>
    <n v="27.64"/>
    <s v="Store B"/>
    <x v="1"/>
    <n v="0.15"/>
    <s v="Frank"/>
    <n v="46.988"/>
    <x v="2"/>
    <x v="0"/>
    <n v="0"/>
    <s v="REG101304"/>
    <s v="Cust 3291"/>
    <n v="21.73"/>
    <x v="701"/>
    <d v="2024-09-28T00:00:00"/>
    <s v="Cameron"/>
  </r>
  <r>
    <d v="2023-09-23T00:00:00"/>
    <n v="7468.1"/>
    <n v="1493.6200000000001"/>
    <x v="2"/>
    <x v="4"/>
    <n v="17"/>
    <n v="439.3"/>
    <s v="Store B"/>
    <x v="1"/>
    <n v="0"/>
    <s v="Frank"/>
    <n v="7468.1"/>
    <x v="0"/>
    <x v="0"/>
    <n v="0"/>
    <s v="REG101305"/>
    <s v="Cust 5258"/>
    <n v="12.87"/>
    <x v="584"/>
    <d v="2023-09-26T00:00:00"/>
    <s v="Ryan"/>
  </r>
  <r>
    <d v="2024-12-31T00:00:00"/>
    <n v="8607.15"/>
    <n v="1721.43"/>
    <x v="0"/>
    <x v="6"/>
    <n v="15"/>
    <n v="573.80999999999995"/>
    <s v="Store C"/>
    <x v="1"/>
    <n v="0"/>
    <s v="Alice"/>
    <n v="8607.15"/>
    <x v="1"/>
    <x v="1"/>
    <n v="0"/>
    <s v="REG101306"/>
    <s v="Cust 4715"/>
    <n v="35.869999999999997"/>
    <x v="702"/>
    <d v="2025-01-02T00:00:00"/>
    <s v="Eric"/>
  </r>
  <r>
    <d v="2024-01-23T00:00:00"/>
    <n v="6174.1288499999991"/>
    <n v="1234.8257699999999"/>
    <x v="2"/>
    <x v="2"/>
    <n v="19"/>
    <n v="360.06"/>
    <s v="Store C"/>
    <x v="0"/>
    <n v="0.05"/>
    <s v="Eva"/>
    <n v="6499.0829999999996"/>
    <x v="3"/>
    <x v="0"/>
    <n v="0"/>
    <s v="REG101307"/>
    <s v="Cust 3106"/>
    <n v="33.19"/>
    <x v="145"/>
    <d v="2024-01-31T00:00:00"/>
    <s v="Ryan"/>
  </r>
  <r>
    <d v="2023-06-13T00:00:00"/>
    <n v="3034.5840000000012"/>
    <n v="606.91680000000031"/>
    <x v="0"/>
    <x v="0"/>
    <n v="7"/>
    <n v="535.20000000000005"/>
    <s v="Store C"/>
    <x v="1"/>
    <n v="0.1"/>
    <s v="Frank"/>
    <n v="3371.7600000000011"/>
    <x v="3"/>
    <x v="3"/>
    <n v="0"/>
    <s v="REG101308"/>
    <s v="Cust 9606"/>
    <n v="10.44"/>
    <x v="343"/>
    <d v="2023-06-23T00:00:00"/>
    <s v="Eric"/>
  </r>
  <r>
    <d v="2023-07-01T00:00:00"/>
    <n v="3061.47"/>
    <n v="612.29399999999998"/>
    <x v="0"/>
    <x v="3"/>
    <n v="19"/>
    <n v="161.13"/>
    <s v="Store A"/>
    <x v="0"/>
    <n v="0"/>
    <s v="Diana"/>
    <n v="3061.47"/>
    <x v="2"/>
    <x v="0"/>
    <n v="0"/>
    <s v="REG101309"/>
    <s v="Cust 9182"/>
    <n v="5.46"/>
    <x v="430"/>
    <d v="2023-07-06T00:00:00"/>
    <s v="Eric"/>
  </r>
  <r>
    <d v="2025-03-22T00:00:00"/>
    <n v="235.24599999999998"/>
    <n v="47.049199999999999"/>
    <x v="1"/>
    <x v="0"/>
    <n v="11"/>
    <n v="29.6"/>
    <s v="Store D"/>
    <x v="1"/>
    <n v="0.15"/>
    <s v="Carlos"/>
    <n v="276.76"/>
    <x v="4"/>
    <x v="0"/>
    <n v="1"/>
    <s v="REG101310"/>
    <s v="Cust 6299"/>
    <n v="34.96"/>
    <x v="61"/>
    <d v="2025-03-25T00:00:00"/>
    <s v="Sophie"/>
  </r>
  <r>
    <d v="2025-02-07T00:00:00"/>
    <n v="1998.6084000000001"/>
    <n v="399.72168000000005"/>
    <x v="1"/>
    <x v="0"/>
    <n v="16"/>
    <n v="172.89"/>
    <s v="Store B"/>
    <x v="0"/>
    <n v="0.15"/>
    <s v="Diana"/>
    <n v="2351.3040000000001"/>
    <x v="2"/>
    <x v="0"/>
    <n v="1"/>
    <s v="REG101311"/>
    <s v="Cust 9628"/>
    <n v="41.87"/>
    <x v="439"/>
    <d v="2025-02-15T00:00:00"/>
    <s v="Sophie"/>
  </r>
  <r>
    <d v="2023-10-18T00:00:00"/>
    <n v="240.3"/>
    <n v="48.06"/>
    <x v="2"/>
    <x v="1"/>
    <n v="5"/>
    <n v="48.06"/>
    <s v="Store A"/>
    <x v="0"/>
    <n v="0"/>
    <s v="Alice"/>
    <n v="240.3"/>
    <x v="1"/>
    <x v="0"/>
    <n v="0"/>
    <s v="REG101312"/>
    <s v="Cust 3831"/>
    <n v="19.170000000000002"/>
    <x v="90"/>
    <d v="2023-10-26T00:00:00"/>
    <s v="Ryan"/>
  </r>
  <r>
    <d v="2024-01-02T00:00:00"/>
    <n v="316.1592"/>
    <n v="63.231840000000005"/>
    <x v="3"/>
    <x v="2"/>
    <n v="7"/>
    <n v="55.76"/>
    <s v="Store C"/>
    <x v="0"/>
    <n v="0.1"/>
    <s v="Alice"/>
    <n v="351.28800000000001"/>
    <x v="0"/>
    <x v="3"/>
    <n v="0"/>
    <s v="REG101313"/>
    <s v="Cust 7955"/>
    <n v="38.979999999999997"/>
    <x v="78"/>
    <d v="2024-01-11T00:00:00"/>
    <s v="Cameron"/>
  </r>
  <r>
    <d v="2025-03-08T00:00:00"/>
    <n v="71.036199999999994"/>
    <n v="14.207239999999999"/>
    <x v="1"/>
    <x v="0"/>
    <n v="4"/>
    <n v="24.58"/>
    <s v="Store B"/>
    <x v="0"/>
    <n v="0.15"/>
    <s v="Carlos"/>
    <n v="83.571999999999989"/>
    <x v="3"/>
    <x v="2"/>
    <n v="0"/>
    <s v="REG101314"/>
    <s v="Cust 3939"/>
    <n v="39.869999999999997"/>
    <x v="251"/>
    <d v="2025-03-17T00:00:00"/>
    <s v="Sophie"/>
  </r>
  <r>
    <d v="2023-07-03T00:00:00"/>
    <n v="1009.64"/>
    <n v="201.928"/>
    <x v="4"/>
    <x v="2"/>
    <n v="2"/>
    <n v="504.82"/>
    <s v="Store D"/>
    <x v="1"/>
    <n v="0"/>
    <s v="Carlos"/>
    <n v="1009.64"/>
    <x v="3"/>
    <x v="0"/>
    <n v="0"/>
    <s v="REG101315"/>
    <s v="Cust 7916"/>
    <n v="25.54"/>
    <x v="318"/>
    <d v="2023-07-08T00:00:00"/>
    <s v="Wendy"/>
  </r>
  <r>
    <d v="2023-11-15T00:00:00"/>
    <n v="3799.0053000000003"/>
    <n v="759.80106000000012"/>
    <x v="2"/>
    <x v="5"/>
    <n v="17"/>
    <n v="275.89"/>
    <s v="Store B"/>
    <x v="0"/>
    <n v="0.1"/>
    <s v="Bob"/>
    <n v="4221.1170000000002"/>
    <x v="1"/>
    <x v="0"/>
    <n v="0"/>
    <s v="REG101316"/>
    <s v="Cust 2477"/>
    <n v="15.43"/>
    <x v="703"/>
    <d v="2023-11-22T00:00:00"/>
    <s v="Ryan"/>
  </r>
  <r>
    <d v="2024-02-10T00:00:00"/>
    <n v="951.85529999999994"/>
    <n v="190.37106"/>
    <x v="4"/>
    <x v="2"/>
    <n v="9"/>
    <n v="130.57"/>
    <s v="Store C"/>
    <x v="0"/>
    <n v="0.1"/>
    <s v="Eva"/>
    <n v="1057.617"/>
    <x v="4"/>
    <x v="2"/>
    <n v="0"/>
    <s v="REG101317"/>
    <s v="Cust 3781"/>
    <n v="37.14"/>
    <x v="672"/>
    <d v="2024-02-17T00:00:00"/>
    <s v="Wendy"/>
  </r>
  <r>
    <d v="2025-04-09T00:00:00"/>
    <n v="3752.64"/>
    <n v="750.52800000000002"/>
    <x v="4"/>
    <x v="4"/>
    <n v="12"/>
    <n v="312.72000000000003"/>
    <s v="Store C"/>
    <x v="1"/>
    <n v="0"/>
    <s v="Eva"/>
    <n v="3752.64"/>
    <x v="1"/>
    <x v="3"/>
    <n v="0"/>
    <s v="REG101318"/>
    <s v="Cust 2641"/>
    <n v="18.46"/>
    <x v="320"/>
    <d v="2025-04-19T00:00:00"/>
    <s v="Wendy"/>
  </r>
  <r>
    <d v="2023-09-09T00:00:00"/>
    <n v="3617.1116999999999"/>
    <n v="723.42234000000008"/>
    <x v="4"/>
    <x v="5"/>
    <n v="18"/>
    <n v="222.66"/>
    <s v="Store C"/>
    <x v="0"/>
    <n v="0.05"/>
    <s v="Alice"/>
    <n v="3807.4859999999999"/>
    <x v="1"/>
    <x v="1"/>
    <n v="0"/>
    <s v="REG101319"/>
    <s v="Cust 1969"/>
    <n v="12.91"/>
    <x v="507"/>
    <d v="2023-09-12T00:00:00"/>
    <s v="Wendy"/>
  </r>
  <r>
    <d v="2023-03-19T00:00:00"/>
    <n v="4388.5416249999998"/>
    <n v="877.70832500000006"/>
    <x v="0"/>
    <x v="1"/>
    <n v="13"/>
    <n v="374.05"/>
    <s v="Store D"/>
    <x v="0"/>
    <n v="0.05"/>
    <s v="Diana"/>
    <n v="4619.5174999999999"/>
    <x v="3"/>
    <x v="0"/>
    <n v="0"/>
    <s v="REG101320"/>
    <s v="Cust 4494"/>
    <n v="26.32"/>
    <x v="127"/>
    <d v="2023-03-26T00:00:00"/>
    <s v="Eric"/>
  </r>
  <r>
    <d v="2024-12-31T00:00:00"/>
    <n v="2951.7939000000001"/>
    <n v="590.35878000000002"/>
    <x v="3"/>
    <x v="6"/>
    <n v="11"/>
    <n v="331.29"/>
    <s v="Store B"/>
    <x v="0"/>
    <n v="0.1"/>
    <s v="Alice"/>
    <n v="3279.7710000000002"/>
    <x v="2"/>
    <x v="2"/>
    <n v="0"/>
    <s v="REG101321"/>
    <s v="Cust 8850"/>
    <n v="6.22"/>
    <x v="702"/>
    <d v="2025-01-02T00:00:00"/>
    <s v="Cameron"/>
  </r>
  <r>
    <d v="2023-11-24T00:00:00"/>
    <n v="2667.6"/>
    <n v="533.52"/>
    <x v="3"/>
    <x v="1"/>
    <n v="5"/>
    <n v="533.52"/>
    <s v="Store D"/>
    <x v="0"/>
    <n v="0"/>
    <s v="Carlos"/>
    <n v="2667.6"/>
    <x v="2"/>
    <x v="0"/>
    <n v="1"/>
    <s v="REG101322"/>
    <s v="Cust 3061"/>
    <n v="9.08"/>
    <x v="704"/>
    <d v="2023-11-26T00:00:00"/>
    <s v="Cameron"/>
  </r>
  <r>
    <d v="2025-05-15T00:00:00"/>
    <n v="4922.3999999999996"/>
    <n v="984.48"/>
    <x v="0"/>
    <x v="3"/>
    <n v="10"/>
    <n v="492.24"/>
    <s v="Store A"/>
    <x v="1"/>
    <n v="0"/>
    <s v="Alice"/>
    <n v="4922.3999999999996"/>
    <x v="1"/>
    <x v="2"/>
    <n v="0"/>
    <s v="REG101323"/>
    <s v="Cust 4732"/>
    <n v="38.89"/>
    <x v="705"/>
    <d v="2025-05-22T00:00:00"/>
    <s v="Eric"/>
  </r>
  <r>
    <d v="2025-04-06T00:00:00"/>
    <n v="3534.5639249999995"/>
    <n v="706.91278499999999"/>
    <x v="1"/>
    <x v="5"/>
    <n v="9"/>
    <n v="543.57000000000005"/>
    <s v="Store D"/>
    <x v="1"/>
    <n v="0.15"/>
    <s v="Diana"/>
    <n v="4158.3104999999996"/>
    <x v="3"/>
    <x v="1"/>
    <n v="0"/>
    <s v="REG101324"/>
    <s v="Cust 9889"/>
    <n v="7.54"/>
    <x v="575"/>
    <d v="2025-04-11T00:00:00"/>
    <s v="Sophie"/>
  </r>
  <r>
    <d v="2024-02-06T00:00:00"/>
    <n v="1952.0352"/>
    <n v="390.40704000000005"/>
    <x v="1"/>
    <x v="2"/>
    <n v="17"/>
    <n v="141.76"/>
    <s v="Store D"/>
    <x v="0"/>
    <n v="0.1"/>
    <s v="Bob"/>
    <n v="2168.9279999999999"/>
    <x v="4"/>
    <x v="2"/>
    <n v="1"/>
    <s v="REG101325"/>
    <s v="Cust 2165"/>
    <n v="9.98"/>
    <x v="706"/>
    <d v="2024-02-14T00:00:00"/>
    <s v="Sophie"/>
  </r>
  <r>
    <d v="2025-05-14T00:00:00"/>
    <n v="4886.2439999999997"/>
    <n v="977.24879999999996"/>
    <x v="2"/>
    <x v="0"/>
    <n v="12"/>
    <n v="502.7"/>
    <s v="Store D"/>
    <x v="0"/>
    <n v="0.1"/>
    <s v="Alice"/>
    <n v="5429.16"/>
    <x v="2"/>
    <x v="0"/>
    <n v="0"/>
    <s v="REG101326"/>
    <s v="Cust 6121"/>
    <n v="6.49"/>
    <x v="707"/>
    <d v="2025-05-20T00:00:00"/>
    <s v="Ryan"/>
  </r>
  <r>
    <d v="2023-01-13T00:00:00"/>
    <n v="1402.75575"/>
    <n v="280.55115000000001"/>
    <x v="0"/>
    <x v="5"/>
    <n v="10"/>
    <n v="155.43"/>
    <s v="Store D"/>
    <x v="0"/>
    <n v="0.05"/>
    <s v="Frank"/>
    <n v="1476.585"/>
    <x v="1"/>
    <x v="2"/>
    <n v="0"/>
    <s v="REG101327"/>
    <s v="Cust 4071"/>
    <n v="26.49"/>
    <x v="322"/>
    <d v="2023-01-18T00:00:00"/>
    <s v="Eric"/>
  </r>
  <r>
    <d v="2024-02-19T00:00:00"/>
    <n v="3667.14"/>
    <n v="733.428"/>
    <x v="2"/>
    <x v="5"/>
    <n v="18"/>
    <n v="203.73"/>
    <s v="Store B"/>
    <x v="0"/>
    <n v="0"/>
    <s v="Carlos"/>
    <n v="3667.14"/>
    <x v="1"/>
    <x v="1"/>
    <n v="1"/>
    <s v="REG101328"/>
    <s v="Cust 5249"/>
    <n v="24.98"/>
    <x v="708"/>
    <d v="2024-02-28T00:00:00"/>
    <s v="Ryan"/>
  </r>
  <r>
    <d v="2023-10-07T00:00:00"/>
    <n v="1005.9584249999999"/>
    <n v="201.19168500000001"/>
    <x v="1"/>
    <x v="1"/>
    <n v="3"/>
    <n v="464.11"/>
    <s v="Store B"/>
    <x v="0"/>
    <n v="0.15"/>
    <s v="Alice"/>
    <n v="1183.4804999999999"/>
    <x v="1"/>
    <x v="3"/>
    <n v="0"/>
    <s v="REG101329"/>
    <s v="Cust 4262"/>
    <n v="27.45"/>
    <x v="444"/>
    <d v="2023-10-12T00:00:00"/>
    <s v="Sophie"/>
  </r>
  <r>
    <d v="2024-09-17T00:00:00"/>
    <n v="638.73334999999986"/>
    <n v="127.74666999999998"/>
    <x v="3"/>
    <x v="3"/>
    <n v="2"/>
    <n v="442.03"/>
    <s v="Store B"/>
    <x v="1"/>
    <n v="0.15"/>
    <s v="Carlos"/>
    <n v="751.45099999999991"/>
    <x v="3"/>
    <x v="2"/>
    <n v="0"/>
    <s v="REG101330"/>
    <s v="Cust 9314"/>
    <n v="28.71"/>
    <x v="457"/>
    <d v="2024-09-19T00:00:00"/>
    <s v="Cameron"/>
  </r>
  <r>
    <d v="2023-05-07T00:00:00"/>
    <n v="523.78392499999995"/>
    <n v="104.75678499999999"/>
    <x v="2"/>
    <x v="1"/>
    <n v="7"/>
    <n v="82.91"/>
    <s v="Store A"/>
    <x v="1"/>
    <n v="0.05"/>
    <s v="Eva"/>
    <n v="551.35149999999999"/>
    <x v="3"/>
    <x v="2"/>
    <n v="1"/>
    <s v="REG101331"/>
    <s v="Cust 7703"/>
    <n v="17.03"/>
    <x v="709"/>
    <d v="2023-05-17T00:00:00"/>
    <s v="Ryan"/>
  </r>
  <r>
    <d v="2023-12-12T00:00:00"/>
    <n v="4397.1927999999998"/>
    <n v="879.43856000000005"/>
    <x v="2"/>
    <x v="1"/>
    <n v="13"/>
    <n v="468.16"/>
    <s v="Store B"/>
    <x v="1"/>
    <n v="0.15"/>
    <s v="Alice"/>
    <n v="5173.1679999999997"/>
    <x v="4"/>
    <x v="1"/>
    <n v="0"/>
    <s v="REG101332"/>
    <s v="Cust 8367"/>
    <n v="29.11"/>
    <x v="289"/>
    <d v="2023-12-21T00:00:00"/>
    <s v="Ryan"/>
  </r>
  <r>
    <d v="2025-03-11T00:00:00"/>
    <n v="30.648899999999998"/>
    <n v="6.1297800000000002"/>
    <x v="3"/>
    <x v="5"/>
    <n v="3"/>
    <n v="11.32"/>
    <s v="Store C"/>
    <x v="1"/>
    <n v="0.05"/>
    <s v="Eva"/>
    <n v="32.262"/>
    <x v="0"/>
    <x v="2"/>
    <n v="0"/>
    <s v="REG101333"/>
    <s v="Cust 7872"/>
    <n v="16.39"/>
    <x v="402"/>
    <d v="2025-03-14T00:00:00"/>
    <s v="Cameron"/>
  </r>
  <r>
    <d v="2024-03-29T00:00:00"/>
    <n v="341.4699"/>
    <n v="68.293980000000005"/>
    <x v="0"/>
    <x v="3"/>
    <n v="1"/>
    <n v="378.36"/>
    <s v="Store A"/>
    <x v="1"/>
    <n v="0.05"/>
    <s v="Eva"/>
    <n v="359.44200000000001"/>
    <x v="4"/>
    <x v="3"/>
    <n v="0"/>
    <s v="REG101334"/>
    <s v="Cust 4732"/>
    <n v="7.59"/>
    <x v="604"/>
    <d v="2024-04-07T00:00:00"/>
    <s v="Eric"/>
  </r>
  <r>
    <d v="2024-07-28T00:00:00"/>
    <n v="366.36"/>
    <n v="73.272000000000006"/>
    <x v="4"/>
    <x v="5"/>
    <n v="6"/>
    <n v="61.06"/>
    <s v="Store D"/>
    <x v="0"/>
    <n v="0"/>
    <s v="Bob"/>
    <n v="366.36"/>
    <x v="3"/>
    <x v="1"/>
    <n v="1"/>
    <s v="REG101335"/>
    <s v="Cust 1007"/>
    <n v="49.09"/>
    <x v="710"/>
    <d v="2024-08-05T00:00:00"/>
    <s v="Wendy"/>
  </r>
  <r>
    <d v="2024-07-11T00:00:00"/>
    <n v="1112.0004000000001"/>
    <n v="222.40008000000003"/>
    <x v="1"/>
    <x v="5"/>
    <n v="14"/>
    <n v="98.06"/>
    <s v="Store A"/>
    <x v="0"/>
    <n v="0.1"/>
    <s v="Alice"/>
    <n v="1235.556"/>
    <x v="3"/>
    <x v="1"/>
    <n v="1"/>
    <s v="REG101336"/>
    <s v="Cust 1946"/>
    <n v="10.34"/>
    <x v="156"/>
    <d v="2024-07-21T00:00:00"/>
    <s v="Sophie"/>
  </r>
  <r>
    <d v="2024-07-05T00:00:00"/>
    <n v="1431.8216"/>
    <n v="286.36432000000002"/>
    <x v="4"/>
    <x v="0"/>
    <n v="16"/>
    <n v="123.86"/>
    <s v="Store A"/>
    <x v="0"/>
    <n v="0.15"/>
    <s v="Alice"/>
    <n v="1684.4960000000001"/>
    <x v="1"/>
    <x v="3"/>
    <n v="1"/>
    <s v="REG101337"/>
    <s v="Cust 6347"/>
    <n v="18.02"/>
    <x v="711"/>
    <d v="2024-07-14T00:00:00"/>
    <s v="Wendy"/>
  </r>
  <r>
    <d v="2024-03-19T00:00:00"/>
    <n v="1303.9319999999998"/>
    <n v="260.78639999999996"/>
    <x v="0"/>
    <x v="0"/>
    <n v="16"/>
    <n v="90.3"/>
    <s v="Store C"/>
    <x v="0"/>
    <n v="0.05"/>
    <s v="Diana"/>
    <n v="1372.56"/>
    <x v="0"/>
    <x v="2"/>
    <n v="0"/>
    <s v="REG101338"/>
    <s v="Cust 6499"/>
    <n v="25.25"/>
    <x v="422"/>
    <d v="2024-03-24T00:00:00"/>
    <s v="Eric"/>
  </r>
  <r>
    <d v="2023-12-25T00:00:00"/>
    <n v="6865.8678000000009"/>
    <n v="1373.1735600000002"/>
    <x v="3"/>
    <x v="5"/>
    <n v="18"/>
    <n v="470.91"/>
    <s v="Store C"/>
    <x v="0"/>
    <n v="0.1"/>
    <s v="Eva"/>
    <n v="7628.7420000000011"/>
    <x v="1"/>
    <x v="0"/>
    <n v="0"/>
    <s v="REG101339"/>
    <s v="Cust 1420"/>
    <n v="14.87"/>
    <x v="486"/>
    <d v="2023-12-29T00:00:00"/>
    <s v="Cameron"/>
  </r>
  <r>
    <d v="2024-12-03T00:00:00"/>
    <n v="4601.3999999999996"/>
    <n v="920.28"/>
    <x v="1"/>
    <x v="4"/>
    <n v="12"/>
    <n v="383.45"/>
    <s v="Store C"/>
    <x v="1"/>
    <n v="0"/>
    <s v="Bob"/>
    <n v="4601.3999999999996"/>
    <x v="3"/>
    <x v="0"/>
    <n v="0"/>
    <s v="REG101340"/>
    <s v="Cust 6744"/>
    <n v="11.62"/>
    <x v="581"/>
    <d v="2024-12-05T00:00:00"/>
    <s v="Sophie"/>
  </r>
  <r>
    <d v="2023-09-08T00:00:00"/>
    <n v="4247.4329999999991"/>
    <n v="849.48659999999984"/>
    <x v="0"/>
    <x v="5"/>
    <n v="20"/>
    <n v="293.94"/>
    <s v="Store B"/>
    <x v="1"/>
    <n v="0.15"/>
    <s v="Alice"/>
    <n v="4996.9799999999996"/>
    <x v="2"/>
    <x v="1"/>
    <n v="0"/>
    <s v="REG101341"/>
    <s v="Cust 5690"/>
    <n v="9.2899999999999991"/>
    <x v="247"/>
    <d v="2023-09-15T00:00:00"/>
    <s v="Eric"/>
  </r>
  <r>
    <d v="2024-01-05T00:00:00"/>
    <n v="908.02"/>
    <n v="181.60400000000001"/>
    <x v="0"/>
    <x v="2"/>
    <n v="2"/>
    <n v="454.01"/>
    <s v="Store B"/>
    <x v="0"/>
    <n v="0"/>
    <s v="Diana"/>
    <n v="908.02"/>
    <x v="0"/>
    <x v="2"/>
    <n v="0"/>
    <s v="REG101342"/>
    <s v="Cust 1265"/>
    <n v="9.7799999999999994"/>
    <x v="52"/>
    <d v="2024-01-07T00:00:00"/>
    <s v="Eric"/>
  </r>
  <r>
    <d v="2023-08-03T00:00:00"/>
    <n v="738.01937499999997"/>
    <n v="147.60387499999999"/>
    <x v="1"/>
    <x v="3"/>
    <n v="5"/>
    <n v="163.55000000000001"/>
    <s v="Store D"/>
    <x v="1"/>
    <n v="0.05"/>
    <s v="Frank"/>
    <n v="776.86249999999995"/>
    <x v="4"/>
    <x v="3"/>
    <n v="0"/>
    <s v="REG101343"/>
    <s v="Cust 7676"/>
    <n v="28.9"/>
    <x v="712"/>
    <d v="2023-08-10T00:00:00"/>
    <s v="Sophie"/>
  </r>
  <r>
    <d v="2025-02-11T00:00:00"/>
    <n v="1699.32"/>
    <n v="339.86400000000003"/>
    <x v="2"/>
    <x v="4"/>
    <n v="12"/>
    <n v="141.61000000000001"/>
    <s v="Store B"/>
    <x v="0"/>
    <n v="0"/>
    <s v="Frank"/>
    <n v="1699.32"/>
    <x v="2"/>
    <x v="2"/>
    <n v="0"/>
    <s v="REG101344"/>
    <s v="Cust 4442"/>
    <n v="11.72"/>
    <x v="668"/>
    <d v="2025-02-21T00:00:00"/>
    <s v="Ryan"/>
  </r>
  <r>
    <d v="2023-06-17T00:00:00"/>
    <n v="1614.3948"/>
    <n v="322.87896000000001"/>
    <x v="1"/>
    <x v="3"/>
    <n v="6"/>
    <n v="332.18"/>
    <s v="Store B"/>
    <x v="0"/>
    <n v="0.1"/>
    <s v="Bob"/>
    <n v="1793.7719999999999"/>
    <x v="0"/>
    <x v="2"/>
    <n v="0"/>
    <s v="REG101345"/>
    <s v="Cust 2975"/>
    <n v="21.95"/>
    <x v="357"/>
    <d v="2023-06-21T00:00:00"/>
    <s v="Sophie"/>
  </r>
  <r>
    <d v="2024-02-05T00:00:00"/>
    <n v="4692.9553999999998"/>
    <n v="938.59108000000003"/>
    <x v="3"/>
    <x v="4"/>
    <n v="14"/>
    <n v="463.96"/>
    <s v="Store D"/>
    <x v="1"/>
    <n v="0.15"/>
    <s v="Diana"/>
    <n v="5521.1239999999998"/>
    <x v="1"/>
    <x v="3"/>
    <n v="0"/>
    <s v="REG101346"/>
    <s v="Cust 7832"/>
    <n v="29.19"/>
    <x v="713"/>
    <d v="2024-02-14T00:00:00"/>
    <s v="Cameron"/>
  </r>
  <r>
    <d v="2024-03-17T00:00:00"/>
    <n v="493.25074999999993"/>
    <n v="98.650149999999996"/>
    <x v="1"/>
    <x v="2"/>
    <n v="10"/>
    <n v="68.27"/>
    <s v="Store A"/>
    <x v="0"/>
    <n v="0.15"/>
    <s v="Diana"/>
    <n v="580.29499999999996"/>
    <x v="2"/>
    <x v="3"/>
    <n v="0"/>
    <s v="REG101347"/>
    <s v="Cust 7753"/>
    <n v="24.33"/>
    <x v="138"/>
    <d v="2024-03-27T00:00:00"/>
    <s v="Sophie"/>
  </r>
  <r>
    <d v="2024-02-03T00:00:00"/>
    <n v="195.01220000000001"/>
    <n v="39.002440000000007"/>
    <x v="3"/>
    <x v="0"/>
    <n v="8"/>
    <n v="27.01"/>
    <s v="Store C"/>
    <x v="0"/>
    <n v="0.05"/>
    <s v="Eva"/>
    <n v="205.27600000000001"/>
    <x v="0"/>
    <x v="0"/>
    <n v="1"/>
    <s v="REG101348"/>
    <s v="Cust 8639"/>
    <n v="42.65"/>
    <x v="490"/>
    <d v="2024-02-09T00:00:00"/>
    <s v="Cameron"/>
  </r>
  <r>
    <d v="2023-03-31T00:00:00"/>
    <n v="574.452"/>
    <n v="114.8904"/>
    <x v="2"/>
    <x v="5"/>
    <n v="9"/>
    <n v="78.8"/>
    <s v="Store D"/>
    <x v="1"/>
    <n v="0.1"/>
    <s v="Alice"/>
    <n v="638.28"/>
    <x v="0"/>
    <x v="0"/>
    <n v="0"/>
    <s v="REG101349"/>
    <s v="Cust 9878"/>
    <n v="9.2899999999999991"/>
    <x v="714"/>
    <d v="2023-04-10T00:00:00"/>
    <s v="Ryan"/>
  </r>
  <r>
    <d v="2023-08-18T00:00:00"/>
    <n v="2019.3008"/>
    <n v="403.86016000000001"/>
    <x v="4"/>
    <x v="5"/>
    <n v="16"/>
    <n v="174.68"/>
    <s v="Store B"/>
    <x v="0"/>
    <n v="0.15"/>
    <s v="Frank"/>
    <n v="2375.6480000000001"/>
    <x v="2"/>
    <x v="3"/>
    <n v="0"/>
    <s v="REG101350"/>
    <s v="Cust 4205"/>
    <n v="45.99"/>
    <x v="715"/>
    <d v="2023-08-22T00:00:00"/>
    <s v="Wendy"/>
  </r>
  <r>
    <d v="2023-09-10T00:00:00"/>
    <n v="1104.8766000000001"/>
    <n v="220.97532000000001"/>
    <x v="3"/>
    <x v="6"/>
    <n v="4"/>
    <n v="306.06"/>
    <s v="Store C"/>
    <x v="0"/>
    <n v="0.05"/>
    <s v="Carlos"/>
    <n v="1163.028"/>
    <x v="1"/>
    <x v="1"/>
    <n v="1"/>
    <s v="REG101351"/>
    <s v="Cust 4009"/>
    <n v="32.75"/>
    <x v="354"/>
    <d v="2023-09-13T00:00:00"/>
    <s v="Cameron"/>
  </r>
  <r>
    <d v="2024-01-29T00:00:00"/>
    <n v="1970.64"/>
    <n v="394.12800000000004"/>
    <x v="1"/>
    <x v="5"/>
    <n v="12"/>
    <n v="164.22"/>
    <s v="Store C"/>
    <x v="1"/>
    <n v="0"/>
    <s v="Bob"/>
    <n v="1970.64"/>
    <x v="2"/>
    <x v="0"/>
    <n v="0"/>
    <s v="REG101352"/>
    <s v="Cust 6499"/>
    <n v="21.46"/>
    <x v="282"/>
    <d v="2024-02-03T00:00:00"/>
    <s v="Sophie"/>
  </r>
  <r>
    <d v="2024-03-21T00:00:00"/>
    <n v="6725.8"/>
    <n v="1345.16"/>
    <x v="2"/>
    <x v="5"/>
    <n v="20"/>
    <n v="336.29"/>
    <s v="Store C"/>
    <x v="1"/>
    <n v="0"/>
    <s v="Eva"/>
    <n v="6725.8"/>
    <x v="1"/>
    <x v="0"/>
    <n v="0"/>
    <s v="REG101353"/>
    <s v="Cust 4389"/>
    <n v="25.02"/>
    <x v="58"/>
    <d v="2024-03-30T00:00:00"/>
    <s v="Ryan"/>
  </r>
  <r>
    <d v="2024-08-03T00:00:00"/>
    <n v="1022.0175"/>
    <n v="204.40350000000001"/>
    <x v="4"/>
    <x v="5"/>
    <n v="7"/>
    <n v="180.25"/>
    <s v="Store D"/>
    <x v="1"/>
    <n v="0.1"/>
    <s v="Diana"/>
    <n v="1135.575"/>
    <x v="1"/>
    <x v="2"/>
    <n v="0"/>
    <s v="REG101354"/>
    <s v="Cust 2008"/>
    <n v="36.79"/>
    <x v="716"/>
    <d v="2024-08-05T00:00:00"/>
    <s v="Wendy"/>
  </r>
  <r>
    <d v="2025-05-05T00:00:00"/>
    <n v="21.75"/>
    <n v="4.3500000000000005"/>
    <x v="2"/>
    <x v="4"/>
    <n v="1"/>
    <n v="21.75"/>
    <s v="Store C"/>
    <x v="1"/>
    <n v="0"/>
    <s v="Alice"/>
    <n v="21.75"/>
    <x v="4"/>
    <x v="0"/>
    <n v="0"/>
    <s v="REG101355"/>
    <s v="Cust 6509"/>
    <n v="7.35"/>
    <x v="500"/>
    <d v="2025-05-14T00:00:00"/>
    <s v="Ryan"/>
  </r>
  <r>
    <d v="2023-02-08T00:00:00"/>
    <n v="1570.6548"/>
    <n v="314.13096000000002"/>
    <x v="4"/>
    <x v="5"/>
    <n v="13"/>
    <n v="149.16"/>
    <s v="Store C"/>
    <x v="1"/>
    <n v="0.1"/>
    <s v="Eva"/>
    <n v="1745.172"/>
    <x v="4"/>
    <x v="3"/>
    <n v="1"/>
    <s v="REG101356"/>
    <s v="Cust 4270"/>
    <n v="20.9"/>
    <x v="162"/>
    <d v="2023-02-16T00:00:00"/>
    <s v="Wendy"/>
  </r>
  <r>
    <d v="2023-05-26T00:00:00"/>
    <n v="1117.2017499999999"/>
    <n v="223.44035"/>
    <x v="3"/>
    <x v="3"/>
    <n v="7"/>
    <n v="220.9"/>
    <s v="Store A"/>
    <x v="0"/>
    <n v="0.15"/>
    <s v="Bob"/>
    <n v="1314.355"/>
    <x v="1"/>
    <x v="0"/>
    <n v="0"/>
    <s v="REG101357"/>
    <s v="Cust 4414"/>
    <n v="15.25"/>
    <x v="717"/>
    <d v="2023-06-05T00:00:00"/>
    <s v="Cameron"/>
  </r>
  <r>
    <d v="2024-07-15T00:00:00"/>
    <n v="295.05870000000004"/>
    <n v="59.01174000000001"/>
    <x v="0"/>
    <x v="3"/>
    <n v="1"/>
    <n v="364.27"/>
    <s v="Store A"/>
    <x v="1"/>
    <n v="0.1"/>
    <s v="Alice"/>
    <n v="327.84300000000002"/>
    <x v="3"/>
    <x v="2"/>
    <n v="0"/>
    <s v="REG101358"/>
    <s v="Cust 6409"/>
    <n v="8.91"/>
    <x v="236"/>
    <d v="2024-07-22T00:00:00"/>
    <s v="Eric"/>
  </r>
  <r>
    <d v="2024-12-18T00:00:00"/>
    <n v="2757.78"/>
    <n v="551.55600000000004"/>
    <x v="2"/>
    <x v="4"/>
    <n v="9"/>
    <n v="306.42"/>
    <s v="Store C"/>
    <x v="0"/>
    <n v="0"/>
    <s v="Bob"/>
    <n v="2757.78"/>
    <x v="0"/>
    <x v="3"/>
    <n v="0"/>
    <s v="REG101359"/>
    <s v="Cust 1621"/>
    <n v="15.81"/>
    <x v="227"/>
    <d v="2024-12-27T00:00:00"/>
    <s v="Ryan"/>
  </r>
  <r>
    <d v="2024-09-29T00:00:00"/>
    <n v="8587.6200000000008"/>
    <n v="1717.5240000000003"/>
    <x v="2"/>
    <x v="5"/>
    <n v="18"/>
    <n v="589"/>
    <s v="Store B"/>
    <x v="0"/>
    <n v="0.1"/>
    <s v="Diana"/>
    <n v="9541.8000000000011"/>
    <x v="4"/>
    <x v="2"/>
    <n v="0"/>
    <s v="REG101360"/>
    <s v="Cust 6790"/>
    <n v="37.78"/>
    <x v="385"/>
    <d v="2024-10-08T00:00:00"/>
    <s v="Ryan"/>
  </r>
  <r>
    <d v="2024-10-25T00:00:00"/>
    <n v="3232.8719999999998"/>
    <n v="646.57439999999997"/>
    <x v="1"/>
    <x v="2"/>
    <n v="16"/>
    <n v="249.45"/>
    <s v="Store C"/>
    <x v="0"/>
    <n v="0.1"/>
    <s v="Alice"/>
    <n v="3592.08"/>
    <x v="4"/>
    <x v="0"/>
    <n v="0"/>
    <s v="REG101361"/>
    <s v="Cust 4045"/>
    <n v="20.92"/>
    <x v="718"/>
    <d v="2024-11-01T00:00:00"/>
    <s v="Sophie"/>
  </r>
  <r>
    <d v="2025-01-06T00:00:00"/>
    <n v="7947.7759999999998"/>
    <n v="1589.5552"/>
    <x v="2"/>
    <x v="4"/>
    <n v="20"/>
    <n v="440.32"/>
    <s v="Store C"/>
    <x v="1"/>
    <n v="0.05"/>
    <s v="Alice"/>
    <n v="8366.08"/>
    <x v="3"/>
    <x v="1"/>
    <n v="1"/>
    <s v="REG101362"/>
    <s v="Cust 1258"/>
    <n v="6.17"/>
    <x v="428"/>
    <d v="2025-01-16T00:00:00"/>
    <s v="Ryan"/>
  </r>
  <r>
    <d v="2023-11-19T00:00:00"/>
    <n v="304.02"/>
    <n v="60.804000000000002"/>
    <x v="3"/>
    <x v="5"/>
    <n v="3"/>
    <n v="101.34"/>
    <s v="Store A"/>
    <x v="0"/>
    <n v="0"/>
    <s v="Carlos"/>
    <n v="304.02"/>
    <x v="3"/>
    <x v="3"/>
    <n v="0"/>
    <s v="REG101363"/>
    <s v="Cust 8051"/>
    <n v="23.15"/>
    <x v="86"/>
    <d v="2023-11-21T00:00:00"/>
    <s v="Cameron"/>
  </r>
  <r>
    <d v="2024-04-11T00:00:00"/>
    <n v="4780.8764249999995"/>
    <n v="956.17528499999992"/>
    <x v="1"/>
    <x v="1"/>
    <n v="17"/>
    <n v="311.61"/>
    <s v="Store A"/>
    <x v="1"/>
    <n v="0.05"/>
    <s v="Eva"/>
    <n v="5032.5014999999994"/>
    <x v="0"/>
    <x v="3"/>
    <n v="1"/>
    <s v="REG101364"/>
    <s v="Cust 9371"/>
    <n v="29.9"/>
    <x v="610"/>
    <d v="2024-04-17T00:00:00"/>
    <s v="Sophie"/>
  </r>
  <r>
    <d v="2024-03-30T00:00:00"/>
    <n v="637.50509999999997"/>
    <n v="127.50102"/>
    <x v="1"/>
    <x v="4"/>
    <n v="2"/>
    <n v="441.18"/>
    <s v="Store B"/>
    <x v="1"/>
    <n v="0.15"/>
    <s v="Bob"/>
    <n v="750.00599999999997"/>
    <x v="4"/>
    <x v="3"/>
    <n v="1"/>
    <s v="REG101365"/>
    <s v="Cust 9881"/>
    <n v="23.07"/>
    <x v="719"/>
    <d v="2024-04-06T00:00:00"/>
    <s v="Sophie"/>
  </r>
  <r>
    <d v="2024-11-25T00:00:00"/>
    <n v="4643.8920000000007"/>
    <n v="928.77840000000015"/>
    <x v="2"/>
    <x v="3"/>
    <n v="20"/>
    <n v="286.66000000000003"/>
    <s v="Store D"/>
    <x v="1"/>
    <n v="0.1"/>
    <s v="Carlos"/>
    <n v="5159.880000000001"/>
    <x v="3"/>
    <x v="2"/>
    <n v="0"/>
    <s v="REG101366"/>
    <s v="Cust 2153"/>
    <n v="15.54"/>
    <x v="681"/>
    <d v="2024-11-29T00:00:00"/>
    <s v="Ryan"/>
  </r>
  <r>
    <d v="2025-01-06T00:00:00"/>
    <n v="5674.1889749999991"/>
    <n v="1134.8377949999999"/>
    <x v="2"/>
    <x v="6"/>
    <n v="13"/>
    <n v="483.63"/>
    <s v="Store A"/>
    <x v="1"/>
    <n v="0.05"/>
    <s v="Carlos"/>
    <n v="5972.8304999999991"/>
    <x v="4"/>
    <x v="0"/>
    <n v="0"/>
    <s v="REG101367"/>
    <s v="Cust 9189"/>
    <n v="18.22"/>
    <x v="428"/>
    <d v="2025-01-15T00:00:00"/>
    <s v="Ryan"/>
  </r>
  <r>
    <d v="2023-04-15T00:00:00"/>
    <n v="2195.9629999999997"/>
    <n v="439.19259999999997"/>
    <x v="4"/>
    <x v="5"/>
    <n v="8"/>
    <n v="304.14999999999998"/>
    <s v="Store B"/>
    <x v="0"/>
    <n v="0.05"/>
    <s v="Carlos"/>
    <n v="2311.54"/>
    <x v="3"/>
    <x v="3"/>
    <n v="0"/>
    <s v="REG101368"/>
    <s v="Cust 8802"/>
    <n v="41.73"/>
    <x v="180"/>
    <d v="2023-04-18T00:00:00"/>
    <s v="Wendy"/>
  </r>
  <r>
    <d v="2024-02-07T00:00:00"/>
    <n v="3662.9009999999989"/>
    <n v="732.58019999999988"/>
    <x v="0"/>
    <x v="6"/>
    <n v="10"/>
    <n v="452.21"/>
    <s v="Store A"/>
    <x v="1"/>
    <n v="0.1"/>
    <s v="Eva"/>
    <n v="4069.889999999999"/>
    <x v="4"/>
    <x v="2"/>
    <n v="0"/>
    <s v="REG101369"/>
    <s v="Cust 8707"/>
    <n v="15.87"/>
    <x v="451"/>
    <d v="2024-02-17T00:00:00"/>
    <s v="Eric"/>
  </r>
  <r>
    <d v="2023-06-02T00:00:00"/>
    <n v="804.03840000000002"/>
    <n v="160.80768"/>
    <x v="0"/>
    <x v="6"/>
    <n v="4"/>
    <n v="248.16"/>
    <s v="Store B"/>
    <x v="1"/>
    <n v="0.1"/>
    <s v="Diana"/>
    <n v="893.37599999999998"/>
    <x v="2"/>
    <x v="3"/>
    <n v="1"/>
    <s v="REG101370"/>
    <s v="Cust 5638"/>
    <n v="45.11"/>
    <x v="720"/>
    <d v="2023-06-05T00:00:00"/>
    <s v="Eric"/>
  </r>
  <r>
    <d v="2023-08-24T00:00:00"/>
    <n v="2080"/>
    <n v="416"/>
    <x v="0"/>
    <x v="0"/>
    <n v="4"/>
    <n v="520"/>
    <s v="Store A"/>
    <x v="1"/>
    <n v="0"/>
    <s v="Eva"/>
    <n v="2080"/>
    <x v="2"/>
    <x v="2"/>
    <n v="0"/>
    <s v="REG101371"/>
    <s v="Cust 6036"/>
    <n v="18.25"/>
    <x v="648"/>
    <d v="2023-09-02T00:00:00"/>
    <s v="Eric"/>
  </r>
  <r>
    <d v="2024-12-06T00:00:00"/>
    <n v="6281.77"/>
    <n v="1256.3540000000003"/>
    <x v="1"/>
    <x v="3"/>
    <n v="11"/>
    <n v="571.07000000000005"/>
    <s v="Store A"/>
    <x v="1"/>
    <n v="0"/>
    <s v="Frank"/>
    <n v="6281.77"/>
    <x v="1"/>
    <x v="1"/>
    <n v="0"/>
    <s v="REG101372"/>
    <s v="Cust 5504"/>
    <n v="12.6"/>
    <x v="721"/>
    <d v="2024-12-11T00:00:00"/>
    <s v="Sophie"/>
  </r>
  <r>
    <d v="2023-12-08T00:00:00"/>
    <n v="584.2287"/>
    <n v="116.84574000000001"/>
    <x v="0"/>
    <x v="5"/>
    <n v="11"/>
    <n v="65.569999999999993"/>
    <s v="Store D"/>
    <x v="1"/>
    <n v="0.1"/>
    <s v="Diana"/>
    <n v="649.14300000000003"/>
    <x v="3"/>
    <x v="1"/>
    <n v="1"/>
    <s v="REG101373"/>
    <s v="Cust 1161"/>
    <n v="30.43"/>
    <x v="437"/>
    <d v="2023-12-14T00:00:00"/>
    <s v="Eric"/>
  </r>
  <r>
    <d v="2023-05-12T00:00:00"/>
    <n v="1588.08"/>
    <n v="317.61599999999999"/>
    <x v="1"/>
    <x v="5"/>
    <n v="4"/>
    <n v="397.02"/>
    <s v="Store A"/>
    <x v="0"/>
    <n v="0"/>
    <s v="Frank"/>
    <n v="1588.08"/>
    <x v="4"/>
    <x v="0"/>
    <n v="0"/>
    <s v="REG101374"/>
    <s v="Cust 5420"/>
    <n v="23.25"/>
    <x v="551"/>
    <d v="2023-05-20T00:00:00"/>
    <s v="Sophie"/>
  </r>
  <r>
    <d v="2025-04-24T00:00:00"/>
    <n v="1528.38375"/>
    <n v="305.67675000000003"/>
    <x v="4"/>
    <x v="0"/>
    <n v="10"/>
    <n v="169.35"/>
    <s v="Store B"/>
    <x v="1"/>
    <n v="0.05"/>
    <s v="Alice"/>
    <n v="1608.825"/>
    <x v="2"/>
    <x v="2"/>
    <n v="0"/>
    <s v="REG101375"/>
    <s v="Cust 7745"/>
    <n v="44.91"/>
    <x v="696"/>
    <d v="2025-04-27T00:00:00"/>
    <s v="Wendy"/>
  </r>
  <r>
    <d v="2023-04-23T00:00:00"/>
    <n v="2765.2239"/>
    <n v="553.04478000000006"/>
    <x v="3"/>
    <x v="5"/>
    <n v="9"/>
    <n v="340.44"/>
    <s v="Store D"/>
    <x v="1"/>
    <n v="0.05"/>
    <s v="Carlos"/>
    <n v="2910.7620000000002"/>
    <x v="3"/>
    <x v="0"/>
    <n v="1"/>
    <s v="REG101376"/>
    <s v="Cust 4365"/>
    <n v="36.68"/>
    <x v="134"/>
    <d v="2023-05-03T00:00:00"/>
    <s v="Cameron"/>
  </r>
  <r>
    <d v="2023-01-18T00:00:00"/>
    <n v="108.48049999999999"/>
    <n v="21.696100000000001"/>
    <x v="2"/>
    <x v="4"/>
    <n v="1"/>
    <n v="120.2"/>
    <s v="Store D"/>
    <x v="1"/>
    <n v="0.05"/>
    <s v="Carlos"/>
    <n v="114.19"/>
    <x v="0"/>
    <x v="2"/>
    <n v="0"/>
    <s v="REG101377"/>
    <s v="Cust 3291"/>
    <n v="44.99"/>
    <x v="722"/>
    <d v="2023-01-21T00:00:00"/>
    <s v="Ryan"/>
  </r>
  <r>
    <d v="2025-05-11T00:00:00"/>
    <n v="1590.9955749999999"/>
    <n v="318.19911500000001"/>
    <x v="2"/>
    <x v="1"/>
    <n v="13"/>
    <n v="169.39"/>
    <s v="Store B"/>
    <x v="0"/>
    <n v="0.15"/>
    <s v="Diana"/>
    <n v="1871.7594999999999"/>
    <x v="2"/>
    <x v="3"/>
    <n v="0"/>
    <s v="REG101378"/>
    <s v="Cust 9020"/>
    <n v="6.81"/>
    <x v="15"/>
    <d v="2025-05-21T00:00:00"/>
    <s v="Ryan"/>
  </r>
  <r>
    <d v="2024-12-23T00:00:00"/>
    <n v="1540.7479999999998"/>
    <n v="308.14959999999996"/>
    <x v="4"/>
    <x v="5"/>
    <n v="10"/>
    <n v="170.72"/>
    <s v="Store A"/>
    <x v="0"/>
    <n v="0.05"/>
    <s v="Frank"/>
    <n v="1621.84"/>
    <x v="0"/>
    <x v="0"/>
    <n v="0"/>
    <s v="REG101379"/>
    <s v="Cust 2667"/>
    <n v="29.18"/>
    <x v="473"/>
    <d v="2025-01-02T00:00:00"/>
    <s v="Wendy"/>
  </r>
  <r>
    <d v="2023-08-20T00:00:00"/>
    <n v="2105.3144249999996"/>
    <n v="421.06288499999994"/>
    <x v="4"/>
    <x v="2"/>
    <n v="9"/>
    <n v="323.77"/>
    <s v="Store A"/>
    <x v="0"/>
    <n v="0.15"/>
    <s v="Carlos"/>
    <n v="2476.8404999999998"/>
    <x v="3"/>
    <x v="3"/>
    <n v="0"/>
    <s v="REG101380"/>
    <s v="Cust 6158"/>
    <n v="6.36"/>
    <x v="652"/>
    <d v="2023-08-28T00:00:00"/>
    <s v="Wendy"/>
  </r>
  <r>
    <d v="2025-03-18T00:00:00"/>
    <n v="1927.44"/>
    <n v="385.48800000000006"/>
    <x v="3"/>
    <x v="3"/>
    <n v="4"/>
    <n v="481.86"/>
    <s v="Store B"/>
    <x v="0"/>
    <n v="0"/>
    <s v="Bob"/>
    <n v="1927.44"/>
    <x v="0"/>
    <x v="0"/>
    <n v="0"/>
    <s v="REG101381"/>
    <s v="Cust 7404"/>
    <n v="21.92"/>
    <x v="213"/>
    <d v="2025-03-23T00:00:00"/>
    <s v="Cameron"/>
  </r>
  <r>
    <d v="2024-01-16T00:00:00"/>
    <n v="312.2"/>
    <n v="62.44"/>
    <x v="3"/>
    <x v="1"/>
    <n v="4"/>
    <n v="78.05"/>
    <s v="Store A"/>
    <x v="1"/>
    <n v="0"/>
    <s v="Carlos"/>
    <n v="312.2"/>
    <x v="2"/>
    <x v="3"/>
    <n v="0"/>
    <s v="REG101382"/>
    <s v="Cust 8572"/>
    <n v="14.03"/>
    <x v="436"/>
    <d v="2024-01-24T00:00:00"/>
    <s v="Cameron"/>
  </r>
  <r>
    <d v="2024-05-29T00:00:00"/>
    <n v="278.964"/>
    <n v="55.7928"/>
    <x v="0"/>
    <x v="5"/>
    <n v="6"/>
    <n v="57.4"/>
    <s v="Store C"/>
    <x v="0"/>
    <n v="0.1"/>
    <s v="Eva"/>
    <n v="309.95999999999998"/>
    <x v="3"/>
    <x v="0"/>
    <n v="0"/>
    <s v="REG101383"/>
    <s v="Cust 1043"/>
    <n v="26.42"/>
    <x v="723"/>
    <d v="2024-06-08T00:00:00"/>
    <s v="Eric"/>
  </r>
  <r>
    <d v="2025-03-25T00:00:00"/>
    <n v="2958.5074500000001"/>
    <n v="591.70149000000004"/>
    <x v="1"/>
    <x v="0"/>
    <n v="9"/>
    <n v="454.98"/>
    <s v="Store B"/>
    <x v="0"/>
    <n v="0.15"/>
    <s v="Eva"/>
    <n v="3480.5970000000002"/>
    <x v="2"/>
    <x v="3"/>
    <n v="0"/>
    <s v="REG101384"/>
    <s v="Cust 1766"/>
    <n v="40.76"/>
    <x v="287"/>
    <d v="2025-03-27T00:00:00"/>
    <s v="Sophie"/>
  </r>
  <r>
    <d v="2025-03-22T00:00:00"/>
    <n v="3630.9831249999997"/>
    <n v="726.19662500000004"/>
    <x v="3"/>
    <x v="2"/>
    <n v="11"/>
    <n v="365.75"/>
    <s v="Store D"/>
    <x v="0"/>
    <n v="0.05"/>
    <s v="Bob"/>
    <n v="3822.0875000000001"/>
    <x v="3"/>
    <x v="0"/>
    <n v="1"/>
    <s v="REG101385"/>
    <s v="Cust 4461"/>
    <n v="8.3699999999999992"/>
    <x v="61"/>
    <d v="2025-03-27T00:00:00"/>
    <s v="Cameron"/>
  </r>
  <r>
    <d v="2024-08-17T00:00:00"/>
    <n v="675.21439999999996"/>
    <n v="135.04288"/>
    <x v="0"/>
    <x v="1"/>
    <n v="7"/>
    <n v="106.88"/>
    <s v="Store C"/>
    <x v="1"/>
    <n v="0.05"/>
    <s v="Diana"/>
    <n v="710.75199999999995"/>
    <x v="4"/>
    <x v="2"/>
    <n v="1"/>
    <s v="REG101386"/>
    <s v="Cust 4390"/>
    <n v="26.12"/>
    <x v="157"/>
    <d v="2024-08-24T00:00:00"/>
    <s v="Eric"/>
  </r>
  <r>
    <d v="2024-06-02T00:00:00"/>
    <n v="406.58760000000001"/>
    <n v="81.317520000000002"/>
    <x v="1"/>
    <x v="6"/>
    <n v="2"/>
    <n v="250.98"/>
    <s v="Store B"/>
    <x v="0"/>
    <n v="0.1"/>
    <s v="Eva"/>
    <n v="451.76400000000001"/>
    <x v="0"/>
    <x v="2"/>
    <n v="0"/>
    <s v="REG101387"/>
    <s v="Cust 9451"/>
    <n v="18.8"/>
    <x v="403"/>
    <d v="2024-06-12T00:00:00"/>
    <s v="Sophie"/>
  </r>
  <r>
    <d v="2023-03-31T00:00:00"/>
    <n v="3831.5591999999997"/>
    <n v="766.31183999999996"/>
    <x v="1"/>
    <x v="4"/>
    <n v="8"/>
    <n v="591.29"/>
    <s v="Store C"/>
    <x v="1"/>
    <n v="0.1"/>
    <s v="Diana"/>
    <n v="4257.2879999999996"/>
    <x v="2"/>
    <x v="3"/>
    <n v="1"/>
    <s v="REG101388"/>
    <s v="Cust 5335"/>
    <n v="45.14"/>
    <x v="714"/>
    <d v="2023-04-10T00:00:00"/>
    <s v="Sophie"/>
  </r>
  <r>
    <d v="2024-05-19T00:00:00"/>
    <n v="6007.2385499999991"/>
    <n v="1201.4477099999999"/>
    <x v="4"/>
    <x v="4"/>
    <n v="18"/>
    <n v="369.79"/>
    <s v="Store A"/>
    <x v="0"/>
    <n v="0.05"/>
    <s v="Eva"/>
    <n v="6323.4089999999997"/>
    <x v="4"/>
    <x v="0"/>
    <n v="1"/>
    <s v="REG101389"/>
    <s v="Cust 3487"/>
    <n v="16.399999999999999"/>
    <x v="539"/>
    <d v="2024-05-23T00:00:00"/>
    <s v="Wendy"/>
  </r>
  <r>
    <d v="2023-03-02T00:00:00"/>
    <n v="2019.8159999999998"/>
    <n v="403.96319999999997"/>
    <x v="4"/>
    <x v="2"/>
    <n v="15"/>
    <n v="166.24"/>
    <s v="Store D"/>
    <x v="0"/>
    <n v="0.1"/>
    <s v="Diana"/>
    <n v="2244.2399999999998"/>
    <x v="3"/>
    <x v="1"/>
    <n v="0"/>
    <s v="REG101390"/>
    <s v="Cust 7613"/>
    <n v="9.86"/>
    <x v="724"/>
    <d v="2023-03-05T00:00:00"/>
    <s v="Wendy"/>
  </r>
  <r>
    <d v="2023-03-13T00:00:00"/>
    <n v="2260.7891999999997"/>
    <n v="452.15783999999996"/>
    <x v="2"/>
    <x v="6"/>
    <n v="12"/>
    <n v="260.76"/>
    <s v="Store C"/>
    <x v="0"/>
    <n v="0.15"/>
    <s v="Carlos"/>
    <n v="2659.752"/>
    <x v="0"/>
    <x v="3"/>
    <n v="0"/>
    <s v="REG101391"/>
    <s v="Cust 9436"/>
    <n v="20.92"/>
    <x v="122"/>
    <d v="2023-03-22T00:00:00"/>
    <s v="Ryan"/>
  </r>
  <r>
    <d v="2025-04-16T00:00:00"/>
    <n v="3146.3857499999999"/>
    <n v="629.27715000000001"/>
    <x v="4"/>
    <x v="0"/>
    <n v="10"/>
    <n v="348.63"/>
    <s v="Store D"/>
    <x v="0"/>
    <n v="0.05"/>
    <s v="Diana"/>
    <n v="3311.9850000000001"/>
    <x v="2"/>
    <x v="3"/>
    <n v="1"/>
    <s v="REG101392"/>
    <s v="Cust 2197"/>
    <n v="42.79"/>
    <x v="454"/>
    <d v="2025-04-18T00:00:00"/>
    <s v="Wendy"/>
  </r>
  <r>
    <d v="2024-06-05T00:00:00"/>
    <n v="2366.4"/>
    <n v="473.28000000000003"/>
    <x v="2"/>
    <x v="3"/>
    <n v="5"/>
    <n v="473.28"/>
    <s v="Store A"/>
    <x v="1"/>
    <n v="0"/>
    <s v="Diana"/>
    <n v="2366.4"/>
    <x v="2"/>
    <x v="1"/>
    <n v="1"/>
    <s v="REG101393"/>
    <s v="Cust 5620"/>
    <n v="30.69"/>
    <x v="410"/>
    <d v="2024-06-15T00:00:00"/>
    <s v="Ryan"/>
  </r>
  <r>
    <d v="2024-09-01T00:00:00"/>
    <n v="6429.28"/>
    <n v="1285.856"/>
    <x v="2"/>
    <x v="3"/>
    <n v="16"/>
    <n v="401.83"/>
    <s v="Store B"/>
    <x v="1"/>
    <n v="0"/>
    <s v="Eva"/>
    <n v="6429.28"/>
    <x v="4"/>
    <x v="0"/>
    <n v="0"/>
    <s v="REG101394"/>
    <s v="Cust 4101"/>
    <n v="21.54"/>
    <x v="404"/>
    <d v="2024-09-05T00:00:00"/>
    <s v="Ryan"/>
  </r>
  <r>
    <d v="2024-09-21T00:00:00"/>
    <n v="2692.9"/>
    <n v="538.58000000000004"/>
    <x v="2"/>
    <x v="1"/>
    <n v="10"/>
    <n v="269.29000000000002"/>
    <s v="Store C"/>
    <x v="1"/>
    <n v="0"/>
    <s v="Eva"/>
    <n v="2692.9"/>
    <x v="3"/>
    <x v="1"/>
    <n v="0"/>
    <s v="REG101395"/>
    <s v="Cust 8828"/>
    <n v="14.09"/>
    <x v="367"/>
    <d v="2024-09-30T00:00:00"/>
    <s v="Ryan"/>
  </r>
  <r>
    <d v="2025-01-11T00:00:00"/>
    <n v="1166.1022"/>
    <n v="233.22044000000002"/>
    <x v="2"/>
    <x v="2"/>
    <n v="4"/>
    <n v="323.02"/>
    <s v="Store C"/>
    <x v="1"/>
    <n v="0.05"/>
    <s v="Diana"/>
    <n v="1227.4760000000001"/>
    <x v="4"/>
    <x v="3"/>
    <n v="0"/>
    <s v="REG101396"/>
    <s v="Cust 3187"/>
    <n v="19.53"/>
    <x v="405"/>
    <d v="2025-01-16T00:00:00"/>
    <s v="Ryan"/>
  </r>
  <r>
    <d v="2023-01-04T00:00:00"/>
    <n v="4767.3078749999986"/>
    <n v="953.46157499999981"/>
    <x v="4"/>
    <x v="4"/>
    <n v="15"/>
    <n v="439.89"/>
    <s v="Store D"/>
    <x v="1"/>
    <n v="0.15"/>
    <s v="Diana"/>
    <n v="5608.5974999999989"/>
    <x v="0"/>
    <x v="0"/>
    <n v="0"/>
    <s v="REG101397"/>
    <s v="Cust 1081"/>
    <n v="49.71"/>
    <x v="725"/>
    <d v="2023-01-08T00:00:00"/>
    <s v="Wendy"/>
  </r>
  <r>
    <d v="2023-05-02T00:00:00"/>
    <n v="6975.8195999999989"/>
    <n v="1395.16392"/>
    <x v="4"/>
    <x v="4"/>
    <n v="16"/>
    <n v="483.09"/>
    <s v="Store C"/>
    <x v="0"/>
    <n v="0.05"/>
    <s v="Alice"/>
    <n v="7342.9679999999989"/>
    <x v="3"/>
    <x v="3"/>
    <n v="1"/>
    <s v="REG101398"/>
    <s v="Cust 5049"/>
    <n v="37.659999999999997"/>
    <x v="210"/>
    <d v="2023-05-05T00:00:00"/>
    <s v="Wendy"/>
  </r>
  <r>
    <d v="2023-07-09T00:00:00"/>
    <n v="257.26057499999996"/>
    <n v="51.452114999999992"/>
    <x v="0"/>
    <x v="1"/>
    <n v="13"/>
    <n v="27.39"/>
    <s v="Store B"/>
    <x v="1"/>
    <n v="0.15"/>
    <s v="Frank"/>
    <n v="302.65949999999998"/>
    <x v="4"/>
    <x v="3"/>
    <n v="0"/>
    <s v="REG101399"/>
    <s v="Cust 5409"/>
    <n v="22.95"/>
    <x v="657"/>
    <d v="2023-07-14T00:00:00"/>
    <s v="Eric"/>
  </r>
  <r>
    <d v="2025-02-27T00:00:00"/>
    <n v="7026.2873999999993"/>
    <n v="1405.25748"/>
    <x v="0"/>
    <x v="4"/>
    <n v="18"/>
    <n v="432.52"/>
    <s v="Store D"/>
    <x v="1"/>
    <n v="0.05"/>
    <s v="Bob"/>
    <n v="7396.0919999999996"/>
    <x v="2"/>
    <x v="1"/>
    <n v="1"/>
    <s v="REG101400"/>
    <s v="Cust 2372"/>
    <n v="34.19"/>
    <x v="370"/>
    <d v="2025-03-04T00:00:00"/>
    <s v="Eric"/>
  </r>
  <r>
    <d v="2024-09-23T00:00:00"/>
    <n v="782.31577499999992"/>
    <n v="156.463155"/>
    <x v="4"/>
    <x v="6"/>
    <n v="3"/>
    <n v="360.93"/>
    <s v="Store B"/>
    <x v="0"/>
    <n v="0.15"/>
    <s v="Diana"/>
    <n v="920.37149999999997"/>
    <x v="3"/>
    <x v="2"/>
    <n v="0"/>
    <s v="REG101401"/>
    <s v="Cust 2741"/>
    <n v="35.61"/>
    <x v="726"/>
    <d v="2024-09-29T00:00:00"/>
    <s v="Wendy"/>
  </r>
  <r>
    <d v="2025-06-22T00:00:00"/>
    <n v="1679.049"/>
    <n v="335.8098"/>
    <x v="0"/>
    <x v="5"/>
    <n v="5"/>
    <n v="414.58"/>
    <s v="Store B"/>
    <x v="1"/>
    <n v="0.1"/>
    <s v="Diana"/>
    <n v="1865.61"/>
    <x v="1"/>
    <x v="3"/>
    <n v="0"/>
    <s v="REG101402"/>
    <s v="Cust 2571"/>
    <n v="14.98"/>
    <x v="153"/>
    <d v="2025-07-01T00:00:00"/>
    <s v="Eric"/>
  </r>
  <r>
    <d v="2025-01-19T00:00:00"/>
    <n v="272.16000000000003"/>
    <n v="54.432000000000009"/>
    <x v="3"/>
    <x v="5"/>
    <n v="4"/>
    <n v="68.040000000000006"/>
    <s v="Store C"/>
    <x v="0"/>
    <n v="0"/>
    <s v="Bob"/>
    <n v="272.16000000000003"/>
    <x v="0"/>
    <x v="0"/>
    <n v="0"/>
    <s v="REG101403"/>
    <s v="Cust 6301"/>
    <n v="18.72"/>
    <x v="423"/>
    <d v="2025-01-28T00:00:00"/>
    <s v="Cameron"/>
  </r>
  <r>
    <d v="2025-02-03T00:00:00"/>
    <n v="2947.72775"/>
    <n v="589.54555000000005"/>
    <x v="0"/>
    <x v="1"/>
    <n v="10"/>
    <n v="407.99"/>
    <s v="Store C"/>
    <x v="1"/>
    <n v="0.15"/>
    <s v="Eva"/>
    <n v="3467.915"/>
    <x v="4"/>
    <x v="3"/>
    <n v="0"/>
    <s v="REG101404"/>
    <s v="Cust 7918"/>
    <n v="49.59"/>
    <x v="45"/>
    <d v="2025-02-08T00:00:00"/>
    <s v="Eric"/>
  </r>
  <r>
    <d v="2023-11-11T00:00:00"/>
    <n v="4121.5499999999993"/>
    <n v="824.31"/>
    <x v="0"/>
    <x v="5"/>
    <n v="15"/>
    <n v="274.77"/>
    <s v="Store D"/>
    <x v="1"/>
    <n v="0"/>
    <s v="Eva"/>
    <n v="4121.5499999999993"/>
    <x v="4"/>
    <x v="3"/>
    <n v="1"/>
    <s v="REG101405"/>
    <s v="Cust 3456"/>
    <n v="19.37"/>
    <x v="203"/>
    <d v="2023-11-17T00:00:00"/>
    <s v="Eric"/>
  </r>
  <r>
    <d v="2024-05-08T00:00:00"/>
    <n v="344.74087499999996"/>
    <n v="68.948174999999992"/>
    <x v="0"/>
    <x v="2"/>
    <n v="15"/>
    <n v="31.81"/>
    <s v="Store C"/>
    <x v="0"/>
    <n v="0.15"/>
    <s v="Eva"/>
    <n v="405.57749999999999"/>
    <x v="4"/>
    <x v="1"/>
    <n v="0"/>
    <s v="REG101406"/>
    <s v="Cust 8272"/>
    <n v="23.61"/>
    <x v="336"/>
    <d v="2024-05-10T00:00:00"/>
    <s v="Eric"/>
  </r>
  <r>
    <d v="2023-09-18T00:00:00"/>
    <n v="3756.48"/>
    <n v="751.29600000000005"/>
    <x v="1"/>
    <x v="6"/>
    <n v="14"/>
    <n v="268.32"/>
    <s v="Store D"/>
    <x v="1"/>
    <n v="0"/>
    <s v="Frank"/>
    <n v="3756.48"/>
    <x v="0"/>
    <x v="2"/>
    <n v="0"/>
    <s v="REG101407"/>
    <s v="Cust 7302"/>
    <n v="43.14"/>
    <x v="339"/>
    <d v="2023-09-27T00:00:00"/>
    <s v="Sophie"/>
  </r>
  <r>
    <d v="2025-04-05T00:00:00"/>
    <n v="6003.6826999999994"/>
    <n v="1200.7365399999999"/>
    <x v="3"/>
    <x v="5"/>
    <n v="19"/>
    <n v="350.12"/>
    <s v="Store D"/>
    <x v="1"/>
    <n v="0.05"/>
    <s v="Alice"/>
    <n v="6319.6659999999993"/>
    <x v="2"/>
    <x v="0"/>
    <n v="0"/>
    <s v="REG101408"/>
    <s v="Cust 6716"/>
    <n v="48.98"/>
    <x v="518"/>
    <d v="2025-04-13T00:00:00"/>
    <s v="Cameron"/>
  </r>
  <r>
    <d v="2023-09-13T00:00:00"/>
    <n v="2673.5208750000002"/>
    <n v="534.70417500000008"/>
    <x v="3"/>
    <x v="2"/>
    <n v="9"/>
    <n v="329.15"/>
    <s v="Store A"/>
    <x v="1"/>
    <n v="0.05"/>
    <s v="Diana"/>
    <n v="2814.2325000000001"/>
    <x v="1"/>
    <x v="0"/>
    <n v="0"/>
    <s v="REG101409"/>
    <s v="Cust 5484"/>
    <n v="29.41"/>
    <x v="727"/>
    <d v="2023-09-15T00:00:00"/>
    <s v="Cameron"/>
  </r>
  <r>
    <d v="2024-06-28T00:00:00"/>
    <n v="520.80567499999995"/>
    <n v="104.161135"/>
    <x v="0"/>
    <x v="4"/>
    <n v="1"/>
    <n v="577.07000000000005"/>
    <s v="Store C"/>
    <x v="0"/>
    <n v="0.05"/>
    <s v="Frank"/>
    <n v="548.2165"/>
    <x v="0"/>
    <x v="2"/>
    <n v="0"/>
    <s v="REG101410"/>
    <s v="Cust 4652"/>
    <n v="22.97"/>
    <x v="163"/>
    <d v="2024-07-06T00:00:00"/>
    <s v="Eric"/>
  </r>
  <r>
    <d v="2023-04-06T00:00:00"/>
    <n v="2645.4438000000009"/>
    <n v="529.08876000000021"/>
    <x v="3"/>
    <x v="3"/>
    <n v="6"/>
    <n v="544.33000000000004"/>
    <s v="Store B"/>
    <x v="0"/>
    <n v="0.1"/>
    <s v="Carlos"/>
    <n v="2939.382000000001"/>
    <x v="4"/>
    <x v="3"/>
    <n v="0"/>
    <s v="REG101411"/>
    <s v="Cust 1222"/>
    <n v="11.52"/>
    <x v="645"/>
    <d v="2023-04-08T00:00:00"/>
    <s v="Cameron"/>
  </r>
  <r>
    <d v="2023-05-13T00:00:00"/>
    <n v="4310.5072499999987"/>
    <n v="862.10144999999977"/>
    <x v="1"/>
    <x v="0"/>
    <n v="18"/>
    <n v="331.45"/>
    <s v="Store D"/>
    <x v="1"/>
    <n v="0.15"/>
    <s v="Alice"/>
    <n v="5071.1849999999986"/>
    <x v="4"/>
    <x v="2"/>
    <n v="1"/>
    <s v="REG101412"/>
    <s v="Cust 3559"/>
    <n v="32.92"/>
    <x v="194"/>
    <d v="2023-05-18T00:00:00"/>
    <s v="Sophie"/>
  </r>
  <r>
    <d v="2025-05-07T00:00:00"/>
    <n v="341.22060000000005"/>
    <n v="68.244120000000009"/>
    <x v="0"/>
    <x v="0"/>
    <n v="1"/>
    <n v="421.26"/>
    <s v="Store D"/>
    <x v="1"/>
    <n v="0.1"/>
    <s v="Eva"/>
    <n v="379.13400000000001"/>
    <x v="3"/>
    <x v="0"/>
    <n v="0"/>
    <s v="REG101413"/>
    <s v="Cust 1287"/>
    <n v="36.340000000000003"/>
    <x v="695"/>
    <d v="2025-05-15T00:00:00"/>
    <s v="Eric"/>
  </r>
  <r>
    <d v="2025-03-22T00:00:00"/>
    <n v="1798.2647999999999"/>
    <n v="359.65296000000001"/>
    <x v="2"/>
    <x v="5"/>
    <n v="4"/>
    <n v="555.02"/>
    <s v="Store B"/>
    <x v="1"/>
    <n v="0.1"/>
    <s v="Diana"/>
    <n v="1998.0719999999999"/>
    <x v="4"/>
    <x v="1"/>
    <n v="0"/>
    <s v="REG101414"/>
    <s v="Cust 5444"/>
    <n v="45.25"/>
    <x v="61"/>
    <d v="2025-03-27T00:00:00"/>
    <s v="Ryan"/>
  </r>
  <r>
    <d v="2024-06-24T00:00:00"/>
    <n v="4826.57"/>
    <n v="965.31399999999996"/>
    <x v="1"/>
    <x v="0"/>
    <n v="19"/>
    <n v="254.03"/>
    <s v="Store C"/>
    <x v="0"/>
    <n v="0"/>
    <s v="Frank"/>
    <n v="4826.57"/>
    <x v="0"/>
    <x v="1"/>
    <n v="1"/>
    <s v="REG101415"/>
    <s v="Cust 4018"/>
    <n v="11.21"/>
    <x v="503"/>
    <d v="2024-07-02T00:00:00"/>
    <s v="Sophie"/>
  </r>
  <r>
    <d v="2025-06-29T00:00:00"/>
    <n v="3471.879825"/>
    <n v="694.37596500000006"/>
    <x v="4"/>
    <x v="5"/>
    <n v="9"/>
    <n v="533.92999999999995"/>
    <s v="Store D"/>
    <x v="1"/>
    <n v="0.15"/>
    <s v="Frank"/>
    <n v="4084.5645"/>
    <x v="1"/>
    <x v="3"/>
    <n v="0"/>
    <s v="REG101416"/>
    <s v="Cust 6355"/>
    <n v="34.76"/>
    <x v="176"/>
    <d v="2025-07-03T00:00:00"/>
    <s v="Wendy"/>
  </r>
  <r>
    <d v="2024-04-01T00:00:00"/>
    <n v="1368.4545000000001"/>
    <n v="273.6909"/>
    <x v="4"/>
    <x v="2"/>
    <n v="7"/>
    <n v="241.35"/>
    <s v="Store B"/>
    <x v="0"/>
    <n v="0.1"/>
    <s v="Diana"/>
    <n v="1520.5050000000001"/>
    <x v="2"/>
    <x v="1"/>
    <n v="0"/>
    <s v="REG101417"/>
    <s v="Cust 6620"/>
    <n v="42.43"/>
    <x v="204"/>
    <d v="2024-04-10T00:00:00"/>
    <s v="Wendy"/>
  </r>
  <r>
    <d v="2024-06-04T00:00:00"/>
    <n v="1592.073175"/>
    <n v="318.41463500000003"/>
    <x v="2"/>
    <x v="5"/>
    <n v="11"/>
    <n v="160.37"/>
    <s v="Store B"/>
    <x v="0"/>
    <n v="0.05"/>
    <s v="Carlos"/>
    <n v="1675.8665000000001"/>
    <x v="4"/>
    <x v="3"/>
    <n v="0"/>
    <s v="REG101418"/>
    <s v="Cust 4092"/>
    <n v="36.049999999999997"/>
    <x v="44"/>
    <d v="2024-06-14T00:00:00"/>
    <s v="Ryan"/>
  </r>
  <r>
    <d v="2023-03-30T00:00:00"/>
    <n v="339.47100000000012"/>
    <n v="67.894200000000026"/>
    <x v="0"/>
    <x v="5"/>
    <n v="1"/>
    <n v="419.1"/>
    <s v="Store B"/>
    <x v="0"/>
    <n v="0.1"/>
    <s v="Carlos"/>
    <n v="377.19000000000011"/>
    <x v="1"/>
    <x v="1"/>
    <n v="1"/>
    <s v="REG101419"/>
    <s v="Cust 4812"/>
    <n v="38.81"/>
    <x v="306"/>
    <d v="2023-04-06T00:00:00"/>
    <s v="Eric"/>
  </r>
  <r>
    <d v="2025-03-26T00:00:00"/>
    <n v="1302.9276"/>
    <n v="260.58552000000003"/>
    <x v="0"/>
    <x v="0"/>
    <n v="13"/>
    <n v="138.72"/>
    <s v="Store D"/>
    <x v="0"/>
    <n v="0.15"/>
    <s v="Carlos"/>
    <n v="1532.856"/>
    <x v="4"/>
    <x v="2"/>
    <n v="1"/>
    <s v="REG101420"/>
    <s v="Cust 8389"/>
    <n v="17.89"/>
    <x v="582"/>
    <d v="2025-03-28T00:00:00"/>
    <s v="Eric"/>
  </r>
  <r>
    <d v="2023-08-22T00:00:00"/>
    <n v="3688.32"/>
    <n v="737.6640000000001"/>
    <x v="4"/>
    <x v="4"/>
    <n v="8"/>
    <n v="461.04"/>
    <s v="Store B"/>
    <x v="1"/>
    <n v="0"/>
    <s v="Alice"/>
    <n v="3688.32"/>
    <x v="0"/>
    <x v="0"/>
    <n v="0"/>
    <s v="REG101421"/>
    <s v="Cust 4529"/>
    <n v="13.62"/>
    <x v="530"/>
    <d v="2023-08-24T00:00:00"/>
    <s v="Wendy"/>
  </r>
  <r>
    <d v="2024-04-16T00:00:00"/>
    <n v="2272.3636500000002"/>
    <n v="454.47273000000007"/>
    <x v="1"/>
    <x v="1"/>
    <n v="6"/>
    <n v="524.19000000000005"/>
    <s v="Store D"/>
    <x v="1"/>
    <n v="0.15"/>
    <s v="Frank"/>
    <n v="2673.3690000000001"/>
    <x v="4"/>
    <x v="2"/>
    <n v="0"/>
    <s v="REG101422"/>
    <s v="Cust 2365"/>
    <n v="31.04"/>
    <x v="683"/>
    <d v="2024-04-20T00:00:00"/>
    <s v="Sophie"/>
  </r>
  <r>
    <d v="2025-05-11T00:00:00"/>
    <n v="3955.5215999999996"/>
    <n v="791.10431999999992"/>
    <x v="3"/>
    <x v="3"/>
    <n v="16"/>
    <n v="305.20999999999998"/>
    <s v="Store A"/>
    <x v="0"/>
    <n v="0.1"/>
    <s v="Alice"/>
    <n v="4395.0239999999994"/>
    <x v="3"/>
    <x v="1"/>
    <n v="0"/>
    <s v="REG101423"/>
    <s v="Cust 6361"/>
    <n v="33.369999999999997"/>
    <x v="15"/>
    <d v="2025-05-19T00:00:00"/>
    <s v="Cameron"/>
  </r>
  <r>
    <d v="2023-12-11T00:00:00"/>
    <n v="7019.36"/>
    <n v="1403.8720000000001"/>
    <x v="2"/>
    <x v="6"/>
    <n v="16"/>
    <n v="438.71"/>
    <s v="Store C"/>
    <x v="1"/>
    <n v="0"/>
    <s v="Alice"/>
    <n v="7019.36"/>
    <x v="0"/>
    <x v="3"/>
    <n v="0"/>
    <s v="REG101424"/>
    <s v="Cust 4228"/>
    <n v="6.53"/>
    <x v="464"/>
    <d v="2023-12-21T00:00:00"/>
    <s v="Ryan"/>
  </r>
  <r>
    <d v="2023-01-16T00:00:00"/>
    <n v="1571.076"/>
    <n v="314.21520000000004"/>
    <x v="2"/>
    <x v="6"/>
    <n v="10"/>
    <n v="193.96"/>
    <s v="Store D"/>
    <x v="0"/>
    <n v="0.1"/>
    <s v="Alice"/>
    <n v="1745.64"/>
    <x v="1"/>
    <x v="3"/>
    <n v="0"/>
    <s v="REG101425"/>
    <s v="Cust 3940"/>
    <n v="41.3"/>
    <x v="375"/>
    <d v="2023-01-21T00:00:00"/>
    <s v="Ryan"/>
  </r>
  <r>
    <d v="2023-05-10T00:00:00"/>
    <n v="9428.9228999999978"/>
    <n v="1885.7845799999996"/>
    <x v="0"/>
    <x v="1"/>
    <n v="18"/>
    <n v="580.41999999999996"/>
    <s v="Store A"/>
    <x v="0"/>
    <n v="0.05"/>
    <s v="Bob"/>
    <n v="9925.1819999999989"/>
    <x v="0"/>
    <x v="1"/>
    <n v="0"/>
    <s v="REG101426"/>
    <s v="Cust 4392"/>
    <n v="37.81"/>
    <x v="2"/>
    <d v="2023-05-17T00:00:00"/>
    <s v="Eric"/>
  </r>
  <r>
    <d v="2024-06-22T00:00:00"/>
    <n v="1334.799"/>
    <n v="266.95980000000003"/>
    <x v="3"/>
    <x v="4"/>
    <n v="18"/>
    <n v="91.55"/>
    <s v="Store C"/>
    <x v="1"/>
    <n v="0.1"/>
    <s v="Alice"/>
    <n v="1483.11"/>
    <x v="3"/>
    <x v="0"/>
    <n v="0"/>
    <s v="REG101427"/>
    <s v="Cust 4404"/>
    <n v="32.54"/>
    <x v="728"/>
    <d v="2024-06-29T00:00:00"/>
    <s v="Cameron"/>
  </r>
  <r>
    <d v="2025-03-29T00:00:00"/>
    <n v="1198.1034000000002"/>
    <n v="239.62068000000005"/>
    <x v="4"/>
    <x v="5"/>
    <n v="13"/>
    <n v="113.78"/>
    <s v="Store C"/>
    <x v="0"/>
    <n v="0.1"/>
    <s v="Eva"/>
    <n v="1331.2260000000001"/>
    <x v="0"/>
    <x v="0"/>
    <n v="0"/>
    <s v="REG101428"/>
    <s v="Cust 2981"/>
    <n v="28.07"/>
    <x v="259"/>
    <d v="2025-04-07T00:00:00"/>
    <s v="Wendy"/>
  </r>
  <r>
    <d v="2023-04-18T00:00:00"/>
    <n v="7646.56"/>
    <n v="1529.3120000000001"/>
    <x v="2"/>
    <x v="5"/>
    <n v="16"/>
    <n v="477.91"/>
    <s v="Store A"/>
    <x v="0"/>
    <n v="0"/>
    <s v="Carlos"/>
    <n v="7646.56"/>
    <x v="2"/>
    <x v="2"/>
    <n v="0"/>
    <s v="REG101429"/>
    <s v="Cust 3571"/>
    <n v="21.89"/>
    <x v="625"/>
    <d v="2023-04-23T00:00:00"/>
    <s v="Ryan"/>
  </r>
  <r>
    <d v="2023-02-07T00:00:00"/>
    <n v="3474.4626000000003"/>
    <n v="694.8925200000001"/>
    <x v="3"/>
    <x v="0"/>
    <n v="14"/>
    <n v="306.39"/>
    <s v="Store A"/>
    <x v="1"/>
    <n v="0.1"/>
    <s v="Eva"/>
    <n v="3860.5140000000001"/>
    <x v="4"/>
    <x v="2"/>
    <n v="0"/>
    <s v="REG101430"/>
    <s v="Cust 2592"/>
    <n v="38.729999999999997"/>
    <x v="230"/>
    <d v="2023-02-09T00:00:00"/>
    <s v="Cameron"/>
  </r>
  <r>
    <d v="2025-01-22T00:00:00"/>
    <n v="127.80302500000001"/>
    <n v="25.560605000000002"/>
    <x v="0"/>
    <x v="5"/>
    <n v="17"/>
    <n v="8.33"/>
    <s v="Store A"/>
    <x v="1"/>
    <n v="0.05"/>
    <s v="Eva"/>
    <n v="134.52950000000001"/>
    <x v="4"/>
    <x v="3"/>
    <n v="0"/>
    <s v="REG101431"/>
    <s v="Cust 6209"/>
    <n v="43.29"/>
    <x v="729"/>
    <d v="2025-01-25T00:00:00"/>
    <s v="Eric"/>
  </r>
  <r>
    <d v="2023-07-04T00:00:00"/>
    <n v="1878.2469000000001"/>
    <n v="375.64938000000006"/>
    <x v="0"/>
    <x v="1"/>
    <n v="6"/>
    <n v="346.86"/>
    <s v="Store C"/>
    <x v="1"/>
    <n v="0.05"/>
    <s v="Eva"/>
    <n v="1977.1020000000001"/>
    <x v="1"/>
    <x v="0"/>
    <n v="0"/>
    <s v="REG101432"/>
    <s v="Cust 6600"/>
    <n v="29.18"/>
    <x v="250"/>
    <d v="2023-07-12T00:00:00"/>
    <s v="Eric"/>
  </r>
  <r>
    <d v="2023-07-31T00:00:00"/>
    <n v="2531.7683999999999"/>
    <n v="506.35368"/>
    <x v="3"/>
    <x v="2"/>
    <n v="14"/>
    <n v="223.26"/>
    <s v="Store B"/>
    <x v="0"/>
    <n v="0.1"/>
    <s v="Alice"/>
    <n v="2813.076"/>
    <x v="2"/>
    <x v="2"/>
    <n v="0"/>
    <s v="REG101433"/>
    <s v="Cust 6899"/>
    <n v="12.88"/>
    <x v="65"/>
    <d v="2023-08-03T00:00:00"/>
    <s v="Cameron"/>
  </r>
  <r>
    <d v="2023-04-20T00:00:00"/>
    <n v="3174.6"/>
    <n v="634.92000000000007"/>
    <x v="2"/>
    <x v="2"/>
    <n v="6"/>
    <n v="529.1"/>
    <s v="Store D"/>
    <x v="0"/>
    <n v="0"/>
    <s v="Eva"/>
    <n v="3174.6"/>
    <x v="3"/>
    <x v="2"/>
    <n v="0"/>
    <s v="REG101434"/>
    <s v="Cust 1563"/>
    <n v="5.13"/>
    <x v="730"/>
    <d v="2023-04-27T00:00:00"/>
    <s v="Ryan"/>
  </r>
  <r>
    <d v="2024-10-08T00:00:00"/>
    <n v="867.29940000000011"/>
    <n v="173.45988000000003"/>
    <x v="3"/>
    <x v="5"/>
    <n v="11"/>
    <n v="97.34"/>
    <s v="Store D"/>
    <x v="0"/>
    <n v="0.1"/>
    <s v="Carlos"/>
    <n v="963.66600000000005"/>
    <x v="3"/>
    <x v="1"/>
    <n v="0"/>
    <s v="REG101435"/>
    <s v="Cust 6733"/>
    <n v="10.61"/>
    <x v="485"/>
    <d v="2024-10-11T00:00:00"/>
    <s v="Cameron"/>
  </r>
  <r>
    <d v="2024-01-25T00:00:00"/>
    <n v="3767.9499000000001"/>
    <n v="753.58998000000008"/>
    <x v="0"/>
    <x v="3"/>
    <n v="11"/>
    <n v="422.89"/>
    <s v="Store B"/>
    <x v="1"/>
    <n v="0.1"/>
    <s v="Frank"/>
    <n v="4186.6109999999999"/>
    <x v="2"/>
    <x v="1"/>
    <n v="0"/>
    <s v="REG101436"/>
    <s v="Cust 7635"/>
    <n v="45.89"/>
    <x v="109"/>
    <d v="2024-01-27T00:00:00"/>
    <s v="Eric"/>
  </r>
  <r>
    <d v="2024-12-16T00:00:00"/>
    <n v="2011.3837000000001"/>
    <n v="402.27674000000002"/>
    <x v="1"/>
    <x v="4"/>
    <n v="4"/>
    <n v="557.16999999999996"/>
    <s v="Store C"/>
    <x v="0"/>
    <n v="0.05"/>
    <s v="Frank"/>
    <n v="2117.2460000000001"/>
    <x v="2"/>
    <x v="3"/>
    <n v="0"/>
    <s v="REG101437"/>
    <s v="Cust 4354"/>
    <n v="32.159999999999997"/>
    <x v="284"/>
    <d v="2024-12-25T00:00:00"/>
    <s v="Sophie"/>
  </r>
  <r>
    <d v="2024-10-24T00:00:00"/>
    <n v="3350.8485000000001"/>
    <n v="670.16970000000003"/>
    <x v="3"/>
    <x v="6"/>
    <n v="9"/>
    <n v="459.65"/>
    <s v="Store B"/>
    <x v="1"/>
    <n v="0.1"/>
    <s v="Bob"/>
    <n v="3723.165"/>
    <x v="1"/>
    <x v="2"/>
    <n v="1"/>
    <s v="REG101438"/>
    <s v="Cust 1462"/>
    <n v="22.24"/>
    <x v="408"/>
    <d v="2024-11-01T00:00:00"/>
    <s v="Cameron"/>
  </r>
  <r>
    <d v="2023-11-16T00:00:00"/>
    <n v="3196.9079999999999"/>
    <n v="639.38160000000005"/>
    <x v="4"/>
    <x v="4"/>
    <n v="8"/>
    <n v="493.35"/>
    <s v="Store A"/>
    <x v="1"/>
    <n v="0.1"/>
    <s v="Alice"/>
    <n v="3552.12"/>
    <x v="4"/>
    <x v="0"/>
    <n v="1"/>
    <s v="REG101439"/>
    <s v="Cust 1376"/>
    <n v="12.86"/>
    <x v="346"/>
    <d v="2023-11-20T00:00:00"/>
    <s v="Wendy"/>
  </r>
  <r>
    <d v="2024-03-31T00:00:00"/>
    <n v="5571.67"/>
    <n v="1114.3340000000001"/>
    <x v="1"/>
    <x v="0"/>
    <n v="13"/>
    <n v="428.59"/>
    <s v="Store D"/>
    <x v="1"/>
    <n v="0"/>
    <s v="Bob"/>
    <n v="5571.67"/>
    <x v="4"/>
    <x v="0"/>
    <n v="0"/>
    <s v="REG101440"/>
    <s v="Cust 6542"/>
    <n v="23.89"/>
    <x v="199"/>
    <d v="2024-04-08T00:00:00"/>
    <s v="Sophie"/>
  </r>
  <r>
    <d v="2023-02-13T00:00:00"/>
    <n v="1529.529925"/>
    <n v="305.90598500000004"/>
    <x v="0"/>
    <x v="0"/>
    <n v="7"/>
    <n v="242.11"/>
    <s v="Store C"/>
    <x v="0"/>
    <n v="0.05"/>
    <s v="Eva"/>
    <n v="1610.0315000000001"/>
    <x v="3"/>
    <x v="2"/>
    <n v="0"/>
    <s v="REG101441"/>
    <s v="Cust 1186"/>
    <n v="47.19"/>
    <x v="278"/>
    <d v="2023-02-18T00:00:00"/>
    <s v="Eric"/>
  </r>
  <r>
    <d v="2023-09-20T00:00:00"/>
    <n v="7324.2026499999993"/>
    <n v="1464.8405299999999"/>
    <x v="1"/>
    <x v="5"/>
    <n v="17"/>
    <n v="477.38"/>
    <s v="Store C"/>
    <x v="1"/>
    <n v="0.05"/>
    <s v="Alice"/>
    <n v="7709.6869999999999"/>
    <x v="1"/>
    <x v="0"/>
    <n v="0"/>
    <s v="REG101442"/>
    <s v="Cust 4386"/>
    <n v="35.28"/>
    <x v="567"/>
    <d v="2023-09-27T00:00:00"/>
    <s v="Sophie"/>
  </r>
  <r>
    <d v="2023-06-27T00:00:00"/>
    <n v="708.28200000000004"/>
    <n v="141.65640000000002"/>
    <x v="1"/>
    <x v="3"/>
    <n v="3"/>
    <n v="261.60000000000002"/>
    <s v="Store D"/>
    <x v="1"/>
    <n v="0.05"/>
    <s v="Diana"/>
    <n v="745.56000000000006"/>
    <x v="4"/>
    <x v="2"/>
    <n v="0"/>
    <s v="REG101443"/>
    <s v="Cust 6708"/>
    <n v="42.11"/>
    <x v="161"/>
    <d v="2023-07-07T00:00:00"/>
    <s v="Sophie"/>
  </r>
  <r>
    <d v="2025-04-02T00:00:00"/>
    <n v="2253.723"/>
    <n v="450.74459999999999"/>
    <x v="3"/>
    <x v="0"/>
    <n v="6"/>
    <n v="416.2"/>
    <s v="Store A"/>
    <x v="0"/>
    <n v="0.05"/>
    <s v="Alice"/>
    <n v="2372.34"/>
    <x v="4"/>
    <x v="2"/>
    <n v="1"/>
    <s v="REG101444"/>
    <s v="Cust 6354"/>
    <n v="44.14"/>
    <x v="177"/>
    <d v="2025-04-06T00:00:00"/>
    <s v="Cameron"/>
  </r>
  <r>
    <d v="2025-04-16T00:00:00"/>
    <n v="1494.9"/>
    <n v="298.98"/>
    <x v="2"/>
    <x v="6"/>
    <n v="15"/>
    <n v="99.66"/>
    <s v="Store A"/>
    <x v="0"/>
    <n v="0"/>
    <s v="Eva"/>
    <n v="1494.9"/>
    <x v="4"/>
    <x v="0"/>
    <n v="0"/>
    <s v="REG101445"/>
    <s v="Cust 3477"/>
    <n v="27.55"/>
    <x v="454"/>
    <d v="2025-04-26T00:00:00"/>
    <s v="Ryan"/>
  </r>
  <r>
    <d v="2024-07-09T00:00:00"/>
    <n v="642.27359999999999"/>
    <n v="128.45472000000001"/>
    <x v="3"/>
    <x v="0"/>
    <n v="16"/>
    <n v="55.56"/>
    <s v="Store D"/>
    <x v="0"/>
    <n v="0.15"/>
    <s v="Frank"/>
    <n v="755.61599999999999"/>
    <x v="4"/>
    <x v="3"/>
    <n v="1"/>
    <s v="REG101446"/>
    <s v="Cust 6646"/>
    <n v="17.809999999999999"/>
    <x v="540"/>
    <d v="2024-07-17T00:00:00"/>
    <s v="Cameron"/>
  </r>
  <r>
    <d v="2025-06-23T00:00:00"/>
    <n v="4394.633499999999"/>
    <n v="878.92669999999987"/>
    <x v="0"/>
    <x v="1"/>
    <n v="20"/>
    <n v="243.47"/>
    <s v="Store A"/>
    <x v="0"/>
    <n v="0.05"/>
    <s v="Alice"/>
    <n v="4625.9299999999994"/>
    <x v="1"/>
    <x v="0"/>
    <n v="1"/>
    <s v="REG101447"/>
    <s v="Cust 4250"/>
    <n v="32.28"/>
    <x v="731"/>
    <d v="2025-07-03T00:00:00"/>
    <s v="Eric"/>
  </r>
  <r>
    <d v="2024-06-09T00:00:00"/>
    <n v="1653.6069"/>
    <n v="330.72138000000001"/>
    <x v="0"/>
    <x v="5"/>
    <n v="11"/>
    <n v="185.59"/>
    <s v="Store B"/>
    <x v="1"/>
    <n v="0.1"/>
    <s v="Carlos"/>
    <n v="1837.3409999999999"/>
    <x v="1"/>
    <x v="3"/>
    <n v="0"/>
    <s v="REG101448"/>
    <s v="Cust 5351"/>
    <n v="45.19"/>
    <x v="732"/>
    <d v="2024-06-18T00:00:00"/>
    <s v="Eric"/>
  </r>
  <r>
    <d v="2023-12-01T00:00:00"/>
    <n v="3448.6149500000001"/>
    <n v="689.7229900000001"/>
    <x v="3"/>
    <x v="2"/>
    <n v="11"/>
    <n v="347.38"/>
    <s v="Store C"/>
    <x v="0"/>
    <n v="0.05"/>
    <s v="Eva"/>
    <n v="3630.1210000000001"/>
    <x v="2"/>
    <x v="0"/>
    <n v="0"/>
    <s v="REG101449"/>
    <s v="Cust 6284"/>
    <n v="24.8"/>
    <x v="112"/>
    <d v="2023-12-03T00:00:00"/>
    <s v="Cameron"/>
  </r>
  <r>
    <d v="2024-07-24T00:00:00"/>
    <n v="4305.3311249999997"/>
    <n v="861.06622500000003"/>
    <x v="4"/>
    <x v="5"/>
    <n v="15"/>
    <n v="318.02999999999997"/>
    <s v="Store D"/>
    <x v="1"/>
    <n v="0.05"/>
    <s v="Diana"/>
    <n v="4531.9274999999998"/>
    <x v="1"/>
    <x v="2"/>
    <n v="1"/>
    <s v="REG101450"/>
    <s v="Cust 9099"/>
    <n v="24.38"/>
    <x v="733"/>
    <d v="2024-07-30T00:00:00"/>
    <s v="Wendy"/>
  </r>
  <r>
    <d v="2023-04-12T00:00:00"/>
    <n v="2626.4681249999999"/>
    <n v="525.29362500000002"/>
    <x v="4"/>
    <x v="3"/>
    <n v="15"/>
    <n v="242.35"/>
    <s v="Store D"/>
    <x v="0"/>
    <n v="0.15"/>
    <s v="Diana"/>
    <n v="3089.9625000000001"/>
    <x v="4"/>
    <x v="2"/>
    <n v="1"/>
    <s v="REG101451"/>
    <s v="Cust 3944"/>
    <n v="14.92"/>
    <x v="264"/>
    <d v="2023-04-19T00:00:00"/>
    <s v="Wendy"/>
  </r>
  <r>
    <d v="2024-12-17T00:00:00"/>
    <n v="177.93007499999999"/>
    <n v="35.586014999999996"/>
    <x v="2"/>
    <x v="2"/>
    <n v="3"/>
    <n v="82.09"/>
    <s v="Store B"/>
    <x v="1"/>
    <n v="0.15"/>
    <s v="Eva"/>
    <n v="209.3295"/>
    <x v="1"/>
    <x v="2"/>
    <n v="1"/>
    <s v="REG101452"/>
    <s v="Cust 6124"/>
    <n v="12.63"/>
    <x v="441"/>
    <d v="2024-12-26T00:00:00"/>
    <s v="Ryan"/>
  </r>
  <r>
    <d v="2024-08-08T00:00:00"/>
    <n v="2064.3992499999999"/>
    <n v="412.87985000000003"/>
    <x v="1"/>
    <x v="4"/>
    <n v="10"/>
    <n v="285.73"/>
    <s v="Store D"/>
    <x v="0"/>
    <n v="0.15"/>
    <s v="Eva"/>
    <n v="2428.7049999999999"/>
    <x v="4"/>
    <x v="2"/>
    <n v="1"/>
    <s v="REG101453"/>
    <s v="Cust 8533"/>
    <n v="26.68"/>
    <x v="669"/>
    <d v="2024-08-14T00:00:00"/>
    <s v="Sophie"/>
  </r>
  <r>
    <d v="2024-09-15T00:00:00"/>
    <n v="4702.7304000000004"/>
    <n v="940.54608000000007"/>
    <x v="0"/>
    <x v="0"/>
    <n v="17"/>
    <n v="341.52"/>
    <s v="Store C"/>
    <x v="0"/>
    <n v="0.1"/>
    <s v="Eva"/>
    <n v="5225.2560000000003"/>
    <x v="2"/>
    <x v="0"/>
    <n v="0"/>
    <s v="REG101454"/>
    <s v="Cust 1135"/>
    <n v="16.670000000000002"/>
    <x v="564"/>
    <d v="2024-09-22T00:00:00"/>
    <s v="Eric"/>
  </r>
  <r>
    <d v="2023-10-08T00:00:00"/>
    <n v="2453.9760000000001"/>
    <n v="490.79520000000002"/>
    <x v="1"/>
    <x v="5"/>
    <n v="14"/>
    <n v="216.4"/>
    <s v="Store D"/>
    <x v="0"/>
    <n v="0.1"/>
    <s v="Diana"/>
    <n v="2726.64"/>
    <x v="3"/>
    <x v="2"/>
    <n v="0"/>
    <s v="REG101455"/>
    <s v="Cust 5638"/>
    <n v="40.74"/>
    <x v="734"/>
    <d v="2023-10-10T00:00:00"/>
    <s v="Sophie"/>
  </r>
  <r>
    <d v="2025-05-23T00:00:00"/>
    <n v="2679.1455999999998"/>
    <n v="535.82911999999999"/>
    <x v="1"/>
    <x v="1"/>
    <n v="16"/>
    <n v="231.76"/>
    <s v="Store B"/>
    <x v="1"/>
    <n v="0.15"/>
    <s v="Bob"/>
    <n v="3151.9360000000001"/>
    <x v="0"/>
    <x v="2"/>
    <n v="1"/>
    <s v="REG101456"/>
    <s v="Cust 1333"/>
    <n v="9.42"/>
    <x v="549"/>
    <d v="2025-05-27T00:00:00"/>
    <s v="Sophie"/>
  </r>
  <r>
    <d v="2023-01-02T00:00:00"/>
    <n v="310.884525"/>
    <n v="62.176905000000005"/>
    <x v="1"/>
    <x v="0"/>
    <n v="7"/>
    <n v="61.47"/>
    <s v="Store C"/>
    <x v="1"/>
    <n v="0.15"/>
    <s v="Eva"/>
    <n v="365.74650000000003"/>
    <x v="0"/>
    <x v="0"/>
    <n v="0"/>
    <s v="REG101457"/>
    <s v="Cust 2394"/>
    <n v="14.44"/>
    <x v="735"/>
    <d v="2023-01-12T00:00:00"/>
    <s v="Sophie"/>
  </r>
  <r>
    <d v="2023-10-19T00:00:00"/>
    <n v="6516.6"/>
    <n v="1303.3200000000002"/>
    <x v="2"/>
    <x v="2"/>
    <n v="15"/>
    <n v="434.44"/>
    <s v="Store B"/>
    <x v="0"/>
    <n v="0"/>
    <s v="Bob"/>
    <n v="6516.6"/>
    <x v="3"/>
    <x v="3"/>
    <n v="1"/>
    <s v="REG101458"/>
    <s v="Cust 8495"/>
    <n v="33.86"/>
    <x v="544"/>
    <d v="2023-10-28T00:00:00"/>
    <s v="Ryan"/>
  </r>
  <r>
    <d v="2025-04-25T00:00:00"/>
    <n v="7744.16"/>
    <n v="1548.8320000000001"/>
    <x v="4"/>
    <x v="3"/>
    <n v="16"/>
    <n v="484.01"/>
    <s v="Store A"/>
    <x v="0"/>
    <n v="0"/>
    <s v="Alice"/>
    <n v="7744.16"/>
    <x v="0"/>
    <x v="1"/>
    <n v="1"/>
    <s v="REG101459"/>
    <s v="Cust 3988"/>
    <n v="9.65"/>
    <x v="659"/>
    <d v="2025-05-01T00:00:00"/>
    <s v="Wendy"/>
  </r>
  <r>
    <d v="2024-03-31T00:00:00"/>
    <n v="110.16"/>
    <n v="22.032"/>
    <x v="3"/>
    <x v="2"/>
    <n v="2"/>
    <n v="55.08"/>
    <s v="Store C"/>
    <x v="0"/>
    <n v="0"/>
    <s v="Frank"/>
    <n v="110.16"/>
    <x v="2"/>
    <x v="0"/>
    <n v="0"/>
    <s v="REG101460"/>
    <s v="Cust 4664"/>
    <n v="9.85"/>
    <x v="199"/>
    <d v="2024-04-04T00:00:00"/>
    <s v="Cameron"/>
  </r>
  <r>
    <d v="2025-01-31T00:00:00"/>
    <n v="2098.6602000000003"/>
    <n v="419.7320400000001"/>
    <x v="2"/>
    <x v="6"/>
    <n v="13"/>
    <n v="223.44"/>
    <s v="Store B"/>
    <x v="1"/>
    <n v="0.15"/>
    <s v="Carlos"/>
    <n v="2469.0120000000002"/>
    <x v="2"/>
    <x v="3"/>
    <n v="1"/>
    <s v="REG101461"/>
    <s v="Cust 5086"/>
    <n v="38.46"/>
    <x v="94"/>
    <d v="2025-02-07T00:00:00"/>
    <s v="Ryan"/>
  </r>
  <r>
    <d v="2025-03-27T00:00:00"/>
    <n v="5441.0641999999998"/>
    <n v="1088.2128399999999"/>
    <x v="0"/>
    <x v="1"/>
    <n v="11"/>
    <n v="548.08000000000004"/>
    <s v="Store D"/>
    <x v="0"/>
    <n v="0.05"/>
    <s v="Eva"/>
    <n v="5727.4359999999997"/>
    <x v="4"/>
    <x v="3"/>
    <n v="0"/>
    <s v="REG101462"/>
    <s v="Cust 8858"/>
    <n v="25.82"/>
    <x v="166"/>
    <d v="2025-04-06T00:00:00"/>
    <s v="Eric"/>
  </r>
  <r>
    <d v="2025-01-19T00:00:00"/>
    <n v="1470.04"/>
    <n v="294.00799999999998"/>
    <x v="3"/>
    <x v="2"/>
    <n v="11"/>
    <n v="133.63999999999999"/>
    <s v="Store D"/>
    <x v="0"/>
    <n v="0"/>
    <s v="Diana"/>
    <n v="1470.04"/>
    <x v="3"/>
    <x v="3"/>
    <n v="1"/>
    <s v="REG101463"/>
    <s v="Cust 8796"/>
    <n v="30.18"/>
    <x v="423"/>
    <d v="2025-01-24T00:00:00"/>
    <s v="Cameron"/>
  </r>
  <r>
    <d v="2024-05-16T00:00:00"/>
    <n v="5676.6015000000007"/>
    <n v="1135.3203000000001"/>
    <x v="2"/>
    <x v="3"/>
    <n v="19"/>
    <n v="368.85"/>
    <s v="Store C"/>
    <x v="1"/>
    <n v="0.1"/>
    <s v="Bob"/>
    <n v="6307.3350000000009"/>
    <x v="1"/>
    <x v="0"/>
    <n v="0"/>
    <s v="REG101464"/>
    <s v="Cust 2496"/>
    <n v="35.369999999999997"/>
    <x v="494"/>
    <d v="2024-05-21T00:00:00"/>
    <s v="Ryan"/>
  </r>
  <r>
    <d v="2023-09-04T00:00:00"/>
    <n v="1623.72"/>
    <n v="324.74400000000003"/>
    <x v="3"/>
    <x v="3"/>
    <n v="14"/>
    <n v="115.98"/>
    <s v="Store A"/>
    <x v="0"/>
    <n v="0"/>
    <s v="Bob"/>
    <n v="1623.72"/>
    <x v="3"/>
    <x v="3"/>
    <n v="0"/>
    <s v="REG101465"/>
    <s v="Cust 5465"/>
    <n v="31.85"/>
    <x v="736"/>
    <d v="2023-09-06T00:00:00"/>
    <s v="Cameron"/>
  </r>
  <r>
    <d v="2023-12-17T00:00:00"/>
    <n v="357.89759999999995"/>
    <n v="71.579519999999988"/>
    <x v="1"/>
    <x v="4"/>
    <n v="9"/>
    <n v="55.04"/>
    <s v="Store B"/>
    <x v="1"/>
    <n v="0.15"/>
    <s v="Alice"/>
    <n v="421.05599999999998"/>
    <x v="0"/>
    <x v="3"/>
    <n v="0"/>
    <s v="REG101466"/>
    <s v="Cust 2311"/>
    <n v="31.09"/>
    <x v="737"/>
    <d v="2023-12-23T00:00:00"/>
    <s v="Sophie"/>
  </r>
  <r>
    <d v="2024-01-15T00:00:00"/>
    <n v="575.93939999999998"/>
    <n v="115.18788000000001"/>
    <x v="3"/>
    <x v="4"/>
    <n v="4"/>
    <n v="159.54"/>
    <s v="Store A"/>
    <x v="0"/>
    <n v="0.05"/>
    <s v="Alice"/>
    <n v="606.25199999999995"/>
    <x v="2"/>
    <x v="0"/>
    <n v="0"/>
    <s v="REG101467"/>
    <s v="Cust 4575"/>
    <n v="32.36"/>
    <x v="481"/>
    <d v="2024-01-21T00:00:00"/>
    <s v="Cameron"/>
  </r>
  <r>
    <d v="2024-12-19T00:00:00"/>
    <n v="2252.25"/>
    <n v="450.45000000000005"/>
    <x v="3"/>
    <x v="0"/>
    <n v="15"/>
    <n v="150.15"/>
    <s v="Store C"/>
    <x v="1"/>
    <n v="0"/>
    <s v="Frank"/>
    <n v="2252.25"/>
    <x v="0"/>
    <x v="2"/>
    <n v="0"/>
    <s v="REG101468"/>
    <s v="Cust 8054"/>
    <n v="35.94"/>
    <x v="1"/>
    <d v="2024-12-29T00:00:00"/>
    <s v="Cameron"/>
  </r>
  <r>
    <d v="2023-12-16T00:00:00"/>
    <n v="521.37"/>
    <n v="104.274"/>
    <x v="2"/>
    <x v="3"/>
    <n v="9"/>
    <n v="57.93"/>
    <s v="Store C"/>
    <x v="0"/>
    <n v="0"/>
    <s v="Bob"/>
    <n v="521.37"/>
    <x v="1"/>
    <x v="0"/>
    <n v="1"/>
    <s v="REG101469"/>
    <s v="Cust 2553"/>
    <n v="28.73"/>
    <x v="77"/>
    <d v="2023-12-18T00:00:00"/>
    <s v="Ryan"/>
  </r>
  <r>
    <d v="2025-05-14T00:00:00"/>
    <n v="1583.2737999999999"/>
    <n v="316.65476000000001"/>
    <x v="3"/>
    <x v="0"/>
    <n v="4"/>
    <n v="438.58"/>
    <s v="Store D"/>
    <x v="1"/>
    <n v="0.05"/>
    <s v="Alice"/>
    <n v="1666.604"/>
    <x v="0"/>
    <x v="2"/>
    <n v="0"/>
    <s v="REG101470"/>
    <s v="Cust 7547"/>
    <n v="5.0999999999999996"/>
    <x v="707"/>
    <d v="2025-05-18T00:00:00"/>
    <s v="Cameron"/>
  </r>
  <r>
    <d v="2023-06-30T00:00:00"/>
    <n v="3217.44"/>
    <n v="643.48800000000006"/>
    <x v="1"/>
    <x v="4"/>
    <n v="6"/>
    <n v="536.24"/>
    <s v="Store D"/>
    <x v="1"/>
    <n v="0"/>
    <s v="Diana"/>
    <n v="3217.44"/>
    <x v="4"/>
    <x v="2"/>
    <n v="0"/>
    <s v="REG101471"/>
    <s v="Cust 8150"/>
    <n v="35.32"/>
    <x v="43"/>
    <d v="2023-07-02T00:00:00"/>
    <s v="Sophie"/>
  </r>
  <r>
    <d v="2025-06-30T00:00:00"/>
    <n v="7205.2739999999994"/>
    <n v="1441.0547999999999"/>
    <x v="1"/>
    <x v="1"/>
    <n v="20"/>
    <n v="444.77"/>
    <s v="Store B"/>
    <x v="0"/>
    <n v="0.1"/>
    <s v="Diana"/>
    <n v="8005.86"/>
    <x v="0"/>
    <x v="3"/>
    <n v="1"/>
    <s v="REG101472"/>
    <s v="Cust 5635"/>
    <n v="20.05"/>
    <x v="148"/>
    <d v="2025-07-07T00:00:00"/>
    <s v="Sophie"/>
  </r>
  <r>
    <d v="2025-03-14T00:00:00"/>
    <n v="1532.4224999999999"/>
    <n v="306.48449999999997"/>
    <x v="3"/>
    <x v="6"/>
    <n v="10"/>
    <n v="212.1"/>
    <s v="Store B"/>
    <x v="1"/>
    <n v="0.15"/>
    <s v="Eva"/>
    <n v="1802.85"/>
    <x v="1"/>
    <x v="2"/>
    <n v="0"/>
    <s v="REG101473"/>
    <s v="Cust 4360"/>
    <n v="47.93"/>
    <x v="95"/>
    <d v="2025-03-22T00:00:00"/>
    <s v="Cameron"/>
  </r>
  <r>
    <d v="2023-04-18T00:00:00"/>
    <n v="3312.6335999999997"/>
    <n v="662.52671999999995"/>
    <x v="1"/>
    <x v="1"/>
    <n v="9"/>
    <n v="509.44"/>
    <s v="Store B"/>
    <x v="1"/>
    <n v="0.15"/>
    <s v="Eva"/>
    <n v="3897.2159999999999"/>
    <x v="2"/>
    <x v="1"/>
    <n v="0"/>
    <s v="REG101474"/>
    <s v="Cust 1624"/>
    <n v="13"/>
    <x v="625"/>
    <d v="2023-04-27T00:00:00"/>
    <s v="Sophie"/>
  </r>
  <r>
    <d v="2024-09-11T00:00:00"/>
    <n v="1365.0626"/>
    <n v="273.01251999999999"/>
    <x v="4"/>
    <x v="4"/>
    <n v="8"/>
    <n v="236.17"/>
    <s v="Store C"/>
    <x v="0"/>
    <n v="0.15"/>
    <s v="Frank"/>
    <n v="1605.9559999999999"/>
    <x v="4"/>
    <x v="2"/>
    <n v="0"/>
    <s v="REG101475"/>
    <s v="Cust 6593"/>
    <n v="22.88"/>
    <x v="303"/>
    <d v="2024-09-19T00:00:00"/>
    <s v="Wendy"/>
  </r>
  <r>
    <d v="2023-11-21T00:00:00"/>
    <n v="147.4"/>
    <n v="29.480000000000004"/>
    <x v="3"/>
    <x v="6"/>
    <n v="1"/>
    <n v="147.4"/>
    <s v="Store D"/>
    <x v="1"/>
    <n v="0"/>
    <s v="Carlos"/>
    <n v="147.4"/>
    <x v="4"/>
    <x v="1"/>
    <n v="1"/>
    <s v="REG101476"/>
    <s v="Cust 9072"/>
    <n v="40.47"/>
    <x v="283"/>
    <d v="2023-11-28T00:00:00"/>
    <s v="Cameron"/>
  </r>
  <r>
    <d v="2024-02-29T00:00:00"/>
    <n v="2019.7227999999998"/>
    <n v="403.94455999999997"/>
    <x v="4"/>
    <x v="5"/>
    <n v="8"/>
    <n v="279.74"/>
    <s v="Store B"/>
    <x v="1"/>
    <n v="0.05"/>
    <s v="Alice"/>
    <n v="2126.0239999999999"/>
    <x v="1"/>
    <x v="0"/>
    <n v="0"/>
    <s v="REG101477"/>
    <s v="Cust 1116"/>
    <n v="33.1"/>
    <x v="459"/>
    <d v="2024-03-07T00:00:00"/>
    <s v="Wendy"/>
  </r>
  <r>
    <d v="2023-05-11T00:00:00"/>
    <n v="824.73157500000002"/>
    <n v="164.94631500000003"/>
    <x v="4"/>
    <x v="0"/>
    <n v="3"/>
    <n v="304.61"/>
    <s v="Store B"/>
    <x v="0"/>
    <n v="0.05"/>
    <s v="Bob"/>
    <n v="868.13850000000002"/>
    <x v="4"/>
    <x v="1"/>
    <n v="0"/>
    <s v="REG101478"/>
    <s v="Cust 8458"/>
    <n v="47.14"/>
    <x v="738"/>
    <d v="2023-05-15T00:00:00"/>
    <s v="Wendy"/>
  </r>
  <r>
    <d v="2024-09-11T00:00:00"/>
    <n v="2144.88"/>
    <n v="428.97600000000006"/>
    <x v="1"/>
    <x v="5"/>
    <n v="9"/>
    <n v="238.32"/>
    <s v="Store C"/>
    <x v="1"/>
    <n v="0"/>
    <s v="Diana"/>
    <n v="2144.88"/>
    <x v="4"/>
    <x v="2"/>
    <n v="1"/>
    <s v="REG101479"/>
    <s v="Cust 5409"/>
    <n v="8.5"/>
    <x v="303"/>
    <d v="2024-09-20T00:00:00"/>
    <s v="Sophie"/>
  </r>
  <r>
    <d v="2024-08-16T00:00:00"/>
    <n v="6264.4752000000008"/>
    <n v="1252.8950400000003"/>
    <x v="4"/>
    <x v="6"/>
    <n v="16"/>
    <n v="483.37"/>
    <s v="Store B"/>
    <x v="1"/>
    <n v="0.1"/>
    <s v="Alice"/>
    <n v="6960.5280000000002"/>
    <x v="3"/>
    <x v="3"/>
    <n v="0"/>
    <s v="REG101480"/>
    <s v="Cust 8847"/>
    <n v="42.52"/>
    <x v="739"/>
    <d v="2024-08-22T00:00:00"/>
    <s v="Wendy"/>
  </r>
  <r>
    <d v="2025-05-30T00:00:00"/>
    <n v="863.85495000000003"/>
    <n v="172.77099000000001"/>
    <x v="2"/>
    <x v="4"/>
    <n v="6"/>
    <n v="159.53"/>
    <s v="Store A"/>
    <x v="1"/>
    <n v="0.05"/>
    <s v="Bob"/>
    <n v="909.32100000000003"/>
    <x v="1"/>
    <x v="3"/>
    <n v="0"/>
    <s v="REG101481"/>
    <s v="Cust 7857"/>
    <n v="48.6"/>
    <x v="740"/>
    <d v="2025-06-07T00:00:00"/>
    <s v="Ryan"/>
  </r>
  <r>
    <d v="2023-08-22T00:00:00"/>
    <n v="4318.4340000000002"/>
    <n v="863.68680000000006"/>
    <x v="0"/>
    <x v="2"/>
    <n v="19"/>
    <n v="280.60000000000002"/>
    <s v="Store A"/>
    <x v="0"/>
    <n v="0.1"/>
    <s v="Frank"/>
    <n v="4798.26"/>
    <x v="1"/>
    <x v="0"/>
    <n v="0"/>
    <s v="REG101482"/>
    <s v="Cust 7810"/>
    <n v="35.94"/>
    <x v="530"/>
    <d v="2023-08-28T00:00:00"/>
    <s v="Eric"/>
  </r>
  <r>
    <d v="2024-01-23T00:00:00"/>
    <n v="703.91390000000001"/>
    <n v="140.78278"/>
    <x v="0"/>
    <x v="5"/>
    <n v="2"/>
    <n v="389.98"/>
    <s v="Store D"/>
    <x v="0"/>
    <n v="0.05"/>
    <s v="Carlos"/>
    <n v="740.96199999999999"/>
    <x v="3"/>
    <x v="1"/>
    <n v="1"/>
    <s v="REG101483"/>
    <s v="Cust 5665"/>
    <n v="24.55"/>
    <x v="145"/>
    <d v="2024-01-25T00:00:00"/>
    <s v="Eric"/>
  </r>
  <r>
    <d v="2023-03-16T00:00:00"/>
    <n v="5960.6972500000002"/>
    <n v="1192.1394500000001"/>
    <x v="2"/>
    <x v="4"/>
    <n v="17"/>
    <n v="485.3"/>
    <s v="Store D"/>
    <x v="1"/>
    <n v="0.15"/>
    <s v="Diana"/>
    <n v="7012.585"/>
    <x v="4"/>
    <x v="2"/>
    <n v="0"/>
    <s v="REG101484"/>
    <s v="Cust 8015"/>
    <n v="37.94"/>
    <x v="399"/>
    <d v="2023-03-23T00:00:00"/>
    <s v="Ryan"/>
  </r>
  <r>
    <d v="2025-05-16T00:00:00"/>
    <n v="1888.96"/>
    <n v="377.79200000000003"/>
    <x v="1"/>
    <x v="0"/>
    <n v="4"/>
    <n v="472.24"/>
    <s v="Store D"/>
    <x v="1"/>
    <n v="0"/>
    <s v="Alice"/>
    <n v="1888.96"/>
    <x v="1"/>
    <x v="0"/>
    <n v="1"/>
    <s v="REG101485"/>
    <s v="Cust 7211"/>
    <n v="6.78"/>
    <x v="120"/>
    <d v="2025-05-21T00:00:00"/>
    <s v="Sophie"/>
  </r>
  <r>
    <d v="2023-05-23T00:00:00"/>
    <n v="1148.24"/>
    <n v="229.64800000000002"/>
    <x v="0"/>
    <x v="4"/>
    <n v="8"/>
    <n v="143.53"/>
    <s v="Store D"/>
    <x v="0"/>
    <n v="0"/>
    <s v="Alice"/>
    <n v="1148.24"/>
    <x v="4"/>
    <x v="2"/>
    <n v="0"/>
    <s v="REG101486"/>
    <s v="Cust 8705"/>
    <n v="9.1"/>
    <x v="515"/>
    <d v="2023-05-29T00:00:00"/>
    <s v="Eric"/>
  </r>
  <r>
    <d v="2024-06-16T00:00:00"/>
    <n v="799.59999999999991"/>
    <n v="159.91999999999999"/>
    <x v="2"/>
    <x v="3"/>
    <n v="5"/>
    <n v="159.91999999999999"/>
    <s v="Store B"/>
    <x v="0"/>
    <n v="0"/>
    <s v="Carlos"/>
    <n v="799.59999999999991"/>
    <x v="4"/>
    <x v="1"/>
    <n v="0"/>
    <s v="REG101487"/>
    <s v="Cust 2905"/>
    <n v="10.86"/>
    <x v="40"/>
    <d v="2024-06-23T00:00:00"/>
    <s v="Ryan"/>
  </r>
  <r>
    <d v="2025-01-28T00:00:00"/>
    <n v="5248.416549999999"/>
    <n v="1049.6833099999999"/>
    <x v="3"/>
    <x v="4"/>
    <n v="13"/>
    <n v="447.34"/>
    <s v="Store A"/>
    <x v="0"/>
    <n v="0.05"/>
    <s v="Frank"/>
    <n v="5524.6489999999994"/>
    <x v="4"/>
    <x v="1"/>
    <n v="0"/>
    <s v="REG101488"/>
    <s v="Cust 5777"/>
    <n v="38.93"/>
    <x v="741"/>
    <d v="2025-02-04T00:00:00"/>
    <s v="Cameron"/>
  </r>
  <r>
    <d v="2024-11-27T00:00:00"/>
    <n v="2072.3040000000001"/>
    <n v="414.46080000000006"/>
    <x v="1"/>
    <x v="1"/>
    <n v="13"/>
    <n v="196.8"/>
    <s v="Store B"/>
    <x v="1"/>
    <n v="0.1"/>
    <s v="Diana"/>
    <n v="2302.56"/>
    <x v="4"/>
    <x v="3"/>
    <n v="0"/>
    <s v="REG101489"/>
    <s v="Cust 6695"/>
    <n v="10.119999999999999"/>
    <x v="742"/>
    <d v="2024-12-07T00:00:00"/>
    <s v="Sophie"/>
  </r>
  <r>
    <d v="2023-10-09T00:00:00"/>
    <n v="1180.5183"/>
    <n v="236.10365999999999"/>
    <x v="3"/>
    <x v="3"/>
    <n v="3"/>
    <n v="485.81"/>
    <s v="Store A"/>
    <x v="0"/>
    <n v="0.1"/>
    <s v="Eva"/>
    <n v="1311.6869999999999"/>
    <x v="3"/>
    <x v="1"/>
    <n v="0"/>
    <s v="REG101490"/>
    <s v="Cust 1977"/>
    <n v="19.46"/>
    <x v="743"/>
    <d v="2023-10-11T00:00:00"/>
    <s v="Cameron"/>
  </r>
  <r>
    <d v="2024-07-21T00:00:00"/>
    <n v="2651.4727999999996"/>
    <n v="530.29455999999993"/>
    <x v="4"/>
    <x v="1"/>
    <n v="16"/>
    <n v="183.62"/>
    <s v="Store A"/>
    <x v="0"/>
    <n v="0.05"/>
    <s v="Bob"/>
    <n v="2791.0239999999999"/>
    <x v="1"/>
    <x v="2"/>
    <n v="0"/>
    <s v="REG101491"/>
    <s v="Cust 7979"/>
    <n v="6.56"/>
    <x v="744"/>
    <d v="2024-07-31T00:00:00"/>
    <s v="Wendy"/>
  </r>
  <r>
    <d v="2024-07-03T00:00:00"/>
    <n v="673.39134999999999"/>
    <n v="134.67827"/>
    <x v="0"/>
    <x v="4"/>
    <n v="2"/>
    <n v="373.07"/>
    <s v="Store A"/>
    <x v="1"/>
    <n v="0.05"/>
    <s v="Diana"/>
    <n v="708.83299999999997"/>
    <x v="2"/>
    <x v="0"/>
    <n v="0"/>
    <s v="REG101492"/>
    <s v="Cust 2437"/>
    <n v="26.9"/>
    <x v="691"/>
    <d v="2024-07-07T00:00:00"/>
    <s v="Eric"/>
  </r>
  <r>
    <d v="2024-09-24T00:00:00"/>
    <n v="8970.56"/>
    <n v="1794.1120000000001"/>
    <x v="4"/>
    <x v="4"/>
    <n v="17"/>
    <n v="527.67999999999995"/>
    <s v="Store B"/>
    <x v="0"/>
    <n v="0"/>
    <s v="Diana"/>
    <n v="8970.56"/>
    <x v="1"/>
    <x v="0"/>
    <n v="0"/>
    <s v="REG101493"/>
    <s v="Cust 2516"/>
    <n v="29.19"/>
    <x v="745"/>
    <d v="2024-10-02T00:00:00"/>
    <s v="Wendy"/>
  </r>
  <r>
    <d v="2025-01-14T00:00:00"/>
    <n v="1006.45"/>
    <n v="201.29000000000002"/>
    <x v="0"/>
    <x v="5"/>
    <n v="5"/>
    <n v="201.29"/>
    <s v="Store D"/>
    <x v="0"/>
    <n v="0"/>
    <s v="Carlos"/>
    <n v="1006.45"/>
    <x v="0"/>
    <x v="0"/>
    <n v="0"/>
    <s v="REG101494"/>
    <s v="Cust 6791"/>
    <n v="49.13"/>
    <x v="679"/>
    <d v="2025-01-21T00:00:00"/>
    <s v="Eric"/>
  </r>
  <r>
    <d v="2025-02-17T00:00:00"/>
    <n v="1578.7251999999999"/>
    <n v="315.74504000000002"/>
    <x v="4"/>
    <x v="2"/>
    <n v="13"/>
    <n v="134.56"/>
    <s v="Store D"/>
    <x v="1"/>
    <n v="0.05"/>
    <s v="Carlos"/>
    <n v="1661.816"/>
    <x v="2"/>
    <x v="2"/>
    <n v="0"/>
    <s v="REG101495"/>
    <s v="Cust 5227"/>
    <n v="35.630000000000003"/>
    <x v="130"/>
    <d v="2025-02-22T00:00:00"/>
    <s v="Wendy"/>
  </r>
  <r>
    <d v="2024-01-11T00:00:00"/>
    <n v="2727.7987499999999"/>
    <n v="545.55975000000001"/>
    <x v="1"/>
    <x v="3"/>
    <n v="18"/>
    <n v="209.75"/>
    <s v="Store C"/>
    <x v="0"/>
    <n v="0.15"/>
    <s v="Frank"/>
    <n v="3209.1750000000002"/>
    <x v="3"/>
    <x v="0"/>
    <n v="0"/>
    <s v="REG101496"/>
    <s v="Cust 5559"/>
    <n v="45.93"/>
    <x v="746"/>
    <d v="2024-01-17T00:00:00"/>
    <s v="Sophie"/>
  </r>
  <r>
    <d v="2024-07-27T00:00:00"/>
    <n v="272.5"/>
    <n v="54.5"/>
    <x v="0"/>
    <x v="2"/>
    <n v="1"/>
    <n v="272.5"/>
    <s v="Store A"/>
    <x v="0"/>
    <n v="0"/>
    <s v="Eva"/>
    <n v="272.5"/>
    <x v="1"/>
    <x v="2"/>
    <n v="0"/>
    <s v="REG101497"/>
    <s v="Cust 8981"/>
    <n v="35.56"/>
    <x v="480"/>
    <d v="2024-08-03T00:00:00"/>
    <s v="Eric"/>
  </r>
  <r>
    <d v="2024-12-03T00:00:00"/>
    <n v="3318.83545"/>
    <n v="663.76709000000005"/>
    <x v="3"/>
    <x v="4"/>
    <n v="14"/>
    <n v="262.67"/>
    <s v="Store A"/>
    <x v="1"/>
    <n v="0.05"/>
    <s v="Carlos"/>
    <n v="3493.511"/>
    <x v="1"/>
    <x v="1"/>
    <n v="0"/>
    <s v="REG101498"/>
    <s v="Cust 1824"/>
    <n v="24.53"/>
    <x v="581"/>
    <d v="2024-12-10T00:00:00"/>
    <s v="Cameron"/>
  </r>
  <r>
    <d v="2025-05-09T00:00:00"/>
    <n v="2878.07"/>
    <n v="575.61400000000003"/>
    <x v="4"/>
    <x v="3"/>
    <n v="13"/>
    <n v="221.39"/>
    <s v="Store D"/>
    <x v="0"/>
    <n v="0"/>
    <s v="Frank"/>
    <n v="2878.07"/>
    <x v="3"/>
    <x v="0"/>
    <n v="1"/>
    <s v="REG101499"/>
    <s v="Cust 1935"/>
    <n v="21.05"/>
    <x v="589"/>
    <d v="2025-05-13T00:00:00"/>
    <s v="Wendy"/>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5BB461A-5AAD-4273-855C-8DE250B5ED0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B35" firstHeaderRow="1" firstDataRow="1" firstDataCol="1"/>
  <pivotFields count="23">
    <pivotField numFmtId="14" showAll="0"/>
    <pivotField dataField="1" numFmtId="164" showAll="0"/>
    <pivotField numFmtId="164" showAll="0"/>
    <pivotField showAll="0"/>
    <pivotField showAll="0"/>
    <pivotField showAll="0"/>
    <pivotField showAll="0"/>
    <pivotField showAll="0"/>
    <pivotField showAll="0"/>
    <pivotField numFmtId="10" showAll="0"/>
    <pivotField showAll="0"/>
    <pivotField showAll="0"/>
    <pivotField showAll="0"/>
    <pivotField showAll="0"/>
    <pivotField showAll="0"/>
    <pivotField showAll="0"/>
    <pivotField showAll="0"/>
    <pivotField showAll="0"/>
    <pivotField numFmtId="1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numFmtId="14" showAll="0"/>
    <pivotField showAll="0"/>
    <pivotField axis="axisRow" showAll="0">
      <items count="15">
        <item x="0"/>
        <item x="1"/>
        <item x="2"/>
        <item x="3"/>
        <item x="4"/>
        <item x="5"/>
        <item x="6"/>
        <item x="7"/>
        <item x="8"/>
        <item x="9"/>
        <item x="10"/>
        <item x="11"/>
        <item x="12"/>
        <item x="13"/>
        <item t="default"/>
      </items>
    </pivotField>
    <pivotField axis="axisRow" showAll="0">
      <items count="6">
        <item x="0"/>
        <item x="1"/>
        <item x="2"/>
        <item x="3"/>
        <item x="4"/>
        <item t="default"/>
      </items>
    </pivotField>
  </pivotFields>
  <rowFields count="2">
    <field x="22"/>
    <field x="21"/>
  </rowFields>
  <rowItems count="34">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t="grand">
      <x/>
    </i>
  </rowItems>
  <colItems count="1">
    <i/>
  </colItems>
  <dataFields count="1">
    <dataField name="Sum of Net Sales" fld="1" baseField="0" baseItem="0" numFmtId="164"/>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9D863FD-527F-4E7E-B7BE-9E0E94AFC71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9" firstHeaderRow="1" firstDataRow="1" firstDataCol="1"/>
  <pivotFields count="23">
    <pivotField numFmtId="14" showAll="0"/>
    <pivotField dataField="1" numFmtId="164" showAll="0"/>
    <pivotField numFmtId="164" showAll="0"/>
    <pivotField axis="axisRow" showAll="0">
      <items count="6">
        <item x="3"/>
        <item x="0"/>
        <item x="2"/>
        <item x="1"/>
        <item x="4"/>
        <item t="default"/>
      </items>
    </pivotField>
    <pivotField showAll="0"/>
    <pivotField showAll="0"/>
    <pivotField showAll="0"/>
    <pivotField showAll="0"/>
    <pivotField showAll="0"/>
    <pivotField numFmtId="10" showAll="0"/>
    <pivotField showAll="0"/>
    <pivotField showAll="0"/>
    <pivotField showAll="0"/>
    <pivotField showAll="0"/>
    <pivotField showAll="0"/>
    <pivotField showAll="0"/>
    <pivotField showAll="0"/>
    <pivotField showAll="0"/>
    <pivotField numFmtId="1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numFmtId="14" showAll="0"/>
    <pivotField showAll="0"/>
    <pivotField showAll="0" defaultSubtotal="0"/>
    <pivotField showAll="0" defaultSubtotal="0">
      <items count="5">
        <item x="0"/>
        <item x="1"/>
        <item x="2"/>
        <item x="3"/>
        <item x="4"/>
      </items>
    </pivotField>
  </pivotFields>
  <rowFields count="1">
    <field x="3"/>
  </rowFields>
  <rowItems count="6">
    <i>
      <x/>
    </i>
    <i>
      <x v="1"/>
    </i>
    <i>
      <x v="2"/>
    </i>
    <i>
      <x v="3"/>
    </i>
    <i>
      <x v="4"/>
    </i>
    <i t="grand">
      <x/>
    </i>
  </rowItems>
  <colItems count="1">
    <i/>
  </colItems>
  <dataFields count="1">
    <dataField name="Sum of Net Sales" fld="1" baseField="0" baseItem="0" numFmtId="164"/>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280CB42-60E3-4CAC-A853-FCBC80C5564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1" firstHeaderRow="1" firstDataRow="1" firstDataCol="1"/>
  <pivotFields count="23">
    <pivotField numFmtId="14" showAll="0"/>
    <pivotField dataField="1" numFmtId="164" showAll="0"/>
    <pivotField numFmtId="164" showAll="0"/>
    <pivotField showAll="0"/>
    <pivotField axis="axisRow" showAll="0">
      <items count="8">
        <item x="3"/>
        <item x="2"/>
        <item x="0"/>
        <item x="4"/>
        <item x="1"/>
        <item x="6"/>
        <item x="5"/>
        <item t="default"/>
      </items>
    </pivotField>
    <pivotField showAll="0"/>
    <pivotField showAll="0"/>
    <pivotField showAll="0"/>
    <pivotField showAll="0"/>
    <pivotField numFmtId="10" showAll="0"/>
    <pivotField showAll="0"/>
    <pivotField showAll="0"/>
    <pivotField showAll="0"/>
    <pivotField showAll="0"/>
    <pivotField showAll="0"/>
    <pivotField showAll="0"/>
    <pivotField showAll="0"/>
    <pivotField showAll="0"/>
    <pivotField numFmtId="1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numFmtId="14" showAll="0"/>
    <pivotField showAll="0"/>
    <pivotField showAll="0" defaultSubtotal="0"/>
    <pivotField showAll="0" defaultSubtotal="0">
      <items count="5">
        <item x="0"/>
        <item x="1"/>
        <item x="2"/>
        <item x="3"/>
        <item x="4"/>
      </items>
    </pivotField>
  </pivotFields>
  <rowFields count="1">
    <field x="4"/>
  </rowFields>
  <rowItems count="8">
    <i>
      <x/>
    </i>
    <i>
      <x v="1"/>
    </i>
    <i>
      <x v="2"/>
    </i>
    <i>
      <x v="3"/>
    </i>
    <i>
      <x v="4"/>
    </i>
    <i>
      <x v="5"/>
    </i>
    <i>
      <x v="6"/>
    </i>
    <i t="grand">
      <x/>
    </i>
  </rowItems>
  <colItems count="1">
    <i/>
  </colItems>
  <dataFields count="1">
    <dataField name="Sum of Net Sales" fld="1" baseField="0" baseItem="0" numFmtId="164"/>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0A5EACB-D465-4EB1-989D-F3B4402CD23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9" firstHeaderRow="1" firstDataRow="1" firstDataCol="1"/>
  <pivotFields count="23">
    <pivotField numFmtId="14" showAll="0"/>
    <pivotField numFmtId="164" showAll="0"/>
    <pivotField numFmtId="164" showAll="0"/>
    <pivotField showAll="0">
      <items count="6">
        <item x="3"/>
        <item x="0"/>
        <item x="2"/>
        <item x="1"/>
        <item x="4"/>
        <item t="default"/>
      </items>
    </pivotField>
    <pivotField showAll="0">
      <items count="8">
        <item x="3"/>
        <item x="2"/>
        <item x="0"/>
        <item x="4"/>
        <item x="1"/>
        <item x="6"/>
        <item x="5"/>
        <item t="default"/>
      </items>
    </pivotField>
    <pivotField showAll="0"/>
    <pivotField showAll="0"/>
    <pivotField showAll="0"/>
    <pivotField showAll="0">
      <items count="3">
        <item x="1"/>
        <item x="0"/>
        <item t="default"/>
      </items>
    </pivotField>
    <pivotField numFmtId="10" showAll="0"/>
    <pivotField showAll="0"/>
    <pivotField showAll="0"/>
    <pivotField axis="axisRow" showAll="0">
      <items count="6">
        <item x="4"/>
        <item x="2"/>
        <item x="3"/>
        <item x="1"/>
        <item x="0"/>
        <item t="default"/>
      </items>
    </pivotField>
    <pivotField showAll="0">
      <items count="5">
        <item x="0"/>
        <item x="1"/>
        <item x="2"/>
        <item x="3"/>
        <item t="default"/>
      </items>
    </pivotField>
    <pivotField showAll="0"/>
    <pivotField dataField="1" showAll="0"/>
    <pivotField showAll="0"/>
    <pivotField showAll="0"/>
    <pivotField numFmtId="1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numFmtId="14" showAll="0"/>
    <pivotField showAll="0"/>
    <pivotField showAll="0" defaultSubtotal="0"/>
    <pivotField showAll="0" defaultSubtotal="0">
      <items count="5">
        <item x="0"/>
        <item x="1"/>
        <item x="2"/>
        <item x="3"/>
        <item x="4"/>
      </items>
    </pivotField>
  </pivotFields>
  <rowFields count="1">
    <field x="12"/>
  </rowFields>
  <rowItems count="6">
    <i>
      <x/>
    </i>
    <i>
      <x v="1"/>
    </i>
    <i>
      <x v="2"/>
    </i>
    <i>
      <x v="3"/>
    </i>
    <i>
      <x v="4"/>
    </i>
    <i t="grand">
      <x/>
    </i>
  </rowItems>
  <colItems count="1">
    <i/>
  </colItems>
  <dataFields count="1">
    <dataField name="Count of OrderID" fld="15" subtotal="count" baseField="0" baseItem="0"/>
  </dataFields>
  <chartFormats count="12">
    <chartFormat chart="0" format="0"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12" count="1" selected="0">
            <x v="0"/>
          </reference>
        </references>
      </pivotArea>
    </chartFormat>
    <chartFormat chart="3" format="9">
      <pivotArea type="data" outline="0" fieldPosition="0">
        <references count="2">
          <reference field="4294967294" count="1" selected="0">
            <x v="0"/>
          </reference>
          <reference field="12" count="1" selected="0">
            <x v="1"/>
          </reference>
        </references>
      </pivotArea>
    </chartFormat>
    <chartFormat chart="3" format="10">
      <pivotArea type="data" outline="0" fieldPosition="0">
        <references count="2">
          <reference field="4294967294" count="1" selected="0">
            <x v="0"/>
          </reference>
          <reference field="12" count="1" selected="0">
            <x v="2"/>
          </reference>
        </references>
      </pivotArea>
    </chartFormat>
    <chartFormat chart="3" format="11">
      <pivotArea type="data" outline="0" fieldPosition="0">
        <references count="2">
          <reference field="4294967294" count="1" selected="0">
            <x v="0"/>
          </reference>
          <reference field="12" count="1" selected="0">
            <x v="3"/>
          </reference>
        </references>
      </pivotArea>
    </chartFormat>
    <chartFormat chart="3" format="12">
      <pivotArea type="data" outline="0" fieldPosition="0">
        <references count="2">
          <reference field="4294967294" count="1" selected="0">
            <x v="0"/>
          </reference>
          <reference field="12" count="1" selected="0">
            <x v="4"/>
          </reference>
        </references>
      </pivotArea>
    </chartFormat>
    <chartFormat chart="0" format="1">
      <pivotArea type="data" outline="0" fieldPosition="0">
        <references count="2">
          <reference field="4294967294" count="1" selected="0">
            <x v="0"/>
          </reference>
          <reference field="12" count="1" selected="0">
            <x v="0"/>
          </reference>
        </references>
      </pivotArea>
    </chartFormat>
    <chartFormat chart="0" format="2">
      <pivotArea type="data" outline="0" fieldPosition="0">
        <references count="2">
          <reference field="4294967294" count="1" selected="0">
            <x v="0"/>
          </reference>
          <reference field="12" count="1" selected="0">
            <x v="1"/>
          </reference>
        </references>
      </pivotArea>
    </chartFormat>
    <chartFormat chart="0" format="3">
      <pivotArea type="data" outline="0" fieldPosition="0">
        <references count="2">
          <reference field="4294967294" count="1" selected="0">
            <x v="0"/>
          </reference>
          <reference field="12" count="1" selected="0">
            <x v="2"/>
          </reference>
        </references>
      </pivotArea>
    </chartFormat>
    <chartFormat chart="0" format="4">
      <pivotArea type="data" outline="0" fieldPosition="0">
        <references count="2">
          <reference field="4294967294" count="1" selected="0">
            <x v="0"/>
          </reference>
          <reference field="12" count="1" selected="0">
            <x v="3"/>
          </reference>
        </references>
      </pivotArea>
    </chartFormat>
    <chartFormat chart="0" format="5">
      <pivotArea type="data" outline="0" fieldPosition="0">
        <references count="2">
          <reference field="4294967294" count="1" selected="0">
            <x v="0"/>
          </reference>
          <reference field="1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125BD84-A07C-47F6-ADA4-8EA886919469}" sourceName="Region">
  <pivotTables>
    <pivotTable tabId="5" name="PivotTable4"/>
  </pivotTables>
  <data>
    <tabular pivotCacheId="442579372">
      <items count="5">
        <i x="3" s="1"/>
        <i x="0" s="1"/>
        <i x="2" s="1"/>
        <i x="1"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90C0D327-C98E-4A97-BDAD-C70A61E5D8DB}" sourceName="Product">
  <pivotTables>
    <pivotTable tabId="5" name="PivotTable4"/>
  </pivotTables>
  <data>
    <tabular pivotCacheId="442579372">
      <items count="7">
        <i x="3" s="1"/>
        <i x="2" s="1"/>
        <i x="0" s="1"/>
        <i x="4" s="1"/>
        <i x="1" s="1"/>
        <i x="6"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Type" xr10:uid="{569816FA-890B-40E0-BE4D-662292122B53}" sourceName="CustomerType">
  <pivotTables>
    <pivotTable tabId="5" name="PivotTable4"/>
  </pivotTables>
  <data>
    <tabular pivotCacheId="442579372">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motion" xr10:uid="{5C04A0D0-A346-4BBA-9721-463FC395BE68}" sourceName="Promotion">
  <pivotTables>
    <pivotTable tabId="5" name="PivotTable4"/>
  </pivotTables>
  <data>
    <tabular pivotCacheId="442579372">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28A3F3F4-7F80-45F6-B611-FB3CE5EBD0EE}" cache="Slicer_Region" caption="Region" style="SlicerStyleDark5" rowHeight="241300"/>
  <slicer name="Product" xr10:uid="{F3E41072-7A7D-43B0-9F7F-B3BFF835F6CC}" cache="Slicer_Product" caption="Product" style="SlicerStyleDark4" rowHeight="241300"/>
  <slicer name="CustomerType" xr10:uid="{31E199A6-7E1D-49CB-9897-882B0948647C}" cache="Slicer_CustomerType" caption="CustomerType" style="SlicerStyleDark6" rowHeight="241300"/>
  <slicer name="Promotion" xr10:uid="{40B27326-D3FC-4432-9B17-68E963C0AC4B}" cache="Slicer_Promotion" caption="Promotion" style="SlicerStyleDark5"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1CBCE2A-2E09-472B-9038-33D064A29A4B}" name="Table1" displayName="Table1" ref="A1:U1501" totalsRowShown="0" headerRowDxfId="8" headerRowBorderDxfId="7" tableBorderDxfId="6">
  <autoFilter ref="A1:U1501" xr:uid="{D1CBCE2A-2E09-472B-9038-33D064A29A4B}"/>
  <tableColumns count="21">
    <tableColumn id="1" xr3:uid="{C205F529-5818-4F4D-BEEE-9E27385FA12F}" name="Date" dataDxfId="5"/>
    <tableColumn id="20" xr3:uid="{BED65C70-4180-4609-A384-69917631A43A}" name="Net Sales" dataDxfId="4">
      <calculatedColumnFormula>Table1[[#This Row],[TotalPrice]] * (1 - Table1[[#This Row],[Discount]])</calculatedColumnFormula>
    </tableColumn>
    <tableColumn id="21" xr3:uid="{CAAE0CB1-376A-4932-A51A-C46B70A9F451}" name="Profit" dataDxfId="3">
      <calculatedColumnFormula>Table1[[#This Row],[Net Sales]] * 0.2</calculatedColumnFormula>
    </tableColumn>
    <tableColumn id="2" xr3:uid="{62DCF12C-3D24-4770-8F69-F333A0CE046A}" name="Region"/>
    <tableColumn id="3" xr3:uid="{D3DEB8CE-CD78-4471-B937-25444BD3D98A}" name="Product"/>
    <tableColumn id="4" xr3:uid="{0869DCA7-DBB5-4CF3-B6EB-4D2F6B732E30}" name="Quantity"/>
    <tableColumn id="5" xr3:uid="{E85B40C8-4ABE-488F-8529-0A707971F3B2}" name="UnitPrice"/>
    <tableColumn id="6" xr3:uid="{FE5498D1-51F3-4F49-B51D-CB608EE68AF1}" name="StoreLocation"/>
    <tableColumn id="7" xr3:uid="{8BF0AF3D-7F0D-4F23-AD4A-BA0471A047AC}" name="CustomerType"/>
    <tableColumn id="8" xr3:uid="{ACF7D027-6A3C-4B0A-AF25-506705E30CD9}" name="Discount" dataDxfId="2"/>
    <tableColumn id="9" xr3:uid="{31DABCC0-BCF8-4C3A-AA06-29AFEC7DE993}" name="Salesperson"/>
    <tableColumn id="10" xr3:uid="{CCEF2559-08B3-418D-ACB0-7ABA8507B329}" name="TotalPrice"/>
    <tableColumn id="11" xr3:uid="{3415E204-4303-4D8D-A227-3E3CF167E674}" name="PaymentMethod"/>
    <tableColumn id="12" xr3:uid="{FFA80A55-234D-44A3-B075-5B2384AF69A9}" name="Promotion"/>
    <tableColumn id="13" xr3:uid="{BE386EE2-0BA9-47A9-9305-D1D3441C98B9}" name="Returned"/>
    <tableColumn id="14" xr3:uid="{7757BE81-E4CA-4B02-82BA-E94AFC636870}" name="OrderID"/>
    <tableColumn id="15" xr3:uid="{FDDAB355-FDA7-44B7-BEE1-D7C836C561A8}" name="CustomerName"/>
    <tableColumn id="16" xr3:uid="{FD52C9D4-0D8D-4358-A350-9BAD96D99234}" name="ShippingCost"/>
    <tableColumn id="17" xr3:uid="{7171C0D0-09CB-4A92-83EA-94811963AE54}" name="OrderDate" dataDxfId="1"/>
    <tableColumn id="18" xr3:uid="{67721799-F3D9-402C-B432-59CAC0D6B006}" name="DeliveryDate" dataDxfId="0"/>
    <tableColumn id="19" xr3:uid="{E45036E2-6EC1-49F9-AE24-17B768A5C2A1}" name="RegionManager"/>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5.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E060B7-9A33-44B5-9B31-23756B382FBD}">
  <dimension ref="A1:B35"/>
  <sheetViews>
    <sheetView tabSelected="1" workbookViewId="0">
      <selection activeCell="L26" sqref="L26"/>
    </sheetView>
  </sheetViews>
  <sheetFormatPr defaultRowHeight="15" x14ac:dyDescent="0.25"/>
  <cols>
    <col min="1" max="1" width="13.140625" bestFit="1" customWidth="1"/>
    <col min="2" max="2" width="16" bestFit="1" customWidth="1"/>
  </cols>
  <sheetData>
    <row r="1" spans="1:2" x14ac:dyDescent="0.25">
      <c r="A1" s="8" t="s">
        <v>2929</v>
      </c>
      <c r="B1" t="s">
        <v>2946</v>
      </c>
    </row>
    <row r="2" spans="1:2" x14ac:dyDescent="0.25">
      <c r="A2" s="9" t="s">
        <v>2931</v>
      </c>
      <c r="B2" s="7">
        <v>1580293.4435749999</v>
      </c>
    </row>
    <row r="3" spans="1:2" x14ac:dyDescent="0.25">
      <c r="A3" s="10" t="s">
        <v>2934</v>
      </c>
      <c r="B3" s="7">
        <v>145345.99154999998</v>
      </c>
    </row>
    <row r="4" spans="1:2" x14ac:dyDescent="0.25">
      <c r="A4" s="10" t="s">
        <v>2935</v>
      </c>
      <c r="B4" s="7">
        <v>131509.55609999999</v>
      </c>
    </row>
    <row r="5" spans="1:2" x14ac:dyDescent="0.25">
      <c r="A5" s="10" t="s">
        <v>2936</v>
      </c>
      <c r="B5" s="7">
        <v>188371.34564999992</v>
      </c>
    </row>
    <row r="6" spans="1:2" x14ac:dyDescent="0.25">
      <c r="A6" s="10" t="s">
        <v>2937</v>
      </c>
      <c r="B6" s="7">
        <v>139489.97107500004</v>
      </c>
    </row>
    <row r="7" spans="1:2" x14ac:dyDescent="0.25">
      <c r="A7" s="10" t="s">
        <v>2938</v>
      </c>
      <c r="B7" s="7">
        <v>108538.29172499999</v>
      </c>
    </row>
    <row r="8" spans="1:2" x14ac:dyDescent="0.25">
      <c r="A8" s="10" t="s">
        <v>2939</v>
      </c>
      <c r="B8" s="7">
        <v>126092.107925</v>
      </c>
    </row>
    <row r="9" spans="1:2" x14ac:dyDescent="0.25">
      <c r="A9" s="10" t="s">
        <v>2940</v>
      </c>
      <c r="B9" s="7">
        <v>131292.93309999999</v>
      </c>
    </row>
    <row r="10" spans="1:2" x14ac:dyDescent="0.25">
      <c r="A10" s="10" t="s">
        <v>2941</v>
      </c>
      <c r="B10" s="7">
        <v>149487.15747499999</v>
      </c>
    </row>
    <row r="11" spans="1:2" x14ac:dyDescent="0.25">
      <c r="A11" s="10" t="s">
        <v>2942</v>
      </c>
      <c r="B11" s="7">
        <v>141740.304175</v>
      </c>
    </row>
    <row r="12" spans="1:2" x14ac:dyDescent="0.25">
      <c r="A12" s="10" t="s">
        <v>2943</v>
      </c>
      <c r="B12" s="7">
        <v>72787.612174999987</v>
      </c>
    </row>
    <row r="13" spans="1:2" x14ac:dyDescent="0.25">
      <c r="A13" s="10" t="s">
        <v>2944</v>
      </c>
      <c r="B13" s="7">
        <v>134433.09484999996</v>
      </c>
    </row>
    <row r="14" spans="1:2" x14ac:dyDescent="0.25">
      <c r="A14" s="10" t="s">
        <v>2945</v>
      </c>
      <c r="B14" s="7">
        <v>111205.07777500003</v>
      </c>
    </row>
    <row r="15" spans="1:2" x14ac:dyDescent="0.25">
      <c r="A15" s="9" t="s">
        <v>2932</v>
      </c>
      <c r="B15" s="7">
        <v>1647900.0392999998</v>
      </c>
    </row>
    <row r="16" spans="1:2" x14ac:dyDescent="0.25">
      <c r="A16" s="10" t="s">
        <v>2934</v>
      </c>
      <c r="B16" s="7">
        <v>161397.94932500002</v>
      </c>
    </row>
    <row r="17" spans="1:2" x14ac:dyDescent="0.25">
      <c r="A17" s="10" t="s">
        <v>2935</v>
      </c>
      <c r="B17" s="7">
        <v>126356.25892499997</v>
      </c>
    </row>
    <row r="18" spans="1:2" x14ac:dyDescent="0.25">
      <c r="A18" s="10" t="s">
        <v>2936</v>
      </c>
      <c r="B18" s="7">
        <v>131192.79657499999</v>
      </c>
    </row>
    <row r="19" spans="1:2" x14ac:dyDescent="0.25">
      <c r="A19" s="10" t="s">
        <v>2937</v>
      </c>
      <c r="B19" s="7">
        <v>153705.859425</v>
      </c>
    </row>
    <row r="20" spans="1:2" x14ac:dyDescent="0.25">
      <c r="A20" s="10" t="s">
        <v>2938</v>
      </c>
      <c r="B20" s="7">
        <v>123703.1088</v>
      </c>
    </row>
    <row r="21" spans="1:2" x14ac:dyDescent="0.25">
      <c r="A21" s="10" t="s">
        <v>2939</v>
      </c>
      <c r="B21" s="7">
        <v>150316.26015000002</v>
      </c>
    </row>
    <row r="22" spans="1:2" x14ac:dyDescent="0.25">
      <c r="A22" s="10" t="s">
        <v>2940</v>
      </c>
      <c r="B22" s="7">
        <v>129300.51087500004</v>
      </c>
    </row>
    <row r="23" spans="1:2" x14ac:dyDescent="0.25">
      <c r="A23" s="10" t="s">
        <v>2941</v>
      </c>
      <c r="B23" s="7">
        <v>120083.84050000001</v>
      </c>
    </row>
    <row r="24" spans="1:2" x14ac:dyDescent="0.25">
      <c r="A24" s="10" t="s">
        <v>2942</v>
      </c>
      <c r="B24" s="7">
        <v>121676.03392499997</v>
      </c>
    </row>
    <row r="25" spans="1:2" x14ac:dyDescent="0.25">
      <c r="A25" s="10" t="s">
        <v>2943</v>
      </c>
      <c r="B25" s="7">
        <v>165124.525375</v>
      </c>
    </row>
    <row r="26" spans="1:2" x14ac:dyDescent="0.25">
      <c r="A26" s="10" t="s">
        <v>2944</v>
      </c>
      <c r="B26" s="7">
        <v>130480.49039999998</v>
      </c>
    </row>
    <row r="27" spans="1:2" x14ac:dyDescent="0.25">
      <c r="A27" s="10" t="s">
        <v>2945</v>
      </c>
      <c r="B27" s="7">
        <v>134562.40502500001</v>
      </c>
    </row>
    <row r="28" spans="1:2" x14ac:dyDescent="0.25">
      <c r="A28" s="9" t="s">
        <v>2933</v>
      </c>
      <c r="B28" s="7">
        <v>844156.6002499999</v>
      </c>
    </row>
    <row r="29" spans="1:2" x14ac:dyDescent="0.25">
      <c r="A29" s="10" t="s">
        <v>2934</v>
      </c>
      <c r="B29" s="7">
        <v>161275.03110000002</v>
      </c>
    </row>
    <row r="30" spans="1:2" x14ac:dyDescent="0.25">
      <c r="A30" s="10" t="s">
        <v>2935</v>
      </c>
      <c r="B30" s="7">
        <v>125728.23625000002</v>
      </c>
    </row>
    <row r="31" spans="1:2" x14ac:dyDescent="0.25">
      <c r="A31" s="10" t="s">
        <v>2936</v>
      </c>
      <c r="B31" s="7">
        <v>170017.68324999994</v>
      </c>
    </row>
    <row r="32" spans="1:2" x14ac:dyDescent="0.25">
      <c r="A32" s="10" t="s">
        <v>2937</v>
      </c>
      <c r="B32" s="7">
        <v>120345.07712499997</v>
      </c>
    </row>
    <row r="33" spans="1:2" x14ac:dyDescent="0.25">
      <c r="A33" s="10" t="s">
        <v>2938</v>
      </c>
      <c r="B33" s="7">
        <v>139774.58215</v>
      </c>
    </row>
    <row r="34" spans="1:2" x14ac:dyDescent="0.25">
      <c r="A34" s="10" t="s">
        <v>2939</v>
      </c>
      <c r="B34" s="7">
        <v>127015.99037499998</v>
      </c>
    </row>
    <row r="35" spans="1:2" x14ac:dyDescent="0.25">
      <c r="A35" s="9" t="s">
        <v>2930</v>
      </c>
      <c r="B35" s="7">
        <v>4072350.0831250008</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858887-0174-40C4-9312-42E9FAD37FB4}">
  <dimension ref="A3:B9"/>
  <sheetViews>
    <sheetView workbookViewId="0">
      <selection activeCell="A3" sqref="A3"/>
    </sheetView>
  </sheetViews>
  <sheetFormatPr defaultRowHeight="15" x14ac:dyDescent="0.25"/>
  <cols>
    <col min="1" max="1" width="13.140625" bestFit="1" customWidth="1"/>
    <col min="2" max="2" width="16" bestFit="1" customWidth="1"/>
  </cols>
  <sheetData>
    <row r="3" spans="1:2" x14ac:dyDescent="0.25">
      <c r="A3" s="8" t="s">
        <v>2929</v>
      </c>
      <c r="B3" t="s">
        <v>2946</v>
      </c>
    </row>
    <row r="4" spans="1:2" x14ac:dyDescent="0.25">
      <c r="A4" s="9" t="s">
        <v>22</v>
      </c>
      <c r="B4" s="7">
        <v>787211.78177500004</v>
      </c>
    </row>
    <row r="5" spans="1:2" x14ac:dyDescent="0.25">
      <c r="A5" s="9" t="s">
        <v>19</v>
      </c>
      <c r="B5" s="7">
        <v>827104.3526500006</v>
      </c>
    </row>
    <row r="6" spans="1:2" x14ac:dyDescent="0.25">
      <c r="A6" s="9" t="s">
        <v>21</v>
      </c>
      <c r="B6" s="7">
        <v>894607.16994999966</v>
      </c>
    </row>
    <row r="7" spans="1:2" x14ac:dyDescent="0.25">
      <c r="A7" s="9" t="s">
        <v>20</v>
      </c>
      <c r="B7" s="7">
        <v>770077.07189999952</v>
      </c>
    </row>
    <row r="8" spans="1:2" x14ac:dyDescent="0.25">
      <c r="A8" s="9" t="s">
        <v>23</v>
      </c>
      <c r="B8" s="7">
        <v>793349.70684999984</v>
      </c>
    </row>
    <row r="9" spans="1:2" x14ac:dyDescent="0.25">
      <c r="A9" s="9" t="s">
        <v>2930</v>
      </c>
      <c r="B9" s="7">
        <v>4072350.0831249994</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DD6335-EFA8-47D2-9451-B8F8F9DBB6AD}">
  <dimension ref="A3:B11"/>
  <sheetViews>
    <sheetView workbookViewId="0">
      <selection activeCell="A3" sqref="A3"/>
    </sheetView>
  </sheetViews>
  <sheetFormatPr defaultRowHeight="15" x14ac:dyDescent="0.25"/>
  <cols>
    <col min="1" max="1" width="13.140625" bestFit="1" customWidth="1"/>
    <col min="2" max="2" width="16" bestFit="1" customWidth="1"/>
  </cols>
  <sheetData>
    <row r="3" spans="1:2" x14ac:dyDescent="0.25">
      <c r="A3" s="8" t="s">
        <v>2929</v>
      </c>
      <c r="B3" t="s">
        <v>2946</v>
      </c>
    </row>
    <row r="4" spans="1:2" x14ac:dyDescent="0.25">
      <c r="A4" s="9" t="s">
        <v>27</v>
      </c>
      <c r="B4" s="7">
        <v>581415.21719999984</v>
      </c>
    </row>
    <row r="5" spans="1:2" x14ac:dyDescent="0.25">
      <c r="A5" s="9" t="s">
        <v>26</v>
      </c>
      <c r="B5" s="7">
        <v>513801.46972499997</v>
      </c>
    </row>
    <row r="6" spans="1:2" x14ac:dyDescent="0.25">
      <c r="A6" s="9" t="s">
        <v>24</v>
      </c>
      <c r="B6" s="7">
        <v>637647.99797499983</v>
      </c>
    </row>
    <row r="7" spans="1:2" x14ac:dyDescent="0.25">
      <c r="A7" s="9" t="s">
        <v>28</v>
      </c>
      <c r="B7" s="7">
        <v>605608.35637499986</v>
      </c>
    </row>
    <row r="8" spans="1:2" x14ac:dyDescent="0.25">
      <c r="A8" s="9" t="s">
        <v>25</v>
      </c>
      <c r="B8" s="7">
        <v>462306.08685000031</v>
      </c>
    </row>
    <row r="9" spans="1:2" x14ac:dyDescent="0.25">
      <c r="A9" s="9" t="s">
        <v>30</v>
      </c>
      <c r="B9" s="7">
        <v>632393.82787500008</v>
      </c>
    </row>
    <row r="10" spans="1:2" x14ac:dyDescent="0.25">
      <c r="A10" s="9" t="s">
        <v>29</v>
      </c>
      <c r="B10" s="7">
        <v>639177.12712500012</v>
      </c>
    </row>
    <row r="11" spans="1:2" x14ac:dyDescent="0.25">
      <c r="A11" s="9" t="s">
        <v>2930</v>
      </c>
      <c r="B11" s="7">
        <v>4072350.0831249999</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ECFC6-E879-4962-A3D4-C666F884339B}">
  <dimension ref="A3:B9"/>
  <sheetViews>
    <sheetView workbookViewId="0">
      <selection activeCell="M24" sqref="M24"/>
    </sheetView>
  </sheetViews>
  <sheetFormatPr defaultRowHeight="15" x14ac:dyDescent="0.25"/>
  <cols>
    <col min="1" max="1" width="13.140625" bestFit="1" customWidth="1"/>
    <col min="2" max="2" width="16.140625" bestFit="1" customWidth="1"/>
  </cols>
  <sheetData>
    <row r="3" spans="1:2" x14ac:dyDescent="0.25">
      <c r="A3" s="8" t="s">
        <v>2929</v>
      </c>
      <c r="B3" t="s">
        <v>2947</v>
      </c>
    </row>
    <row r="4" spans="1:2" x14ac:dyDescent="0.25">
      <c r="A4" s="9" t="s">
        <v>47</v>
      </c>
      <c r="B4">
        <v>312</v>
      </c>
    </row>
    <row r="5" spans="1:2" x14ac:dyDescent="0.25">
      <c r="A5" s="9" t="s">
        <v>45</v>
      </c>
      <c r="B5">
        <v>299</v>
      </c>
    </row>
    <row r="6" spans="1:2" x14ac:dyDescent="0.25">
      <c r="A6" s="9" t="s">
        <v>46</v>
      </c>
      <c r="B6">
        <v>290</v>
      </c>
    </row>
    <row r="7" spans="1:2" x14ac:dyDescent="0.25">
      <c r="A7" s="9" t="s">
        <v>44</v>
      </c>
      <c r="B7">
        <v>276</v>
      </c>
    </row>
    <row r="8" spans="1:2" x14ac:dyDescent="0.25">
      <c r="A8" s="9" t="s">
        <v>43</v>
      </c>
      <c r="B8">
        <v>323</v>
      </c>
    </row>
    <row r="9" spans="1:2" x14ac:dyDescent="0.25">
      <c r="A9" s="9" t="s">
        <v>2930</v>
      </c>
      <c r="B9">
        <v>1500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501"/>
  <sheetViews>
    <sheetView zoomScale="80" zoomScaleNormal="80" workbookViewId="0">
      <selection activeCell="I10" sqref="I10"/>
    </sheetView>
  </sheetViews>
  <sheetFormatPr defaultRowHeight="15" x14ac:dyDescent="0.25"/>
  <cols>
    <col min="1" max="1" width="10.7109375" style="5" bestFit="1" customWidth="1"/>
    <col min="2" max="2" width="13.85546875" style="7" bestFit="1" customWidth="1"/>
    <col min="3" max="3" width="10.5703125" style="7" bestFit="1" customWidth="1"/>
    <col min="4" max="4" width="11.7109375" bestFit="1" customWidth="1"/>
    <col min="5" max="5" width="12.42578125" bestFit="1" customWidth="1"/>
    <col min="6" max="6" width="13.28515625" bestFit="1" customWidth="1"/>
    <col min="7" max="7" width="13.85546875" bestFit="1" customWidth="1"/>
    <col min="8" max="8" width="17.85546875" bestFit="1" customWidth="1"/>
    <col min="9" max="9" width="18.5703125" bestFit="1" customWidth="1"/>
    <col min="10" max="10" width="13.28515625" style="3" bestFit="1" customWidth="1"/>
    <col min="11" max="11" width="16.28515625" bestFit="1" customWidth="1"/>
    <col min="12" max="12" width="14.42578125" bestFit="1" customWidth="1"/>
    <col min="13" max="13" width="20.7109375" bestFit="1" customWidth="1"/>
    <col min="14" max="14" width="15" bestFit="1" customWidth="1"/>
    <col min="15" max="15" width="13.85546875" bestFit="1" customWidth="1"/>
    <col min="16" max="16" width="12.5703125" bestFit="1" customWidth="1"/>
    <col min="17" max="17" width="19.5703125" bestFit="1" customWidth="1"/>
    <col min="18" max="18" width="17.140625" bestFit="1" customWidth="1"/>
    <col min="19" max="19" width="14.85546875" style="5" bestFit="1" customWidth="1"/>
    <col min="20" max="20" width="17.140625" style="5" bestFit="1" customWidth="1"/>
    <col min="21" max="21" width="19.7109375" bestFit="1" customWidth="1"/>
  </cols>
  <sheetData>
    <row r="1" spans="1:21" x14ac:dyDescent="0.25">
      <c r="A1" s="4" t="s">
        <v>0</v>
      </c>
      <c r="B1" s="6" t="s">
        <v>2927</v>
      </c>
      <c r="C1" s="6" t="s">
        <v>2928</v>
      </c>
      <c r="D1" s="1" t="s">
        <v>1</v>
      </c>
      <c r="E1" s="1" t="s">
        <v>2</v>
      </c>
      <c r="F1" s="1" t="s">
        <v>3</v>
      </c>
      <c r="G1" s="1" t="s">
        <v>4</v>
      </c>
      <c r="H1" s="1" t="s">
        <v>5</v>
      </c>
      <c r="I1" s="1" t="s">
        <v>6</v>
      </c>
      <c r="J1" s="2" t="s">
        <v>7</v>
      </c>
      <c r="K1" s="1" t="s">
        <v>8</v>
      </c>
      <c r="L1" s="1" t="s">
        <v>9</v>
      </c>
      <c r="M1" s="1" t="s">
        <v>10</v>
      </c>
      <c r="N1" s="1" t="s">
        <v>11</v>
      </c>
      <c r="O1" s="1" t="s">
        <v>12</v>
      </c>
      <c r="P1" s="1" t="s">
        <v>13</v>
      </c>
      <c r="Q1" s="1" t="s">
        <v>14</v>
      </c>
      <c r="R1" s="1" t="s">
        <v>15</v>
      </c>
      <c r="S1" s="4" t="s">
        <v>16</v>
      </c>
      <c r="T1" s="4" t="s">
        <v>17</v>
      </c>
      <c r="U1" s="1" t="s">
        <v>18</v>
      </c>
    </row>
    <row r="2" spans="1:21" x14ac:dyDescent="0.25">
      <c r="A2" s="5">
        <v>44980</v>
      </c>
      <c r="B2" s="7">
        <f>Table1[[#This Row],[TotalPrice]] * (1 - Table1[[#This Row],[Discount]])</f>
        <v>2290.4</v>
      </c>
      <c r="C2" s="7">
        <f>Table1[[#This Row],[Net Sales]] * 0.2</f>
        <v>458.08000000000004</v>
      </c>
      <c r="D2" t="s">
        <v>19</v>
      </c>
      <c r="E2" t="s">
        <v>24</v>
      </c>
      <c r="F2">
        <v>14</v>
      </c>
      <c r="G2">
        <v>163.6</v>
      </c>
      <c r="H2" t="s">
        <v>31</v>
      </c>
      <c r="I2" t="s">
        <v>35</v>
      </c>
      <c r="J2" s="3">
        <v>0</v>
      </c>
      <c r="K2" t="s">
        <v>37</v>
      </c>
      <c r="L2">
        <v>2290.4</v>
      </c>
      <c r="M2" t="s">
        <v>43</v>
      </c>
      <c r="N2" t="s">
        <v>48</v>
      </c>
      <c r="O2">
        <v>0</v>
      </c>
      <c r="P2" t="s">
        <v>51</v>
      </c>
      <c r="Q2" t="s">
        <v>1551</v>
      </c>
      <c r="R2">
        <v>43.34</v>
      </c>
      <c r="S2" s="5">
        <v>44980</v>
      </c>
      <c r="T2" s="5">
        <v>44984</v>
      </c>
      <c r="U2" t="s">
        <v>2922</v>
      </c>
    </row>
    <row r="3" spans="1:21" x14ac:dyDescent="0.25">
      <c r="A3" s="5">
        <v>45645</v>
      </c>
      <c r="B3" s="7">
        <f>Table1[[#This Row],[TotalPrice]] * (1 - Table1[[#This Row],[Discount]])</f>
        <v>544.01</v>
      </c>
      <c r="C3" s="7">
        <f>Table1[[#This Row],[Net Sales]] * 0.2</f>
        <v>108.80200000000001</v>
      </c>
      <c r="D3" t="s">
        <v>20</v>
      </c>
      <c r="E3" t="s">
        <v>25</v>
      </c>
      <c r="F3">
        <v>1</v>
      </c>
      <c r="G3">
        <v>544.01</v>
      </c>
      <c r="H3" t="s">
        <v>32</v>
      </c>
      <c r="I3" t="s">
        <v>36</v>
      </c>
      <c r="J3" s="3">
        <v>0</v>
      </c>
      <c r="K3" t="s">
        <v>38</v>
      </c>
      <c r="L3">
        <v>544.01</v>
      </c>
      <c r="M3" t="s">
        <v>44</v>
      </c>
      <c r="N3" t="s">
        <v>49</v>
      </c>
      <c r="O3">
        <v>0</v>
      </c>
      <c r="P3" t="s">
        <v>52</v>
      </c>
      <c r="Q3" t="s">
        <v>1552</v>
      </c>
      <c r="R3">
        <v>5.3</v>
      </c>
      <c r="S3" s="5">
        <v>45645</v>
      </c>
      <c r="T3" s="5">
        <v>45654</v>
      </c>
      <c r="U3" t="s">
        <v>2923</v>
      </c>
    </row>
    <row r="4" spans="1:21" x14ac:dyDescent="0.25">
      <c r="A4" s="5">
        <v>45056</v>
      </c>
      <c r="B4" s="7">
        <f>Table1[[#This Row],[TotalPrice]] * (1 - Table1[[#This Row],[Discount]])</f>
        <v>3925.6812000000004</v>
      </c>
      <c r="C4" s="7">
        <f>Table1[[#This Row],[Net Sales]] * 0.2</f>
        <v>785.13624000000016</v>
      </c>
      <c r="D4" t="s">
        <v>21</v>
      </c>
      <c r="E4" t="s">
        <v>26</v>
      </c>
      <c r="F4">
        <v>14</v>
      </c>
      <c r="G4">
        <v>346.18</v>
      </c>
      <c r="H4" t="s">
        <v>31</v>
      </c>
      <c r="I4" t="s">
        <v>35</v>
      </c>
      <c r="J4" s="3">
        <v>0.1</v>
      </c>
      <c r="K4" t="s">
        <v>38</v>
      </c>
      <c r="L4">
        <v>4361.8680000000004</v>
      </c>
      <c r="M4" t="s">
        <v>43</v>
      </c>
      <c r="N4" t="s">
        <v>50</v>
      </c>
      <c r="O4">
        <v>0</v>
      </c>
      <c r="P4" t="s">
        <v>53</v>
      </c>
      <c r="Q4" t="s">
        <v>1553</v>
      </c>
      <c r="R4">
        <v>20.46</v>
      </c>
      <c r="S4" s="5">
        <v>45056</v>
      </c>
      <c r="T4" s="5">
        <v>45065</v>
      </c>
      <c r="U4" t="s">
        <v>2924</v>
      </c>
    </row>
    <row r="5" spans="1:21" x14ac:dyDescent="0.25">
      <c r="A5" s="5">
        <v>45714</v>
      </c>
      <c r="B5" s="7">
        <f>Table1[[#This Row],[TotalPrice]] * (1 - Table1[[#This Row],[Discount]])</f>
        <v>5004.5841</v>
      </c>
      <c r="C5" s="7">
        <f>Table1[[#This Row],[Net Sales]] * 0.2</f>
        <v>1000.91682</v>
      </c>
      <c r="D5" t="s">
        <v>22</v>
      </c>
      <c r="E5" t="s">
        <v>27</v>
      </c>
      <c r="F5">
        <v>18</v>
      </c>
      <c r="G5">
        <v>384.82</v>
      </c>
      <c r="H5" t="s">
        <v>32</v>
      </c>
      <c r="I5" t="s">
        <v>35</v>
      </c>
      <c r="J5" s="3">
        <v>0.15</v>
      </c>
      <c r="K5" t="s">
        <v>39</v>
      </c>
      <c r="L5">
        <v>5887.7460000000001</v>
      </c>
      <c r="M5" t="s">
        <v>44</v>
      </c>
      <c r="N5" t="s">
        <v>48</v>
      </c>
      <c r="O5">
        <v>0</v>
      </c>
      <c r="P5" t="s">
        <v>54</v>
      </c>
      <c r="Q5" t="s">
        <v>1554</v>
      </c>
      <c r="R5">
        <v>27.95</v>
      </c>
      <c r="S5" s="5">
        <v>45714</v>
      </c>
      <c r="T5" s="5">
        <v>45718</v>
      </c>
      <c r="U5" t="s">
        <v>2925</v>
      </c>
    </row>
    <row r="6" spans="1:21" x14ac:dyDescent="0.25">
      <c r="A6" s="5">
        <v>45101</v>
      </c>
      <c r="B6" s="7">
        <f>Table1[[#This Row],[TotalPrice]] * (1 - Table1[[#This Row],[Discount]])</f>
        <v>4279.68</v>
      </c>
      <c r="C6" s="7">
        <f>Table1[[#This Row],[Net Sales]] * 0.2</f>
        <v>855.93600000000015</v>
      </c>
      <c r="D6" t="s">
        <v>19</v>
      </c>
      <c r="E6" t="s">
        <v>26</v>
      </c>
      <c r="F6">
        <v>18</v>
      </c>
      <c r="G6">
        <v>237.76</v>
      </c>
      <c r="H6" t="s">
        <v>33</v>
      </c>
      <c r="I6" t="s">
        <v>36</v>
      </c>
      <c r="J6" s="3">
        <v>0</v>
      </c>
      <c r="K6" t="s">
        <v>40</v>
      </c>
      <c r="L6">
        <v>4279.68</v>
      </c>
      <c r="M6" t="s">
        <v>43</v>
      </c>
      <c r="N6" t="s">
        <v>49</v>
      </c>
      <c r="O6">
        <v>0</v>
      </c>
      <c r="P6" t="s">
        <v>55</v>
      </c>
      <c r="Q6" t="s">
        <v>1555</v>
      </c>
      <c r="R6">
        <v>5.73</v>
      </c>
      <c r="S6" s="5">
        <v>45101</v>
      </c>
      <c r="T6" s="5">
        <v>45104</v>
      </c>
      <c r="U6" t="s">
        <v>2922</v>
      </c>
    </row>
    <row r="7" spans="1:21" x14ac:dyDescent="0.25">
      <c r="A7" s="5">
        <v>45342</v>
      </c>
      <c r="B7" s="7">
        <f>Table1[[#This Row],[TotalPrice]] * (1 - Table1[[#This Row],[Discount]])</f>
        <v>556.45504999999991</v>
      </c>
      <c r="C7" s="7">
        <f>Table1[[#This Row],[Net Sales]] * 0.2</f>
        <v>111.29100999999999</v>
      </c>
      <c r="D7" t="s">
        <v>22</v>
      </c>
      <c r="E7" t="s">
        <v>28</v>
      </c>
      <c r="F7">
        <v>2</v>
      </c>
      <c r="G7">
        <v>385.09</v>
      </c>
      <c r="H7" t="s">
        <v>34</v>
      </c>
      <c r="I7" t="s">
        <v>35</v>
      </c>
      <c r="J7" s="3">
        <v>0.15</v>
      </c>
      <c r="K7" t="s">
        <v>41</v>
      </c>
      <c r="L7">
        <v>654.65299999999991</v>
      </c>
      <c r="M7" t="s">
        <v>45</v>
      </c>
      <c r="O7">
        <v>0</v>
      </c>
      <c r="P7" t="s">
        <v>56</v>
      </c>
      <c r="Q7" t="s">
        <v>1556</v>
      </c>
      <c r="R7">
        <v>11.92</v>
      </c>
      <c r="S7" s="5">
        <v>45342</v>
      </c>
      <c r="T7" s="5">
        <v>45352</v>
      </c>
      <c r="U7" t="s">
        <v>2925</v>
      </c>
    </row>
    <row r="8" spans="1:21" x14ac:dyDescent="0.25">
      <c r="A8" s="5">
        <v>44937</v>
      </c>
      <c r="B8" s="7">
        <f>Table1[[#This Row],[TotalPrice]] * (1 - Table1[[#This Row],[Discount]])</f>
        <v>99.225000000000009</v>
      </c>
      <c r="C8" s="7">
        <f>Table1[[#This Row],[Net Sales]] * 0.2</f>
        <v>19.845000000000002</v>
      </c>
      <c r="D8" t="s">
        <v>20</v>
      </c>
      <c r="E8" t="s">
        <v>27</v>
      </c>
      <c r="F8">
        <v>7</v>
      </c>
      <c r="G8">
        <v>17.5</v>
      </c>
      <c r="H8" t="s">
        <v>33</v>
      </c>
      <c r="I8" t="s">
        <v>36</v>
      </c>
      <c r="J8" s="3">
        <v>0.1</v>
      </c>
      <c r="K8" t="s">
        <v>38</v>
      </c>
      <c r="L8">
        <v>110.25</v>
      </c>
      <c r="M8" t="s">
        <v>46</v>
      </c>
      <c r="N8" t="s">
        <v>50</v>
      </c>
      <c r="O8">
        <v>0</v>
      </c>
      <c r="P8" t="s">
        <v>57</v>
      </c>
      <c r="Q8" t="s">
        <v>1557</v>
      </c>
      <c r="R8">
        <v>5.0199999999999996</v>
      </c>
      <c r="S8" s="5">
        <v>44937</v>
      </c>
      <c r="T8" s="5">
        <v>44940</v>
      </c>
      <c r="U8" t="s">
        <v>2923</v>
      </c>
    </row>
    <row r="9" spans="1:21" x14ac:dyDescent="0.25">
      <c r="A9" s="5">
        <v>44935</v>
      </c>
      <c r="B9" s="7">
        <f>Table1[[#This Row],[TotalPrice]] * (1 - Table1[[#This Row],[Discount]])</f>
        <v>715.75184999999999</v>
      </c>
      <c r="C9" s="7">
        <f>Table1[[#This Row],[Net Sales]] * 0.2</f>
        <v>143.15037000000001</v>
      </c>
      <c r="D9" t="s">
        <v>22</v>
      </c>
      <c r="E9" t="s">
        <v>27</v>
      </c>
      <c r="F9">
        <v>3</v>
      </c>
      <c r="G9">
        <v>330.22</v>
      </c>
      <c r="H9" t="s">
        <v>33</v>
      </c>
      <c r="I9" t="s">
        <v>35</v>
      </c>
      <c r="J9" s="3">
        <v>0.15</v>
      </c>
      <c r="K9" t="s">
        <v>40</v>
      </c>
      <c r="L9">
        <v>842.06100000000004</v>
      </c>
      <c r="M9" t="s">
        <v>47</v>
      </c>
      <c r="O9">
        <v>0</v>
      </c>
      <c r="P9" t="s">
        <v>58</v>
      </c>
      <c r="Q9" t="s">
        <v>1558</v>
      </c>
      <c r="R9">
        <v>48.01</v>
      </c>
      <c r="S9" s="5">
        <v>44935</v>
      </c>
      <c r="T9" s="5">
        <v>44937</v>
      </c>
      <c r="U9" t="s">
        <v>2925</v>
      </c>
    </row>
    <row r="10" spans="1:21" x14ac:dyDescent="0.25">
      <c r="A10" s="5">
        <v>45581</v>
      </c>
      <c r="B10" s="7">
        <f>Table1[[#This Row],[TotalPrice]] * (1 - Table1[[#This Row],[Discount]])</f>
        <v>1169.7483</v>
      </c>
      <c r="C10" s="7">
        <f>Table1[[#This Row],[Net Sales]] * 0.2</f>
        <v>233.94965999999999</v>
      </c>
      <c r="D10" t="s">
        <v>20</v>
      </c>
      <c r="E10" t="s">
        <v>27</v>
      </c>
      <c r="F10">
        <v>3</v>
      </c>
      <c r="G10">
        <v>432.04</v>
      </c>
      <c r="H10" t="s">
        <v>34</v>
      </c>
      <c r="I10" t="s">
        <v>35</v>
      </c>
      <c r="J10" s="3">
        <v>0.05</v>
      </c>
      <c r="K10" t="s">
        <v>42</v>
      </c>
      <c r="L10">
        <v>1231.3140000000001</v>
      </c>
      <c r="M10" t="s">
        <v>46</v>
      </c>
      <c r="N10" t="s">
        <v>48</v>
      </c>
      <c r="O10">
        <v>1</v>
      </c>
      <c r="P10" t="s">
        <v>59</v>
      </c>
      <c r="Q10" t="s">
        <v>1559</v>
      </c>
      <c r="R10">
        <v>42.11</v>
      </c>
      <c r="S10" s="5">
        <v>45581</v>
      </c>
      <c r="T10" s="5">
        <v>45583</v>
      </c>
      <c r="U10" t="s">
        <v>2923</v>
      </c>
    </row>
    <row r="11" spans="1:21" x14ac:dyDescent="0.25">
      <c r="A11" s="5">
        <v>45721</v>
      </c>
      <c r="B11" s="7">
        <f>Table1[[#This Row],[TotalPrice]] * (1 - Table1[[#This Row],[Discount]])</f>
        <v>1309.2840000000001</v>
      </c>
      <c r="C11" s="7">
        <f>Table1[[#This Row],[Net Sales]] * 0.2</f>
        <v>261.85680000000002</v>
      </c>
      <c r="D11" t="s">
        <v>23</v>
      </c>
      <c r="E11" t="s">
        <v>26</v>
      </c>
      <c r="F11">
        <v>5</v>
      </c>
      <c r="G11">
        <v>323.27999999999997</v>
      </c>
      <c r="H11" t="s">
        <v>34</v>
      </c>
      <c r="I11" t="s">
        <v>36</v>
      </c>
      <c r="J11" s="3">
        <v>0.1</v>
      </c>
      <c r="K11" t="s">
        <v>39</v>
      </c>
      <c r="L11">
        <v>1454.76</v>
      </c>
      <c r="M11" t="s">
        <v>44</v>
      </c>
      <c r="N11" t="s">
        <v>49</v>
      </c>
      <c r="O11">
        <v>0</v>
      </c>
      <c r="P11" t="s">
        <v>60</v>
      </c>
      <c r="Q11" t="s">
        <v>1560</v>
      </c>
      <c r="R11">
        <v>41.1</v>
      </c>
      <c r="S11" s="5">
        <v>45721</v>
      </c>
      <c r="T11" s="5">
        <v>45729</v>
      </c>
      <c r="U11" t="s">
        <v>2926</v>
      </c>
    </row>
    <row r="12" spans="1:21" x14ac:dyDescent="0.25">
      <c r="A12" s="5">
        <v>45392</v>
      </c>
      <c r="B12" s="7">
        <f>Table1[[#This Row],[TotalPrice]] * (1 - Table1[[#This Row],[Discount]])</f>
        <v>5671.1553749999994</v>
      </c>
      <c r="C12" s="7">
        <f>Table1[[#This Row],[Net Sales]] * 0.2</f>
        <v>1134.2310749999999</v>
      </c>
      <c r="D12" t="s">
        <v>21</v>
      </c>
      <c r="E12" t="s">
        <v>26</v>
      </c>
      <c r="F12">
        <v>15</v>
      </c>
      <c r="G12">
        <v>523.29</v>
      </c>
      <c r="H12" t="s">
        <v>31</v>
      </c>
      <c r="I12" t="s">
        <v>35</v>
      </c>
      <c r="J12" s="3">
        <v>0.15</v>
      </c>
      <c r="K12" t="s">
        <v>37</v>
      </c>
      <c r="L12">
        <v>6671.9474999999993</v>
      </c>
      <c r="M12" t="s">
        <v>46</v>
      </c>
      <c r="O12">
        <v>0</v>
      </c>
      <c r="P12" t="s">
        <v>61</v>
      </c>
      <c r="Q12" t="s">
        <v>1561</v>
      </c>
      <c r="R12">
        <v>12.14</v>
      </c>
      <c r="S12" s="5">
        <v>45392</v>
      </c>
      <c r="T12" s="5">
        <v>45399</v>
      </c>
      <c r="U12" t="s">
        <v>2924</v>
      </c>
    </row>
    <row r="13" spans="1:21" x14ac:dyDescent="0.25">
      <c r="A13" s="5">
        <v>45485</v>
      </c>
      <c r="B13" s="7">
        <f>Table1[[#This Row],[TotalPrice]] * (1 - Table1[[#This Row],[Discount]])</f>
        <v>3191.1165000000001</v>
      </c>
      <c r="C13" s="7">
        <f>Table1[[#This Row],[Net Sales]] * 0.2</f>
        <v>638.22330000000011</v>
      </c>
      <c r="D13" t="s">
        <v>19</v>
      </c>
      <c r="E13" t="s">
        <v>25</v>
      </c>
      <c r="F13">
        <v>19</v>
      </c>
      <c r="G13">
        <v>207.35</v>
      </c>
      <c r="H13" t="s">
        <v>34</v>
      </c>
      <c r="I13" t="s">
        <v>36</v>
      </c>
      <c r="J13" s="3">
        <v>0.1</v>
      </c>
      <c r="K13" t="s">
        <v>37</v>
      </c>
      <c r="L13">
        <v>3545.6849999999999</v>
      </c>
      <c r="M13" t="s">
        <v>44</v>
      </c>
      <c r="O13">
        <v>1</v>
      </c>
      <c r="P13" t="s">
        <v>62</v>
      </c>
      <c r="Q13" t="s">
        <v>1562</v>
      </c>
      <c r="R13">
        <v>44.89</v>
      </c>
      <c r="S13" s="5">
        <v>45485</v>
      </c>
      <c r="T13" s="5">
        <v>45491</v>
      </c>
      <c r="U13" t="s">
        <v>2922</v>
      </c>
    </row>
    <row r="14" spans="1:21" x14ac:dyDescent="0.25">
      <c r="A14" s="5">
        <v>45128</v>
      </c>
      <c r="B14" s="7">
        <f>Table1[[#This Row],[TotalPrice]] * (1 - Table1[[#This Row],[Discount]])</f>
        <v>108.778325</v>
      </c>
      <c r="C14" s="7">
        <f>Table1[[#This Row],[Net Sales]] * 0.2</f>
        <v>21.755665</v>
      </c>
      <c r="D14" t="s">
        <v>22</v>
      </c>
      <c r="E14" t="s">
        <v>25</v>
      </c>
      <c r="F14">
        <v>1</v>
      </c>
      <c r="G14">
        <v>120.53</v>
      </c>
      <c r="H14" t="s">
        <v>31</v>
      </c>
      <c r="I14" t="s">
        <v>36</v>
      </c>
      <c r="J14" s="3">
        <v>0.05</v>
      </c>
      <c r="K14" t="s">
        <v>41</v>
      </c>
      <c r="L14">
        <v>114.5035</v>
      </c>
      <c r="M14" t="s">
        <v>47</v>
      </c>
      <c r="N14" t="s">
        <v>50</v>
      </c>
      <c r="O14">
        <v>0</v>
      </c>
      <c r="P14" t="s">
        <v>63</v>
      </c>
      <c r="Q14" t="s">
        <v>1563</v>
      </c>
      <c r="R14">
        <v>20.350000000000001</v>
      </c>
      <c r="S14" s="5">
        <v>45128</v>
      </c>
      <c r="T14" s="5">
        <v>45138</v>
      </c>
      <c r="U14" t="s">
        <v>2925</v>
      </c>
    </row>
    <row r="15" spans="1:21" x14ac:dyDescent="0.25">
      <c r="A15" s="5">
        <v>45675</v>
      </c>
      <c r="B15" s="7">
        <f>Table1[[#This Row],[TotalPrice]] * (1 - Table1[[#This Row],[Discount]])</f>
        <v>114.03217499999998</v>
      </c>
      <c r="C15" s="7">
        <f>Table1[[#This Row],[Net Sales]] * 0.2</f>
        <v>22.806434999999997</v>
      </c>
      <c r="D15" t="s">
        <v>23</v>
      </c>
      <c r="E15" t="s">
        <v>29</v>
      </c>
      <c r="F15">
        <v>1</v>
      </c>
      <c r="G15">
        <v>157.83000000000001</v>
      </c>
      <c r="H15" t="s">
        <v>32</v>
      </c>
      <c r="I15" t="s">
        <v>35</v>
      </c>
      <c r="J15" s="3">
        <v>0.15</v>
      </c>
      <c r="K15" t="s">
        <v>40</v>
      </c>
      <c r="L15">
        <v>134.15549999999999</v>
      </c>
      <c r="M15" t="s">
        <v>46</v>
      </c>
      <c r="O15">
        <v>0</v>
      </c>
      <c r="P15" t="s">
        <v>64</v>
      </c>
      <c r="Q15" t="s">
        <v>1564</v>
      </c>
      <c r="R15">
        <v>42.82</v>
      </c>
      <c r="S15" s="5">
        <v>45675</v>
      </c>
      <c r="T15" s="5">
        <v>45679</v>
      </c>
      <c r="U15" t="s">
        <v>2926</v>
      </c>
    </row>
    <row r="16" spans="1:21" x14ac:dyDescent="0.25">
      <c r="A16" s="5">
        <v>45634</v>
      </c>
      <c r="B16" s="7">
        <f>Table1[[#This Row],[TotalPrice]] * (1 - Table1[[#This Row],[Discount]])</f>
        <v>2387.5012499999998</v>
      </c>
      <c r="C16" s="7">
        <f>Table1[[#This Row],[Net Sales]] * 0.2</f>
        <v>477.50024999999999</v>
      </c>
      <c r="D16" t="s">
        <v>21</v>
      </c>
      <c r="E16" t="s">
        <v>26</v>
      </c>
      <c r="F16">
        <v>15</v>
      </c>
      <c r="G16">
        <v>220.3</v>
      </c>
      <c r="H16" t="s">
        <v>31</v>
      </c>
      <c r="I16" t="s">
        <v>36</v>
      </c>
      <c r="J16" s="3">
        <v>0.15</v>
      </c>
      <c r="K16" t="s">
        <v>41</v>
      </c>
      <c r="L16">
        <v>2808.8249999999998</v>
      </c>
      <c r="M16" t="s">
        <v>46</v>
      </c>
      <c r="O16">
        <v>0</v>
      </c>
      <c r="P16" t="s">
        <v>65</v>
      </c>
      <c r="Q16" t="s">
        <v>1565</v>
      </c>
      <c r="R16">
        <v>39.659999999999997</v>
      </c>
      <c r="S16" s="5">
        <v>45634</v>
      </c>
      <c r="T16" s="5">
        <v>45641</v>
      </c>
      <c r="U16" t="s">
        <v>2924</v>
      </c>
    </row>
    <row r="17" spans="1:21" x14ac:dyDescent="0.25">
      <c r="A17" s="5">
        <v>45788</v>
      </c>
      <c r="B17" s="7">
        <f>Table1[[#This Row],[TotalPrice]] * (1 - Table1[[#This Row],[Discount]])</f>
        <v>2500.2138</v>
      </c>
      <c r="C17" s="7">
        <f>Table1[[#This Row],[Net Sales]] * 0.2</f>
        <v>500.04276000000004</v>
      </c>
      <c r="D17" t="s">
        <v>23</v>
      </c>
      <c r="E17" t="s">
        <v>27</v>
      </c>
      <c r="F17">
        <v>17</v>
      </c>
      <c r="G17">
        <v>162.96</v>
      </c>
      <c r="H17" t="s">
        <v>32</v>
      </c>
      <c r="I17" t="s">
        <v>35</v>
      </c>
      <c r="J17" s="3">
        <v>0.05</v>
      </c>
      <c r="K17" t="s">
        <v>37</v>
      </c>
      <c r="L17">
        <v>2631.8040000000001</v>
      </c>
      <c r="M17" t="s">
        <v>44</v>
      </c>
      <c r="N17" t="s">
        <v>48</v>
      </c>
      <c r="O17">
        <v>0</v>
      </c>
      <c r="P17" t="s">
        <v>66</v>
      </c>
      <c r="Q17" t="s">
        <v>1566</v>
      </c>
      <c r="R17">
        <v>8.11</v>
      </c>
      <c r="S17" s="5">
        <v>45788</v>
      </c>
      <c r="T17" s="5">
        <v>45794</v>
      </c>
      <c r="U17" t="s">
        <v>2926</v>
      </c>
    </row>
    <row r="18" spans="1:21" x14ac:dyDescent="0.25">
      <c r="A18" s="5">
        <v>44983</v>
      </c>
      <c r="B18" s="7">
        <f>Table1[[#This Row],[TotalPrice]] * (1 - Table1[[#This Row],[Discount]])</f>
        <v>4486.09</v>
      </c>
      <c r="C18" s="7">
        <f>Table1[[#This Row],[Net Sales]] * 0.2</f>
        <v>897.21800000000007</v>
      </c>
      <c r="D18" t="s">
        <v>23</v>
      </c>
      <c r="E18" t="s">
        <v>24</v>
      </c>
      <c r="F18">
        <v>19</v>
      </c>
      <c r="G18">
        <v>236.11</v>
      </c>
      <c r="H18" t="s">
        <v>34</v>
      </c>
      <c r="I18" t="s">
        <v>35</v>
      </c>
      <c r="J18" s="3">
        <v>0</v>
      </c>
      <c r="K18" t="s">
        <v>42</v>
      </c>
      <c r="L18">
        <v>4486.09</v>
      </c>
      <c r="M18" t="s">
        <v>43</v>
      </c>
      <c r="N18" t="s">
        <v>50</v>
      </c>
      <c r="O18">
        <v>0</v>
      </c>
      <c r="P18" t="s">
        <v>67</v>
      </c>
      <c r="Q18" t="s">
        <v>1567</v>
      </c>
      <c r="R18">
        <v>34.11</v>
      </c>
      <c r="S18" s="5">
        <v>44983</v>
      </c>
      <c r="T18" s="5">
        <v>44989</v>
      </c>
      <c r="U18" t="s">
        <v>2926</v>
      </c>
    </row>
    <row r="19" spans="1:21" x14ac:dyDescent="0.25">
      <c r="A19" s="5">
        <v>45440</v>
      </c>
      <c r="B19" s="7">
        <f>Table1[[#This Row],[TotalPrice]] * (1 - Table1[[#This Row],[Discount]])</f>
        <v>5689.84735</v>
      </c>
      <c r="C19" s="7">
        <f>Table1[[#This Row],[Net Sales]] * 0.2</f>
        <v>1137.96947</v>
      </c>
      <c r="D19" t="s">
        <v>22</v>
      </c>
      <c r="E19" t="s">
        <v>26</v>
      </c>
      <c r="F19">
        <v>11</v>
      </c>
      <c r="G19">
        <v>573.14</v>
      </c>
      <c r="H19" t="s">
        <v>34</v>
      </c>
      <c r="I19" t="s">
        <v>36</v>
      </c>
      <c r="J19" s="3">
        <v>0.05</v>
      </c>
      <c r="K19" t="s">
        <v>41</v>
      </c>
      <c r="L19">
        <v>5989.3130000000001</v>
      </c>
      <c r="M19" t="s">
        <v>47</v>
      </c>
      <c r="N19" t="s">
        <v>49</v>
      </c>
      <c r="O19">
        <v>0</v>
      </c>
      <c r="P19" t="s">
        <v>68</v>
      </c>
      <c r="Q19" t="s">
        <v>1568</v>
      </c>
      <c r="R19">
        <v>34.71</v>
      </c>
      <c r="S19" s="5">
        <v>45440</v>
      </c>
      <c r="T19" s="5">
        <v>45444</v>
      </c>
      <c r="U19" t="s">
        <v>2925</v>
      </c>
    </row>
    <row r="20" spans="1:21" x14ac:dyDescent="0.25">
      <c r="A20" s="5">
        <v>45260</v>
      </c>
      <c r="B20" s="7">
        <f>Table1[[#This Row],[TotalPrice]] * (1 - Table1[[#This Row],[Discount]])</f>
        <v>7500.1279999999988</v>
      </c>
      <c r="C20" s="7">
        <f>Table1[[#This Row],[Net Sales]] * 0.2</f>
        <v>1500.0255999999999</v>
      </c>
      <c r="D20" t="s">
        <v>19</v>
      </c>
      <c r="E20" t="s">
        <v>25</v>
      </c>
      <c r="F20">
        <v>20</v>
      </c>
      <c r="G20">
        <v>519.04</v>
      </c>
      <c r="H20" t="s">
        <v>31</v>
      </c>
      <c r="I20" t="s">
        <v>36</v>
      </c>
      <c r="J20" s="3">
        <v>0.15</v>
      </c>
      <c r="K20" t="s">
        <v>40</v>
      </c>
      <c r="L20">
        <v>8823.6799999999985</v>
      </c>
      <c r="M20" t="s">
        <v>44</v>
      </c>
      <c r="N20" t="s">
        <v>48</v>
      </c>
      <c r="O20">
        <v>0</v>
      </c>
      <c r="P20" t="s">
        <v>69</v>
      </c>
      <c r="Q20" t="s">
        <v>1569</v>
      </c>
      <c r="R20">
        <v>19.43</v>
      </c>
      <c r="S20" s="5">
        <v>45260</v>
      </c>
      <c r="T20" s="5">
        <v>45268</v>
      </c>
      <c r="U20" t="s">
        <v>2922</v>
      </c>
    </row>
    <row r="21" spans="1:21" x14ac:dyDescent="0.25">
      <c r="A21" s="5">
        <v>45099</v>
      </c>
      <c r="B21" s="7">
        <f>Table1[[#This Row],[TotalPrice]] * (1 - Table1[[#This Row],[Discount]])</f>
        <v>431.62</v>
      </c>
      <c r="C21" s="7">
        <f>Table1[[#This Row],[Net Sales]] * 0.2</f>
        <v>86.324000000000012</v>
      </c>
      <c r="D21" t="s">
        <v>23</v>
      </c>
      <c r="E21" t="s">
        <v>26</v>
      </c>
      <c r="F21">
        <v>14</v>
      </c>
      <c r="G21">
        <v>30.83</v>
      </c>
      <c r="H21" t="s">
        <v>31</v>
      </c>
      <c r="I21" t="s">
        <v>36</v>
      </c>
      <c r="J21" s="3">
        <v>0</v>
      </c>
      <c r="K21" t="s">
        <v>40</v>
      </c>
      <c r="L21">
        <v>431.62</v>
      </c>
      <c r="M21" t="s">
        <v>43</v>
      </c>
      <c r="N21" t="s">
        <v>50</v>
      </c>
      <c r="O21">
        <v>1</v>
      </c>
      <c r="P21" t="s">
        <v>70</v>
      </c>
      <c r="Q21" t="s">
        <v>1570</v>
      </c>
      <c r="R21">
        <v>7.1</v>
      </c>
      <c r="S21" s="5">
        <v>45099</v>
      </c>
      <c r="T21" s="5">
        <v>45109</v>
      </c>
      <c r="U21" t="s">
        <v>2926</v>
      </c>
    </row>
    <row r="22" spans="1:21" x14ac:dyDescent="0.25">
      <c r="A22" s="5">
        <v>45813</v>
      </c>
      <c r="B22" s="7">
        <f>Table1[[#This Row],[TotalPrice]] * (1 - Table1[[#This Row],[Discount]])</f>
        <v>3190.5</v>
      </c>
      <c r="C22" s="7">
        <f>Table1[[#This Row],[Net Sales]] * 0.2</f>
        <v>638.1</v>
      </c>
      <c r="D22" t="s">
        <v>23</v>
      </c>
      <c r="E22" t="s">
        <v>25</v>
      </c>
      <c r="F22">
        <v>10</v>
      </c>
      <c r="G22">
        <v>319.05</v>
      </c>
      <c r="H22" t="s">
        <v>34</v>
      </c>
      <c r="I22" t="s">
        <v>35</v>
      </c>
      <c r="J22" s="3">
        <v>0</v>
      </c>
      <c r="K22" t="s">
        <v>41</v>
      </c>
      <c r="L22">
        <v>3190.5</v>
      </c>
      <c r="M22" t="s">
        <v>43</v>
      </c>
      <c r="O22">
        <v>0</v>
      </c>
      <c r="P22" t="s">
        <v>71</v>
      </c>
      <c r="Q22" t="s">
        <v>1571</v>
      </c>
      <c r="R22">
        <v>28.43</v>
      </c>
      <c r="S22" s="5">
        <v>45813</v>
      </c>
      <c r="T22" s="5">
        <v>45816</v>
      </c>
      <c r="U22" t="s">
        <v>2926</v>
      </c>
    </row>
    <row r="23" spans="1:21" x14ac:dyDescent="0.25">
      <c r="A23" s="5">
        <v>44988</v>
      </c>
      <c r="B23" s="7">
        <f>Table1[[#This Row],[TotalPrice]] * (1 - Table1[[#This Row],[Discount]])</f>
        <v>3952.1016499999996</v>
      </c>
      <c r="C23" s="7">
        <f>Table1[[#This Row],[Net Sales]] * 0.2</f>
        <v>790.42032999999992</v>
      </c>
      <c r="D23" t="s">
        <v>22</v>
      </c>
      <c r="E23" t="s">
        <v>27</v>
      </c>
      <c r="F23">
        <v>14</v>
      </c>
      <c r="G23">
        <v>312.79000000000002</v>
      </c>
      <c r="H23" t="s">
        <v>32</v>
      </c>
      <c r="I23" t="s">
        <v>36</v>
      </c>
      <c r="J23" s="3">
        <v>0.05</v>
      </c>
      <c r="K23" t="s">
        <v>42</v>
      </c>
      <c r="L23">
        <v>4160.107</v>
      </c>
      <c r="M23" t="s">
        <v>43</v>
      </c>
      <c r="O23">
        <v>1</v>
      </c>
      <c r="P23" t="s">
        <v>72</v>
      </c>
      <c r="Q23" t="s">
        <v>1572</v>
      </c>
      <c r="R23">
        <v>46.83</v>
      </c>
      <c r="S23" s="5">
        <v>44988</v>
      </c>
      <c r="T23" s="5">
        <v>44993</v>
      </c>
      <c r="U23" t="s">
        <v>2925</v>
      </c>
    </row>
    <row r="24" spans="1:21" x14ac:dyDescent="0.25">
      <c r="A24" s="5">
        <v>45340</v>
      </c>
      <c r="B24" s="7">
        <f>Table1[[#This Row],[TotalPrice]] * (1 - Table1[[#This Row],[Discount]])</f>
        <v>5536.3</v>
      </c>
      <c r="C24" s="7">
        <f>Table1[[#This Row],[Net Sales]] * 0.2</f>
        <v>1107.26</v>
      </c>
      <c r="D24" t="s">
        <v>21</v>
      </c>
      <c r="E24" t="s">
        <v>24</v>
      </c>
      <c r="F24">
        <v>14</v>
      </c>
      <c r="G24">
        <v>395.45</v>
      </c>
      <c r="H24" t="s">
        <v>33</v>
      </c>
      <c r="I24" t="s">
        <v>36</v>
      </c>
      <c r="J24" s="3">
        <v>0</v>
      </c>
      <c r="K24" t="s">
        <v>40</v>
      </c>
      <c r="L24">
        <v>5536.3</v>
      </c>
      <c r="M24" t="s">
        <v>47</v>
      </c>
      <c r="N24" t="s">
        <v>48</v>
      </c>
      <c r="O24">
        <v>1</v>
      </c>
      <c r="P24" t="s">
        <v>73</v>
      </c>
      <c r="Q24" t="s">
        <v>1573</v>
      </c>
      <c r="R24">
        <v>36.450000000000003</v>
      </c>
      <c r="S24" s="5">
        <v>45340</v>
      </c>
      <c r="T24" s="5">
        <v>45344</v>
      </c>
      <c r="U24" t="s">
        <v>2924</v>
      </c>
    </row>
    <row r="25" spans="1:21" x14ac:dyDescent="0.25">
      <c r="A25" s="5">
        <v>45144</v>
      </c>
      <c r="B25" s="7">
        <f>Table1[[#This Row],[TotalPrice]] * (1 - Table1[[#This Row],[Discount]])</f>
        <v>4098.4824000000008</v>
      </c>
      <c r="C25" s="7">
        <f>Table1[[#This Row],[Net Sales]] * 0.2</f>
        <v>819.69648000000018</v>
      </c>
      <c r="D25" t="s">
        <v>22</v>
      </c>
      <c r="E25" t="s">
        <v>24</v>
      </c>
      <c r="F25">
        <v>12</v>
      </c>
      <c r="G25">
        <v>472.72</v>
      </c>
      <c r="H25" t="s">
        <v>34</v>
      </c>
      <c r="I25" t="s">
        <v>36</v>
      </c>
      <c r="J25" s="3">
        <v>0.15</v>
      </c>
      <c r="K25" t="s">
        <v>41</v>
      </c>
      <c r="L25">
        <v>4821.7440000000006</v>
      </c>
      <c r="M25" t="s">
        <v>45</v>
      </c>
      <c r="O25">
        <v>0</v>
      </c>
      <c r="P25" t="s">
        <v>74</v>
      </c>
      <c r="Q25" t="s">
        <v>1574</v>
      </c>
      <c r="R25">
        <v>27.97</v>
      </c>
      <c r="S25" s="5">
        <v>45144</v>
      </c>
      <c r="T25" s="5">
        <v>45152</v>
      </c>
      <c r="U25" t="s">
        <v>2925</v>
      </c>
    </row>
    <row r="26" spans="1:21" x14ac:dyDescent="0.25">
      <c r="A26" s="5">
        <v>45435</v>
      </c>
      <c r="B26" s="7">
        <f>Table1[[#This Row],[TotalPrice]] * (1 - Table1[[#This Row],[Discount]])</f>
        <v>1440.05</v>
      </c>
      <c r="C26" s="7">
        <f>Table1[[#This Row],[Net Sales]] * 0.2</f>
        <v>288.01</v>
      </c>
      <c r="D26" t="s">
        <v>21</v>
      </c>
      <c r="E26" t="s">
        <v>26</v>
      </c>
      <c r="F26">
        <v>5</v>
      </c>
      <c r="G26">
        <v>288.01</v>
      </c>
      <c r="H26" t="s">
        <v>32</v>
      </c>
      <c r="I26" t="s">
        <v>35</v>
      </c>
      <c r="J26" s="3">
        <v>0</v>
      </c>
      <c r="K26" t="s">
        <v>37</v>
      </c>
      <c r="L26">
        <v>1440.05</v>
      </c>
      <c r="M26" t="s">
        <v>45</v>
      </c>
      <c r="N26" t="s">
        <v>48</v>
      </c>
      <c r="O26">
        <v>0</v>
      </c>
      <c r="P26" t="s">
        <v>75</v>
      </c>
      <c r="Q26" t="s">
        <v>1575</v>
      </c>
      <c r="R26">
        <v>46.69</v>
      </c>
      <c r="S26" s="5">
        <v>45435</v>
      </c>
      <c r="T26" s="5">
        <v>45442</v>
      </c>
      <c r="U26" t="s">
        <v>2924</v>
      </c>
    </row>
    <row r="27" spans="1:21" x14ac:dyDescent="0.25">
      <c r="A27" s="5">
        <v>45222</v>
      </c>
      <c r="B27" s="7">
        <f>Table1[[#This Row],[TotalPrice]] * (1 - Table1[[#This Row],[Discount]])</f>
        <v>7309.77</v>
      </c>
      <c r="C27" s="7">
        <f>Table1[[#This Row],[Net Sales]] * 0.2</f>
        <v>1461.9540000000002</v>
      </c>
      <c r="D27" t="s">
        <v>19</v>
      </c>
      <c r="E27" t="s">
        <v>25</v>
      </c>
      <c r="F27">
        <v>13</v>
      </c>
      <c r="G27">
        <v>562.29</v>
      </c>
      <c r="H27" t="s">
        <v>34</v>
      </c>
      <c r="I27" t="s">
        <v>36</v>
      </c>
      <c r="J27" s="3">
        <v>0</v>
      </c>
      <c r="K27" t="s">
        <v>41</v>
      </c>
      <c r="L27">
        <v>7309.77</v>
      </c>
      <c r="M27" t="s">
        <v>44</v>
      </c>
      <c r="N27" t="s">
        <v>49</v>
      </c>
      <c r="O27">
        <v>0</v>
      </c>
      <c r="P27" t="s">
        <v>76</v>
      </c>
      <c r="Q27" t="s">
        <v>1576</v>
      </c>
      <c r="R27">
        <v>38.130000000000003</v>
      </c>
      <c r="S27" s="5">
        <v>45222</v>
      </c>
      <c r="T27" s="5">
        <v>45227</v>
      </c>
      <c r="U27" t="s">
        <v>2922</v>
      </c>
    </row>
    <row r="28" spans="1:21" x14ac:dyDescent="0.25">
      <c r="A28" s="5">
        <v>45824</v>
      </c>
      <c r="B28" s="7">
        <f>Table1[[#This Row],[TotalPrice]] * (1 - Table1[[#This Row],[Discount]])</f>
        <v>101.73</v>
      </c>
      <c r="C28" s="7">
        <f>Table1[[#This Row],[Net Sales]] * 0.2</f>
        <v>20.346000000000004</v>
      </c>
      <c r="D28" t="s">
        <v>23</v>
      </c>
      <c r="E28" t="s">
        <v>25</v>
      </c>
      <c r="F28">
        <v>1</v>
      </c>
      <c r="G28">
        <v>101.73</v>
      </c>
      <c r="H28" t="s">
        <v>34</v>
      </c>
      <c r="I28" t="s">
        <v>36</v>
      </c>
      <c r="J28" s="3">
        <v>0</v>
      </c>
      <c r="K28" t="s">
        <v>39</v>
      </c>
      <c r="L28">
        <v>101.73</v>
      </c>
      <c r="M28" t="s">
        <v>46</v>
      </c>
      <c r="N28" t="s">
        <v>50</v>
      </c>
      <c r="O28">
        <v>0</v>
      </c>
      <c r="P28" t="s">
        <v>77</v>
      </c>
      <c r="Q28" t="s">
        <v>1577</v>
      </c>
      <c r="R28">
        <v>11.59</v>
      </c>
      <c r="S28" s="5">
        <v>45824</v>
      </c>
      <c r="T28" s="5">
        <v>45833</v>
      </c>
      <c r="U28" t="s">
        <v>2926</v>
      </c>
    </row>
    <row r="29" spans="1:21" x14ac:dyDescent="0.25">
      <c r="A29" s="5">
        <v>44988</v>
      </c>
      <c r="B29" s="7">
        <f>Table1[[#This Row],[TotalPrice]] * (1 - Table1[[#This Row],[Discount]])</f>
        <v>1117.96</v>
      </c>
      <c r="C29" s="7">
        <f>Table1[[#This Row],[Net Sales]] * 0.2</f>
        <v>223.59200000000001</v>
      </c>
      <c r="D29" t="s">
        <v>21</v>
      </c>
      <c r="E29" t="s">
        <v>25</v>
      </c>
      <c r="F29">
        <v>4</v>
      </c>
      <c r="G29">
        <v>279.49</v>
      </c>
      <c r="H29" t="s">
        <v>31</v>
      </c>
      <c r="I29" t="s">
        <v>36</v>
      </c>
      <c r="J29" s="3">
        <v>0</v>
      </c>
      <c r="K29" t="s">
        <v>41</v>
      </c>
      <c r="L29">
        <v>1117.96</v>
      </c>
      <c r="M29" t="s">
        <v>45</v>
      </c>
      <c r="N29" t="s">
        <v>48</v>
      </c>
      <c r="O29">
        <v>0</v>
      </c>
      <c r="P29" t="s">
        <v>78</v>
      </c>
      <c r="Q29" t="s">
        <v>1578</v>
      </c>
      <c r="R29">
        <v>24.78</v>
      </c>
      <c r="S29" s="5">
        <v>44988</v>
      </c>
      <c r="T29" s="5">
        <v>44993</v>
      </c>
      <c r="U29" t="s">
        <v>2924</v>
      </c>
    </row>
    <row r="30" spans="1:21" x14ac:dyDescent="0.25">
      <c r="A30" s="5">
        <v>45614</v>
      </c>
      <c r="B30" s="7">
        <f>Table1[[#This Row],[TotalPrice]] * (1 - Table1[[#This Row],[Discount]])</f>
        <v>129.002375</v>
      </c>
      <c r="C30" s="7">
        <f>Table1[[#This Row],[Net Sales]] * 0.2</f>
        <v>25.800475000000002</v>
      </c>
      <c r="D30" t="s">
        <v>20</v>
      </c>
      <c r="E30" t="s">
        <v>24</v>
      </c>
      <c r="F30">
        <v>1</v>
      </c>
      <c r="G30">
        <v>178.55</v>
      </c>
      <c r="H30" t="s">
        <v>32</v>
      </c>
      <c r="I30" t="s">
        <v>36</v>
      </c>
      <c r="J30" s="3">
        <v>0.15</v>
      </c>
      <c r="K30" t="s">
        <v>40</v>
      </c>
      <c r="L30">
        <v>151.76750000000001</v>
      </c>
      <c r="M30" t="s">
        <v>46</v>
      </c>
      <c r="N30" t="s">
        <v>49</v>
      </c>
      <c r="O30">
        <v>1</v>
      </c>
      <c r="P30" t="s">
        <v>79</v>
      </c>
      <c r="Q30" t="s">
        <v>1579</v>
      </c>
      <c r="R30">
        <v>7.61</v>
      </c>
      <c r="S30" s="5">
        <v>45614</v>
      </c>
      <c r="T30" s="5">
        <v>45617</v>
      </c>
      <c r="U30" t="s">
        <v>2923</v>
      </c>
    </row>
    <row r="31" spans="1:21" x14ac:dyDescent="0.25">
      <c r="A31" s="5">
        <v>45055</v>
      </c>
      <c r="B31" s="7">
        <f>Table1[[#This Row],[TotalPrice]] * (1 - Table1[[#This Row],[Discount]])</f>
        <v>382.37670000000003</v>
      </c>
      <c r="C31" s="7">
        <f>Table1[[#This Row],[Net Sales]] * 0.2</f>
        <v>76.475340000000003</v>
      </c>
      <c r="D31" t="s">
        <v>22</v>
      </c>
      <c r="E31" t="s">
        <v>29</v>
      </c>
      <c r="F31">
        <v>1</v>
      </c>
      <c r="G31">
        <v>472.07</v>
      </c>
      <c r="H31" t="s">
        <v>32</v>
      </c>
      <c r="I31" t="s">
        <v>35</v>
      </c>
      <c r="J31" s="3">
        <v>0.1</v>
      </c>
      <c r="K31" t="s">
        <v>40</v>
      </c>
      <c r="L31">
        <v>424.863</v>
      </c>
      <c r="M31" t="s">
        <v>43</v>
      </c>
      <c r="N31" t="s">
        <v>48</v>
      </c>
      <c r="O31">
        <v>0</v>
      </c>
      <c r="P31" t="s">
        <v>80</v>
      </c>
      <c r="Q31" t="s">
        <v>1580</v>
      </c>
      <c r="R31">
        <v>33.17</v>
      </c>
      <c r="S31" s="5">
        <v>45055</v>
      </c>
      <c r="T31" s="5">
        <v>45063</v>
      </c>
      <c r="U31" t="s">
        <v>2925</v>
      </c>
    </row>
    <row r="32" spans="1:21" x14ac:dyDescent="0.25">
      <c r="A32" s="5">
        <v>45633</v>
      </c>
      <c r="B32" s="7">
        <f>Table1[[#This Row],[TotalPrice]] * (1 - Table1[[#This Row],[Discount]])</f>
        <v>3675.48</v>
      </c>
      <c r="C32" s="7">
        <f>Table1[[#This Row],[Net Sales]] * 0.2</f>
        <v>735.096</v>
      </c>
      <c r="D32" t="s">
        <v>21</v>
      </c>
      <c r="E32" t="s">
        <v>29</v>
      </c>
      <c r="F32">
        <v>12</v>
      </c>
      <c r="G32">
        <v>306.29000000000002</v>
      </c>
      <c r="H32" t="s">
        <v>34</v>
      </c>
      <c r="I32" t="s">
        <v>36</v>
      </c>
      <c r="J32" s="3">
        <v>0</v>
      </c>
      <c r="K32" t="s">
        <v>39</v>
      </c>
      <c r="L32">
        <v>3675.48</v>
      </c>
      <c r="M32" t="s">
        <v>46</v>
      </c>
      <c r="N32" t="s">
        <v>49</v>
      </c>
      <c r="O32">
        <v>0</v>
      </c>
      <c r="P32" t="s">
        <v>81</v>
      </c>
      <c r="Q32" t="s">
        <v>1581</v>
      </c>
      <c r="R32">
        <v>37.380000000000003</v>
      </c>
      <c r="S32" s="5">
        <v>45633</v>
      </c>
      <c r="T32" s="5">
        <v>45640</v>
      </c>
      <c r="U32" t="s">
        <v>2924</v>
      </c>
    </row>
    <row r="33" spans="1:21" x14ac:dyDescent="0.25">
      <c r="A33" s="5">
        <v>45335</v>
      </c>
      <c r="B33" s="7">
        <f>Table1[[#This Row],[TotalPrice]] * (1 - Table1[[#This Row],[Discount]])</f>
        <v>2198.849275</v>
      </c>
      <c r="C33" s="7">
        <f>Table1[[#This Row],[Net Sales]] * 0.2</f>
        <v>439.76985500000001</v>
      </c>
      <c r="D33" t="s">
        <v>21</v>
      </c>
      <c r="E33" t="s">
        <v>25</v>
      </c>
      <c r="F33">
        <v>7</v>
      </c>
      <c r="G33">
        <v>434.77</v>
      </c>
      <c r="H33" t="s">
        <v>33</v>
      </c>
      <c r="I33" t="s">
        <v>36</v>
      </c>
      <c r="J33" s="3">
        <v>0.15</v>
      </c>
      <c r="K33" t="s">
        <v>39</v>
      </c>
      <c r="L33">
        <v>2586.8815</v>
      </c>
      <c r="M33" t="s">
        <v>43</v>
      </c>
      <c r="N33" t="s">
        <v>49</v>
      </c>
      <c r="O33">
        <v>0</v>
      </c>
      <c r="P33" t="s">
        <v>82</v>
      </c>
      <c r="Q33" t="s">
        <v>1582</v>
      </c>
      <c r="R33">
        <v>12.35</v>
      </c>
      <c r="S33" s="5">
        <v>45335</v>
      </c>
      <c r="T33" s="5">
        <v>45337</v>
      </c>
      <c r="U33" t="s">
        <v>2924</v>
      </c>
    </row>
    <row r="34" spans="1:21" x14ac:dyDescent="0.25">
      <c r="A34" s="5">
        <v>45725</v>
      </c>
      <c r="B34" s="7">
        <f>Table1[[#This Row],[TotalPrice]] * (1 - Table1[[#This Row],[Discount]])</f>
        <v>389.88</v>
      </c>
      <c r="C34" s="7">
        <f>Table1[[#This Row],[Net Sales]] * 0.2</f>
        <v>77.975999999999999</v>
      </c>
      <c r="D34" t="s">
        <v>20</v>
      </c>
      <c r="E34" t="s">
        <v>26</v>
      </c>
      <c r="F34">
        <v>6</v>
      </c>
      <c r="G34">
        <v>64.98</v>
      </c>
      <c r="H34" t="s">
        <v>33</v>
      </c>
      <c r="I34" t="s">
        <v>36</v>
      </c>
      <c r="J34" s="3">
        <v>0</v>
      </c>
      <c r="K34" t="s">
        <v>40</v>
      </c>
      <c r="L34">
        <v>389.88</v>
      </c>
      <c r="M34" t="s">
        <v>46</v>
      </c>
      <c r="N34" t="s">
        <v>50</v>
      </c>
      <c r="O34">
        <v>0</v>
      </c>
      <c r="P34" t="s">
        <v>83</v>
      </c>
      <c r="Q34" t="s">
        <v>1583</v>
      </c>
      <c r="R34">
        <v>21.25</v>
      </c>
      <c r="S34" s="5">
        <v>45725</v>
      </c>
      <c r="T34" s="5">
        <v>45731</v>
      </c>
      <c r="U34" t="s">
        <v>2923</v>
      </c>
    </row>
    <row r="35" spans="1:21" x14ac:dyDescent="0.25">
      <c r="A35" s="5">
        <v>45021</v>
      </c>
      <c r="B35" s="7">
        <f>Table1[[#This Row],[TotalPrice]] * (1 - Table1[[#This Row],[Discount]])</f>
        <v>8100.33</v>
      </c>
      <c r="C35" s="7">
        <f>Table1[[#This Row],[Net Sales]] * 0.2</f>
        <v>1620.066</v>
      </c>
      <c r="D35" t="s">
        <v>22</v>
      </c>
      <c r="E35" t="s">
        <v>26</v>
      </c>
      <c r="F35">
        <v>17</v>
      </c>
      <c r="G35">
        <v>476.49</v>
      </c>
      <c r="H35" t="s">
        <v>34</v>
      </c>
      <c r="I35" t="s">
        <v>36</v>
      </c>
      <c r="J35" s="3">
        <v>0</v>
      </c>
      <c r="K35" t="s">
        <v>38</v>
      </c>
      <c r="L35">
        <v>8100.33</v>
      </c>
      <c r="M35" t="s">
        <v>44</v>
      </c>
      <c r="O35">
        <v>0</v>
      </c>
      <c r="P35" t="s">
        <v>84</v>
      </c>
      <c r="Q35" t="s">
        <v>1584</v>
      </c>
      <c r="R35">
        <v>17.91</v>
      </c>
      <c r="S35" s="5">
        <v>45021</v>
      </c>
      <c r="T35" s="5">
        <v>45027</v>
      </c>
      <c r="U35" t="s">
        <v>2925</v>
      </c>
    </row>
    <row r="36" spans="1:21" x14ac:dyDescent="0.25">
      <c r="A36" s="5">
        <v>45785</v>
      </c>
      <c r="B36" s="7">
        <f>Table1[[#This Row],[TotalPrice]] * (1 - Table1[[#This Row],[Discount]])</f>
        <v>1617.5907999999999</v>
      </c>
      <c r="C36" s="7">
        <f>Table1[[#This Row],[Net Sales]] * 0.2</f>
        <v>323.51816000000002</v>
      </c>
      <c r="D36" t="s">
        <v>21</v>
      </c>
      <c r="E36" t="s">
        <v>28</v>
      </c>
      <c r="F36">
        <v>4</v>
      </c>
      <c r="G36">
        <v>559.72</v>
      </c>
      <c r="H36" t="s">
        <v>34</v>
      </c>
      <c r="I36" t="s">
        <v>36</v>
      </c>
      <c r="J36" s="3">
        <v>0.15</v>
      </c>
      <c r="K36" t="s">
        <v>41</v>
      </c>
      <c r="L36">
        <v>1903.048</v>
      </c>
      <c r="M36" t="s">
        <v>43</v>
      </c>
      <c r="N36" t="s">
        <v>49</v>
      </c>
      <c r="O36">
        <v>0</v>
      </c>
      <c r="P36" t="s">
        <v>85</v>
      </c>
      <c r="Q36" t="s">
        <v>1585</v>
      </c>
      <c r="R36">
        <v>41.91</v>
      </c>
      <c r="S36" s="5">
        <v>45785</v>
      </c>
      <c r="T36" s="5">
        <v>45789</v>
      </c>
      <c r="U36" t="s">
        <v>2924</v>
      </c>
    </row>
    <row r="37" spans="1:21" x14ac:dyDescent="0.25">
      <c r="A37" s="5">
        <v>45172</v>
      </c>
      <c r="B37" s="7">
        <f>Table1[[#This Row],[TotalPrice]] * (1 - Table1[[#This Row],[Discount]])</f>
        <v>1149.96</v>
      </c>
      <c r="C37" s="7">
        <f>Table1[[#This Row],[Net Sales]] * 0.2</f>
        <v>229.99200000000002</v>
      </c>
      <c r="D37" t="s">
        <v>21</v>
      </c>
      <c r="E37" t="s">
        <v>29</v>
      </c>
      <c r="F37">
        <v>14</v>
      </c>
      <c r="G37">
        <v>82.14</v>
      </c>
      <c r="H37" t="s">
        <v>33</v>
      </c>
      <c r="I37" t="s">
        <v>36</v>
      </c>
      <c r="J37" s="3">
        <v>0</v>
      </c>
      <c r="K37" t="s">
        <v>38</v>
      </c>
      <c r="L37">
        <v>1149.96</v>
      </c>
      <c r="M37" t="s">
        <v>45</v>
      </c>
      <c r="O37">
        <v>0</v>
      </c>
      <c r="P37" t="s">
        <v>86</v>
      </c>
      <c r="Q37" t="s">
        <v>1586</v>
      </c>
      <c r="R37">
        <v>12.57</v>
      </c>
      <c r="S37" s="5">
        <v>45172</v>
      </c>
      <c r="T37" s="5">
        <v>45180</v>
      </c>
      <c r="U37" t="s">
        <v>2924</v>
      </c>
    </row>
    <row r="38" spans="1:21" x14ac:dyDescent="0.25">
      <c r="A38" s="5">
        <v>45737</v>
      </c>
      <c r="B38" s="7">
        <f>Table1[[#This Row],[TotalPrice]] * (1 - Table1[[#This Row],[Discount]])</f>
        <v>2787.7232249999997</v>
      </c>
      <c r="C38" s="7">
        <f>Table1[[#This Row],[Net Sales]] * 0.2</f>
        <v>557.54464499999995</v>
      </c>
      <c r="D38" t="s">
        <v>22</v>
      </c>
      <c r="E38" t="s">
        <v>27</v>
      </c>
      <c r="F38">
        <v>9</v>
      </c>
      <c r="G38">
        <v>343.21</v>
      </c>
      <c r="H38" t="s">
        <v>32</v>
      </c>
      <c r="I38" t="s">
        <v>36</v>
      </c>
      <c r="J38" s="3">
        <v>0.05</v>
      </c>
      <c r="K38" t="s">
        <v>40</v>
      </c>
      <c r="L38">
        <v>2934.4454999999998</v>
      </c>
      <c r="M38" t="s">
        <v>46</v>
      </c>
      <c r="N38" t="s">
        <v>48</v>
      </c>
      <c r="O38">
        <v>0</v>
      </c>
      <c r="P38" t="s">
        <v>87</v>
      </c>
      <c r="Q38" t="s">
        <v>1587</v>
      </c>
      <c r="R38">
        <v>40.29</v>
      </c>
      <c r="S38" s="5">
        <v>45737</v>
      </c>
      <c r="T38" s="5">
        <v>45744</v>
      </c>
      <c r="U38" t="s">
        <v>2925</v>
      </c>
    </row>
    <row r="39" spans="1:21" x14ac:dyDescent="0.25">
      <c r="A39" s="5">
        <v>45828</v>
      </c>
      <c r="B39" s="7">
        <f>Table1[[#This Row],[TotalPrice]] * (1 - Table1[[#This Row],[Discount]])</f>
        <v>1522.3580749999999</v>
      </c>
      <c r="C39" s="7">
        <f>Table1[[#This Row],[Net Sales]] * 0.2</f>
        <v>304.47161499999999</v>
      </c>
      <c r="D39" t="s">
        <v>20</v>
      </c>
      <c r="E39" t="s">
        <v>27</v>
      </c>
      <c r="F39">
        <v>7</v>
      </c>
      <c r="G39">
        <v>301.01</v>
      </c>
      <c r="H39" t="s">
        <v>31</v>
      </c>
      <c r="I39" t="s">
        <v>36</v>
      </c>
      <c r="J39" s="3">
        <v>0.15</v>
      </c>
      <c r="K39" t="s">
        <v>41</v>
      </c>
      <c r="L39">
        <v>1791.0094999999999</v>
      </c>
      <c r="M39" t="s">
        <v>47</v>
      </c>
      <c r="N39" t="s">
        <v>49</v>
      </c>
      <c r="O39">
        <v>1</v>
      </c>
      <c r="P39" t="s">
        <v>88</v>
      </c>
      <c r="Q39" t="s">
        <v>1588</v>
      </c>
      <c r="R39">
        <v>34.97</v>
      </c>
      <c r="S39" s="5">
        <v>45828</v>
      </c>
      <c r="T39" s="5">
        <v>45838</v>
      </c>
      <c r="U39" t="s">
        <v>2923</v>
      </c>
    </row>
    <row r="40" spans="1:21" x14ac:dyDescent="0.25">
      <c r="A40" s="5">
        <v>45337</v>
      </c>
      <c r="B40" s="7">
        <f>Table1[[#This Row],[TotalPrice]] * (1 - Table1[[#This Row],[Discount]])</f>
        <v>4854.9942000000001</v>
      </c>
      <c r="C40" s="7">
        <f>Table1[[#This Row],[Net Sales]] * 0.2</f>
        <v>970.99884000000009</v>
      </c>
      <c r="D40" t="s">
        <v>22</v>
      </c>
      <c r="E40" t="s">
        <v>30</v>
      </c>
      <c r="F40">
        <v>14</v>
      </c>
      <c r="G40">
        <v>428.13</v>
      </c>
      <c r="H40" t="s">
        <v>33</v>
      </c>
      <c r="I40" t="s">
        <v>36</v>
      </c>
      <c r="J40" s="3">
        <v>0.1</v>
      </c>
      <c r="K40" t="s">
        <v>42</v>
      </c>
      <c r="L40">
        <v>5394.4380000000001</v>
      </c>
      <c r="M40" t="s">
        <v>47</v>
      </c>
      <c r="O40">
        <v>1</v>
      </c>
      <c r="P40" t="s">
        <v>89</v>
      </c>
      <c r="Q40" t="s">
        <v>1589</v>
      </c>
      <c r="R40">
        <v>24.77</v>
      </c>
      <c r="S40" s="5">
        <v>45337</v>
      </c>
      <c r="T40" s="5">
        <v>45347</v>
      </c>
      <c r="U40" t="s">
        <v>2925</v>
      </c>
    </row>
    <row r="41" spans="1:21" x14ac:dyDescent="0.25">
      <c r="A41" s="5">
        <v>45086</v>
      </c>
      <c r="B41" s="7">
        <f>Table1[[#This Row],[TotalPrice]] * (1 - Table1[[#This Row],[Discount]])</f>
        <v>727.23959999999988</v>
      </c>
      <c r="C41" s="7">
        <f>Table1[[#This Row],[Net Sales]] * 0.2</f>
        <v>145.44791999999998</v>
      </c>
      <c r="D41" t="s">
        <v>22</v>
      </c>
      <c r="E41" t="s">
        <v>24</v>
      </c>
      <c r="F41">
        <v>2</v>
      </c>
      <c r="G41">
        <v>503.28</v>
      </c>
      <c r="H41" t="s">
        <v>34</v>
      </c>
      <c r="I41" t="s">
        <v>36</v>
      </c>
      <c r="J41" s="3">
        <v>0.15</v>
      </c>
      <c r="K41" t="s">
        <v>38</v>
      </c>
      <c r="L41">
        <v>855.57599999999991</v>
      </c>
      <c r="M41" t="s">
        <v>44</v>
      </c>
      <c r="O41">
        <v>0</v>
      </c>
      <c r="P41" t="s">
        <v>90</v>
      </c>
      <c r="Q41" t="s">
        <v>1590</v>
      </c>
      <c r="R41">
        <v>34.79</v>
      </c>
      <c r="S41" s="5">
        <v>45086</v>
      </c>
      <c r="T41" s="5">
        <v>45094</v>
      </c>
      <c r="U41" t="s">
        <v>2925</v>
      </c>
    </row>
    <row r="42" spans="1:21" x14ac:dyDescent="0.25">
      <c r="A42" s="5">
        <v>45148</v>
      </c>
      <c r="B42" s="7">
        <f>Table1[[#This Row],[TotalPrice]] * (1 - Table1[[#This Row],[Discount]])</f>
        <v>1904.796</v>
      </c>
      <c r="C42" s="7">
        <f>Table1[[#This Row],[Net Sales]] * 0.2</f>
        <v>380.95920000000001</v>
      </c>
      <c r="D42" t="s">
        <v>20</v>
      </c>
      <c r="E42" t="s">
        <v>30</v>
      </c>
      <c r="F42">
        <v>5</v>
      </c>
      <c r="G42">
        <v>470.32</v>
      </c>
      <c r="H42" t="s">
        <v>32</v>
      </c>
      <c r="I42" t="s">
        <v>36</v>
      </c>
      <c r="J42" s="3">
        <v>0.1</v>
      </c>
      <c r="K42" t="s">
        <v>37</v>
      </c>
      <c r="L42">
        <v>2116.44</v>
      </c>
      <c r="M42" t="s">
        <v>46</v>
      </c>
      <c r="N42" t="s">
        <v>49</v>
      </c>
      <c r="O42">
        <v>0</v>
      </c>
      <c r="P42" t="s">
        <v>91</v>
      </c>
      <c r="Q42" t="s">
        <v>1591</v>
      </c>
      <c r="R42">
        <v>17.77</v>
      </c>
      <c r="S42" s="5">
        <v>45148</v>
      </c>
      <c r="T42" s="5">
        <v>45152</v>
      </c>
      <c r="U42" t="s">
        <v>2923</v>
      </c>
    </row>
    <row r="43" spans="1:21" x14ac:dyDescent="0.25">
      <c r="A43" s="5">
        <v>45459</v>
      </c>
      <c r="B43" s="7">
        <f>Table1[[#This Row],[TotalPrice]] * (1 - Table1[[#This Row],[Discount]])</f>
        <v>1176.3184999999999</v>
      </c>
      <c r="C43" s="7">
        <f>Table1[[#This Row],[Net Sales]] * 0.2</f>
        <v>235.26369999999997</v>
      </c>
      <c r="D43" t="s">
        <v>22</v>
      </c>
      <c r="E43" t="s">
        <v>30</v>
      </c>
      <c r="F43">
        <v>20</v>
      </c>
      <c r="G43">
        <v>65.17</v>
      </c>
      <c r="H43" t="s">
        <v>33</v>
      </c>
      <c r="I43" t="s">
        <v>35</v>
      </c>
      <c r="J43" s="3">
        <v>0.05</v>
      </c>
      <c r="K43" t="s">
        <v>37</v>
      </c>
      <c r="L43">
        <v>1238.23</v>
      </c>
      <c r="M43" t="s">
        <v>44</v>
      </c>
      <c r="N43" t="s">
        <v>48</v>
      </c>
      <c r="O43">
        <v>0</v>
      </c>
      <c r="P43" t="s">
        <v>92</v>
      </c>
      <c r="Q43" t="s">
        <v>1592</v>
      </c>
      <c r="R43">
        <v>21.72</v>
      </c>
      <c r="S43" s="5">
        <v>45459</v>
      </c>
      <c r="T43" s="5">
        <v>45468</v>
      </c>
      <c r="U43" t="s">
        <v>2925</v>
      </c>
    </row>
    <row r="44" spans="1:21" x14ac:dyDescent="0.25">
      <c r="A44" s="5">
        <v>45130</v>
      </c>
      <c r="B44" s="7">
        <f>Table1[[#This Row],[TotalPrice]] * (1 - Table1[[#This Row],[Discount]])</f>
        <v>434.04</v>
      </c>
      <c r="C44" s="7">
        <f>Table1[[#This Row],[Net Sales]] * 0.2</f>
        <v>86.808000000000007</v>
      </c>
      <c r="D44" t="s">
        <v>20</v>
      </c>
      <c r="E44" t="s">
        <v>24</v>
      </c>
      <c r="F44">
        <v>12</v>
      </c>
      <c r="G44">
        <v>36.17</v>
      </c>
      <c r="H44" t="s">
        <v>32</v>
      </c>
      <c r="I44" t="s">
        <v>36</v>
      </c>
      <c r="J44" s="3">
        <v>0</v>
      </c>
      <c r="K44" t="s">
        <v>37</v>
      </c>
      <c r="L44">
        <v>434.04</v>
      </c>
      <c r="M44" t="s">
        <v>43</v>
      </c>
      <c r="N44" t="s">
        <v>50</v>
      </c>
      <c r="O44">
        <v>0</v>
      </c>
      <c r="P44" t="s">
        <v>93</v>
      </c>
      <c r="Q44" t="s">
        <v>1593</v>
      </c>
      <c r="R44">
        <v>34.85</v>
      </c>
      <c r="S44" s="5">
        <v>45130</v>
      </c>
      <c r="T44" s="5">
        <v>45133</v>
      </c>
      <c r="U44" t="s">
        <v>2923</v>
      </c>
    </row>
    <row r="45" spans="1:21" x14ac:dyDescent="0.25">
      <c r="A45" s="5">
        <v>45066</v>
      </c>
      <c r="B45" s="7">
        <f>Table1[[#This Row],[TotalPrice]] * (1 - Table1[[#This Row],[Discount]])</f>
        <v>1327.4059</v>
      </c>
      <c r="C45" s="7">
        <f>Table1[[#This Row],[Net Sales]] * 0.2</f>
        <v>265.48117999999999</v>
      </c>
      <c r="D45" t="s">
        <v>22</v>
      </c>
      <c r="E45" t="s">
        <v>30</v>
      </c>
      <c r="F45">
        <v>4</v>
      </c>
      <c r="G45">
        <v>459.31</v>
      </c>
      <c r="H45" t="s">
        <v>34</v>
      </c>
      <c r="I45" t="s">
        <v>35</v>
      </c>
      <c r="J45" s="3">
        <v>0.15</v>
      </c>
      <c r="K45" t="s">
        <v>40</v>
      </c>
      <c r="L45">
        <v>1561.654</v>
      </c>
      <c r="M45" t="s">
        <v>44</v>
      </c>
      <c r="N45" t="s">
        <v>50</v>
      </c>
      <c r="O45">
        <v>1</v>
      </c>
      <c r="P45" t="s">
        <v>94</v>
      </c>
      <c r="Q45" t="s">
        <v>1594</v>
      </c>
      <c r="R45">
        <v>27.39</v>
      </c>
      <c r="S45" s="5">
        <v>45066</v>
      </c>
      <c r="T45" s="5">
        <v>45073</v>
      </c>
      <c r="U45" t="s">
        <v>2925</v>
      </c>
    </row>
    <row r="46" spans="1:21" x14ac:dyDescent="0.25">
      <c r="A46" s="5">
        <v>45107</v>
      </c>
      <c r="B46" s="7">
        <f>Table1[[#This Row],[TotalPrice]] * (1 - Table1[[#This Row],[Discount]])</f>
        <v>750.98829999999998</v>
      </c>
      <c r="C46" s="7">
        <f>Table1[[#This Row],[Net Sales]] * 0.2</f>
        <v>150.19766000000001</v>
      </c>
      <c r="D46" t="s">
        <v>20</v>
      </c>
      <c r="E46" t="s">
        <v>24</v>
      </c>
      <c r="F46">
        <v>2</v>
      </c>
      <c r="G46">
        <v>416.06</v>
      </c>
      <c r="H46" t="s">
        <v>34</v>
      </c>
      <c r="I46" t="s">
        <v>36</v>
      </c>
      <c r="J46" s="3">
        <v>0.05</v>
      </c>
      <c r="K46" t="s">
        <v>37</v>
      </c>
      <c r="L46">
        <v>790.51400000000001</v>
      </c>
      <c r="M46" t="s">
        <v>46</v>
      </c>
      <c r="N46" t="s">
        <v>49</v>
      </c>
      <c r="O46">
        <v>0</v>
      </c>
      <c r="P46" t="s">
        <v>95</v>
      </c>
      <c r="Q46" t="s">
        <v>1595</v>
      </c>
      <c r="R46">
        <v>11.62</v>
      </c>
      <c r="S46" s="5">
        <v>45107</v>
      </c>
      <c r="T46" s="5">
        <v>45111</v>
      </c>
      <c r="U46" t="s">
        <v>2923</v>
      </c>
    </row>
    <row r="47" spans="1:21" x14ac:dyDescent="0.25">
      <c r="A47" s="5">
        <v>45447</v>
      </c>
      <c r="B47" s="7">
        <f>Table1[[#This Row],[TotalPrice]] * (1 - Table1[[#This Row],[Discount]])</f>
        <v>4841.28</v>
      </c>
      <c r="C47" s="7">
        <f>Table1[[#This Row],[Net Sales]] * 0.2</f>
        <v>968.25599999999997</v>
      </c>
      <c r="D47" t="s">
        <v>20</v>
      </c>
      <c r="E47" t="s">
        <v>29</v>
      </c>
      <c r="F47">
        <v>16</v>
      </c>
      <c r="G47">
        <v>302.58</v>
      </c>
      <c r="H47" t="s">
        <v>34</v>
      </c>
      <c r="I47" t="s">
        <v>36</v>
      </c>
      <c r="J47" s="3">
        <v>0</v>
      </c>
      <c r="K47" t="s">
        <v>38</v>
      </c>
      <c r="L47">
        <v>4841.28</v>
      </c>
      <c r="M47" t="s">
        <v>43</v>
      </c>
      <c r="N47" t="s">
        <v>50</v>
      </c>
      <c r="O47">
        <v>1</v>
      </c>
      <c r="P47" t="s">
        <v>96</v>
      </c>
      <c r="Q47" t="s">
        <v>1596</v>
      </c>
      <c r="R47">
        <v>20.76</v>
      </c>
      <c r="S47" s="5">
        <v>45447</v>
      </c>
      <c r="T47" s="5">
        <v>45457</v>
      </c>
      <c r="U47" t="s">
        <v>2923</v>
      </c>
    </row>
    <row r="48" spans="1:21" x14ac:dyDescent="0.25">
      <c r="A48" s="5">
        <v>45691</v>
      </c>
      <c r="B48" s="7">
        <f>Table1[[#This Row],[TotalPrice]] * (1 - Table1[[#This Row],[Discount]])</f>
        <v>263.30067499999996</v>
      </c>
      <c r="C48" s="7">
        <f>Table1[[#This Row],[Net Sales]] * 0.2</f>
        <v>52.660134999999997</v>
      </c>
      <c r="D48" t="s">
        <v>23</v>
      </c>
      <c r="E48" t="s">
        <v>27</v>
      </c>
      <c r="F48">
        <v>11</v>
      </c>
      <c r="G48">
        <v>33.130000000000003</v>
      </c>
      <c r="H48" t="s">
        <v>32</v>
      </c>
      <c r="I48" t="s">
        <v>36</v>
      </c>
      <c r="J48" s="3">
        <v>0.15</v>
      </c>
      <c r="K48" t="s">
        <v>39</v>
      </c>
      <c r="L48">
        <v>309.76549999999997</v>
      </c>
      <c r="M48" t="s">
        <v>43</v>
      </c>
      <c r="N48" t="s">
        <v>48</v>
      </c>
      <c r="O48">
        <v>0</v>
      </c>
      <c r="P48" t="s">
        <v>97</v>
      </c>
      <c r="Q48" t="s">
        <v>1597</v>
      </c>
      <c r="R48">
        <v>24.95</v>
      </c>
      <c r="S48" s="5">
        <v>45691</v>
      </c>
      <c r="T48" s="5">
        <v>45693</v>
      </c>
      <c r="U48" t="s">
        <v>2926</v>
      </c>
    </row>
    <row r="49" spans="1:21" x14ac:dyDescent="0.25">
      <c r="A49" s="5">
        <v>45300</v>
      </c>
      <c r="B49" s="7">
        <f>Table1[[#This Row],[TotalPrice]] * (1 - Table1[[#This Row],[Discount]])</f>
        <v>3366.9656</v>
      </c>
      <c r="C49" s="7">
        <f>Table1[[#This Row],[Net Sales]] * 0.2</f>
        <v>673.39312000000007</v>
      </c>
      <c r="D49" t="s">
        <v>19</v>
      </c>
      <c r="E49" t="s">
        <v>29</v>
      </c>
      <c r="F49">
        <v>8</v>
      </c>
      <c r="G49">
        <v>582.52</v>
      </c>
      <c r="H49" t="s">
        <v>34</v>
      </c>
      <c r="I49" t="s">
        <v>36</v>
      </c>
      <c r="J49" s="3">
        <v>0.15</v>
      </c>
      <c r="K49" t="s">
        <v>39</v>
      </c>
      <c r="L49">
        <v>3961.136</v>
      </c>
      <c r="M49" t="s">
        <v>44</v>
      </c>
      <c r="N49" t="s">
        <v>50</v>
      </c>
      <c r="O49">
        <v>0</v>
      </c>
      <c r="P49" t="s">
        <v>98</v>
      </c>
      <c r="Q49" t="s">
        <v>1598</v>
      </c>
      <c r="R49">
        <v>6.47</v>
      </c>
      <c r="S49" s="5">
        <v>45300</v>
      </c>
      <c r="T49" s="5">
        <v>45304</v>
      </c>
      <c r="U49" t="s">
        <v>2922</v>
      </c>
    </row>
    <row r="50" spans="1:21" x14ac:dyDescent="0.25">
      <c r="A50" s="5">
        <v>45365</v>
      </c>
      <c r="B50" s="7">
        <f>Table1[[#This Row],[TotalPrice]] * (1 - Table1[[#This Row],[Discount]])</f>
        <v>668.85750000000007</v>
      </c>
      <c r="C50" s="7">
        <f>Table1[[#This Row],[Net Sales]] * 0.2</f>
        <v>133.77150000000003</v>
      </c>
      <c r="D50" t="s">
        <v>21</v>
      </c>
      <c r="E50" t="s">
        <v>26</v>
      </c>
      <c r="F50">
        <v>5</v>
      </c>
      <c r="G50">
        <v>165.15</v>
      </c>
      <c r="H50" t="s">
        <v>32</v>
      </c>
      <c r="I50" t="s">
        <v>36</v>
      </c>
      <c r="J50" s="3">
        <v>0.1</v>
      </c>
      <c r="K50" t="s">
        <v>37</v>
      </c>
      <c r="L50">
        <v>743.17500000000007</v>
      </c>
      <c r="M50" t="s">
        <v>44</v>
      </c>
      <c r="O50">
        <v>0</v>
      </c>
      <c r="P50" t="s">
        <v>99</v>
      </c>
      <c r="Q50" t="s">
        <v>1599</v>
      </c>
      <c r="R50">
        <v>20.57</v>
      </c>
      <c r="S50" s="5">
        <v>45365</v>
      </c>
      <c r="T50" s="5">
        <v>45367</v>
      </c>
      <c r="U50" t="s">
        <v>2924</v>
      </c>
    </row>
    <row r="51" spans="1:21" x14ac:dyDescent="0.25">
      <c r="A51" s="5">
        <v>45541</v>
      </c>
      <c r="B51" s="7">
        <f>Table1[[#This Row],[TotalPrice]] * (1 - Table1[[#This Row],[Discount]])</f>
        <v>2456.1242999999999</v>
      </c>
      <c r="C51" s="7">
        <f>Table1[[#This Row],[Net Sales]] * 0.2</f>
        <v>491.22486000000004</v>
      </c>
      <c r="D51" t="s">
        <v>23</v>
      </c>
      <c r="E51" t="s">
        <v>28</v>
      </c>
      <c r="F51">
        <v>14</v>
      </c>
      <c r="G51">
        <v>242.82</v>
      </c>
      <c r="H51" t="s">
        <v>34</v>
      </c>
      <c r="I51" t="s">
        <v>35</v>
      </c>
      <c r="J51" s="3">
        <v>0.15</v>
      </c>
      <c r="K51" t="s">
        <v>38</v>
      </c>
      <c r="L51">
        <v>2889.558</v>
      </c>
      <c r="M51" t="s">
        <v>47</v>
      </c>
      <c r="N51" t="s">
        <v>50</v>
      </c>
      <c r="O51">
        <v>1</v>
      </c>
      <c r="P51" t="s">
        <v>100</v>
      </c>
      <c r="Q51" t="s">
        <v>1600</v>
      </c>
      <c r="R51">
        <v>20.71</v>
      </c>
      <c r="S51" s="5">
        <v>45541</v>
      </c>
      <c r="T51" s="5">
        <v>45548</v>
      </c>
      <c r="U51" t="s">
        <v>2926</v>
      </c>
    </row>
    <row r="52" spans="1:21" x14ac:dyDescent="0.25">
      <c r="A52" s="5">
        <v>45002</v>
      </c>
      <c r="B52" s="7">
        <f>Table1[[#This Row],[TotalPrice]] * (1 - Table1[[#This Row],[Discount]])</f>
        <v>694.87469999999996</v>
      </c>
      <c r="C52" s="7">
        <f>Table1[[#This Row],[Net Sales]] * 0.2</f>
        <v>138.97494</v>
      </c>
      <c r="D52" t="s">
        <v>19</v>
      </c>
      <c r="E52" t="s">
        <v>28</v>
      </c>
      <c r="F52">
        <v>13</v>
      </c>
      <c r="G52">
        <v>65.989999999999995</v>
      </c>
      <c r="H52" t="s">
        <v>32</v>
      </c>
      <c r="I52" t="s">
        <v>35</v>
      </c>
      <c r="J52" s="3">
        <v>0.1</v>
      </c>
      <c r="K52" t="s">
        <v>39</v>
      </c>
      <c r="L52">
        <v>772.08299999999997</v>
      </c>
      <c r="M52" t="s">
        <v>47</v>
      </c>
      <c r="N52" t="s">
        <v>50</v>
      </c>
      <c r="O52">
        <v>0</v>
      </c>
      <c r="P52" t="s">
        <v>101</v>
      </c>
      <c r="Q52" t="s">
        <v>1601</v>
      </c>
      <c r="R52">
        <v>12.87</v>
      </c>
      <c r="S52" s="5">
        <v>45002</v>
      </c>
      <c r="T52" s="5">
        <v>45005</v>
      </c>
      <c r="U52" t="s">
        <v>2922</v>
      </c>
    </row>
    <row r="53" spans="1:21" x14ac:dyDescent="0.25">
      <c r="A53" s="5">
        <v>45674</v>
      </c>
      <c r="B53" s="7">
        <f>Table1[[#This Row],[TotalPrice]] * (1 - Table1[[#This Row],[Discount]])</f>
        <v>503.38</v>
      </c>
      <c r="C53" s="7">
        <f>Table1[[#This Row],[Net Sales]] * 0.2</f>
        <v>100.676</v>
      </c>
      <c r="D53" t="s">
        <v>23</v>
      </c>
      <c r="E53" t="s">
        <v>27</v>
      </c>
      <c r="F53">
        <v>2</v>
      </c>
      <c r="G53">
        <v>251.69</v>
      </c>
      <c r="H53" t="s">
        <v>33</v>
      </c>
      <c r="I53" t="s">
        <v>35</v>
      </c>
      <c r="J53" s="3">
        <v>0</v>
      </c>
      <c r="K53" t="s">
        <v>38</v>
      </c>
      <c r="L53">
        <v>503.38</v>
      </c>
      <c r="M53" t="s">
        <v>46</v>
      </c>
      <c r="N53" t="s">
        <v>48</v>
      </c>
      <c r="O53">
        <v>0</v>
      </c>
      <c r="P53" t="s">
        <v>102</v>
      </c>
      <c r="Q53" t="s">
        <v>1602</v>
      </c>
      <c r="R53">
        <v>42.49</v>
      </c>
      <c r="S53" s="5">
        <v>45674</v>
      </c>
      <c r="T53" s="5">
        <v>45681</v>
      </c>
      <c r="U53" t="s">
        <v>2926</v>
      </c>
    </row>
    <row r="54" spans="1:21" x14ac:dyDescent="0.25">
      <c r="A54" s="5">
        <v>45547</v>
      </c>
      <c r="B54" s="7">
        <f>Table1[[#This Row],[TotalPrice]] * (1 - Table1[[#This Row],[Discount]])</f>
        <v>218.22210000000001</v>
      </c>
      <c r="C54" s="7">
        <f>Table1[[#This Row],[Net Sales]] * 0.2</f>
        <v>43.644420000000004</v>
      </c>
      <c r="D54" t="s">
        <v>20</v>
      </c>
      <c r="E54" t="s">
        <v>24</v>
      </c>
      <c r="F54">
        <v>1</v>
      </c>
      <c r="G54">
        <v>269.41000000000003</v>
      </c>
      <c r="H54" t="s">
        <v>31</v>
      </c>
      <c r="I54" t="s">
        <v>35</v>
      </c>
      <c r="J54" s="3">
        <v>0.1</v>
      </c>
      <c r="K54" t="s">
        <v>37</v>
      </c>
      <c r="L54">
        <v>242.46899999999999</v>
      </c>
      <c r="M54" t="s">
        <v>47</v>
      </c>
      <c r="N54" t="s">
        <v>50</v>
      </c>
      <c r="O54">
        <v>1</v>
      </c>
      <c r="P54" t="s">
        <v>103</v>
      </c>
      <c r="Q54" t="s">
        <v>1603</v>
      </c>
      <c r="R54">
        <v>19.22</v>
      </c>
      <c r="S54" s="5">
        <v>45547</v>
      </c>
      <c r="T54" s="5">
        <v>45553</v>
      </c>
      <c r="U54" t="s">
        <v>2923</v>
      </c>
    </row>
    <row r="55" spans="1:21" x14ac:dyDescent="0.25">
      <c r="A55" s="5">
        <v>45296</v>
      </c>
      <c r="B55" s="7">
        <f>Table1[[#This Row],[TotalPrice]] * (1 - Table1[[#This Row],[Discount]])</f>
        <v>670.19650000000001</v>
      </c>
      <c r="C55" s="7">
        <f>Table1[[#This Row],[Net Sales]] * 0.2</f>
        <v>134.0393</v>
      </c>
      <c r="D55" t="s">
        <v>20</v>
      </c>
      <c r="E55" t="s">
        <v>28</v>
      </c>
      <c r="F55">
        <v>2</v>
      </c>
      <c r="G55">
        <v>371.3</v>
      </c>
      <c r="H55" t="s">
        <v>31</v>
      </c>
      <c r="I55" t="s">
        <v>35</v>
      </c>
      <c r="J55" s="3">
        <v>0.05</v>
      </c>
      <c r="K55" t="s">
        <v>42</v>
      </c>
      <c r="L55">
        <v>705.47</v>
      </c>
      <c r="M55" t="s">
        <v>45</v>
      </c>
      <c r="N55" t="s">
        <v>49</v>
      </c>
      <c r="O55">
        <v>0</v>
      </c>
      <c r="P55" t="s">
        <v>104</v>
      </c>
      <c r="Q55" t="s">
        <v>1604</v>
      </c>
      <c r="R55">
        <v>36.51</v>
      </c>
      <c r="S55" s="5">
        <v>45296</v>
      </c>
      <c r="T55" s="5">
        <v>45306</v>
      </c>
      <c r="U55" t="s">
        <v>2923</v>
      </c>
    </row>
    <row r="56" spans="1:21" x14ac:dyDescent="0.25">
      <c r="A56" s="5">
        <v>45401</v>
      </c>
      <c r="B56" s="7">
        <f>Table1[[#This Row],[TotalPrice]] * (1 - Table1[[#This Row],[Discount]])</f>
        <v>2290.7873999999997</v>
      </c>
      <c r="C56" s="7">
        <f>Table1[[#This Row],[Net Sales]] * 0.2</f>
        <v>458.15747999999996</v>
      </c>
      <c r="D56" t="s">
        <v>23</v>
      </c>
      <c r="E56" t="s">
        <v>29</v>
      </c>
      <c r="F56">
        <v>11</v>
      </c>
      <c r="G56">
        <v>288.24</v>
      </c>
      <c r="H56" t="s">
        <v>32</v>
      </c>
      <c r="I56" t="s">
        <v>35</v>
      </c>
      <c r="J56" s="3">
        <v>0.15</v>
      </c>
      <c r="K56" t="s">
        <v>41</v>
      </c>
      <c r="L56">
        <v>2695.0439999999999</v>
      </c>
      <c r="M56" t="s">
        <v>43</v>
      </c>
      <c r="O56">
        <v>0</v>
      </c>
      <c r="P56" t="s">
        <v>105</v>
      </c>
      <c r="Q56" t="s">
        <v>1605</v>
      </c>
      <c r="R56">
        <v>37.39</v>
      </c>
      <c r="S56" s="5">
        <v>45401</v>
      </c>
      <c r="T56" s="5">
        <v>45407</v>
      </c>
      <c r="U56" t="s">
        <v>2926</v>
      </c>
    </row>
    <row r="57" spans="1:21" x14ac:dyDescent="0.25">
      <c r="A57" s="5">
        <v>45819</v>
      </c>
      <c r="B57" s="7">
        <f>Table1[[#This Row],[TotalPrice]] * (1 - Table1[[#This Row],[Discount]])</f>
        <v>2310.6256250000001</v>
      </c>
      <c r="C57" s="7">
        <f>Table1[[#This Row],[Net Sales]] * 0.2</f>
        <v>462.12512500000003</v>
      </c>
      <c r="D57" t="s">
        <v>22</v>
      </c>
      <c r="E57" t="s">
        <v>29</v>
      </c>
      <c r="F57">
        <v>11</v>
      </c>
      <c r="G57">
        <v>232.75</v>
      </c>
      <c r="H57" t="s">
        <v>34</v>
      </c>
      <c r="I57" t="s">
        <v>35</v>
      </c>
      <c r="J57" s="3">
        <v>0.05</v>
      </c>
      <c r="K57" t="s">
        <v>37</v>
      </c>
      <c r="L57">
        <v>2432.2375000000002</v>
      </c>
      <c r="M57" t="s">
        <v>45</v>
      </c>
      <c r="N57" t="s">
        <v>49</v>
      </c>
      <c r="O57">
        <v>0</v>
      </c>
      <c r="P57" t="s">
        <v>106</v>
      </c>
      <c r="Q57" t="s">
        <v>1606</v>
      </c>
      <c r="R57">
        <v>36.33</v>
      </c>
      <c r="S57" s="5">
        <v>45819</v>
      </c>
      <c r="T57" s="5">
        <v>45829</v>
      </c>
      <c r="U57" t="s">
        <v>2925</v>
      </c>
    </row>
    <row r="58" spans="1:21" x14ac:dyDescent="0.25">
      <c r="A58" s="5">
        <v>45722</v>
      </c>
      <c r="B58" s="7">
        <f>Table1[[#This Row],[TotalPrice]] * (1 - Table1[[#This Row],[Discount]])</f>
        <v>1796.6840999999999</v>
      </c>
      <c r="C58" s="7">
        <f>Table1[[#This Row],[Net Sales]] * 0.2</f>
        <v>359.33681999999999</v>
      </c>
      <c r="D58" t="s">
        <v>19</v>
      </c>
      <c r="E58" t="s">
        <v>25</v>
      </c>
      <c r="F58">
        <v>17</v>
      </c>
      <c r="G58">
        <v>146.28</v>
      </c>
      <c r="H58" t="s">
        <v>31</v>
      </c>
      <c r="I58" t="s">
        <v>36</v>
      </c>
      <c r="J58" s="3">
        <v>0.15</v>
      </c>
      <c r="K58" t="s">
        <v>40</v>
      </c>
      <c r="L58">
        <v>2113.7460000000001</v>
      </c>
      <c r="M58" t="s">
        <v>47</v>
      </c>
      <c r="N58" t="s">
        <v>49</v>
      </c>
      <c r="O58">
        <v>0</v>
      </c>
      <c r="P58" t="s">
        <v>107</v>
      </c>
      <c r="Q58" t="s">
        <v>1607</v>
      </c>
      <c r="R58">
        <v>7.84</v>
      </c>
      <c r="S58" s="5">
        <v>45722</v>
      </c>
      <c r="T58" s="5">
        <v>45731</v>
      </c>
      <c r="U58" t="s">
        <v>2922</v>
      </c>
    </row>
    <row r="59" spans="1:21" x14ac:dyDescent="0.25">
      <c r="A59" s="5">
        <v>45070</v>
      </c>
      <c r="B59" s="7">
        <f>Table1[[#This Row],[TotalPrice]] * (1 - Table1[[#This Row],[Discount]])</f>
        <v>406.53899999999999</v>
      </c>
      <c r="C59" s="7">
        <f>Table1[[#This Row],[Net Sales]] * 0.2</f>
        <v>81.3078</v>
      </c>
      <c r="D59" t="s">
        <v>19</v>
      </c>
      <c r="E59" t="s">
        <v>27</v>
      </c>
      <c r="F59">
        <v>5</v>
      </c>
      <c r="G59">
        <v>100.38</v>
      </c>
      <c r="H59" t="s">
        <v>33</v>
      </c>
      <c r="I59" t="s">
        <v>36</v>
      </c>
      <c r="J59" s="3">
        <v>0.1</v>
      </c>
      <c r="K59" t="s">
        <v>37</v>
      </c>
      <c r="L59">
        <v>451.71</v>
      </c>
      <c r="M59" t="s">
        <v>44</v>
      </c>
      <c r="N59" t="s">
        <v>50</v>
      </c>
      <c r="O59">
        <v>1</v>
      </c>
      <c r="P59" t="s">
        <v>108</v>
      </c>
      <c r="Q59" t="s">
        <v>1608</v>
      </c>
      <c r="R59">
        <v>18.350000000000001</v>
      </c>
      <c r="S59" s="5">
        <v>45070</v>
      </c>
      <c r="T59" s="5">
        <v>45072</v>
      </c>
      <c r="U59" t="s">
        <v>2922</v>
      </c>
    </row>
    <row r="60" spans="1:21" x14ac:dyDescent="0.25">
      <c r="A60" s="5">
        <v>44953</v>
      </c>
      <c r="B60" s="7">
        <f>Table1[[#This Row],[TotalPrice]] * (1 - Table1[[#This Row],[Discount]])</f>
        <v>3727.5777000000007</v>
      </c>
      <c r="C60" s="7">
        <f>Table1[[#This Row],[Net Sales]] * 0.2</f>
        <v>745.51554000000021</v>
      </c>
      <c r="D60" t="s">
        <v>20</v>
      </c>
      <c r="E60" t="s">
        <v>25</v>
      </c>
      <c r="F60">
        <v>11</v>
      </c>
      <c r="G60">
        <v>375.48</v>
      </c>
      <c r="H60" t="s">
        <v>31</v>
      </c>
      <c r="I60" t="s">
        <v>36</v>
      </c>
      <c r="J60" s="3">
        <v>0.05</v>
      </c>
      <c r="K60" t="s">
        <v>42</v>
      </c>
      <c r="L60">
        <v>3923.766000000001</v>
      </c>
      <c r="M60" t="s">
        <v>46</v>
      </c>
      <c r="N60" t="s">
        <v>50</v>
      </c>
      <c r="O60">
        <v>0</v>
      </c>
      <c r="P60" t="s">
        <v>109</v>
      </c>
      <c r="Q60" t="s">
        <v>1609</v>
      </c>
      <c r="R60">
        <v>15.95</v>
      </c>
      <c r="S60" s="5">
        <v>44953</v>
      </c>
      <c r="T60" s="5">
        <v>44960</v>
      </c>
      <c r="U60" t="s">
        <v>2923</v>
      </c>
    </row>
    <row r="61" spans="1:21" x14ac:dyDescent="0.25">
      <c r="A61" s="5">
        <v>45372</v>
      </c>
      <c r="B61" s="7">
        <f>Table1[[#This Row],[TotalPrice]] * (1 - Table1[[#This Row],[Discount]])</f>
        <v>5147.8780500000003</v>
      </c>
      <c r="C61" s="7">
        <f>Table1[[#This Row],[Net Sales]] * 0.2</f>
        <v>1029.5756100000001</v>
      </c>
      <c r="D61" t="s">
        <v>20</v>
      </c>
      <c r="E61" t="s">
        <v>24</v>
      </c>
      <c r="F61">
        <v>18</v>
      </c>
      <c r="G61">
        <v>316.89</v>
      </c>
      <c r="H61" t="s">
        <v>31</v>
      </c>
      <c r="I61" t="s">
        <v>35</v>
      </c>
      <c r="J61" s="3">
        <v>0.05</v>
      </c>
      <c r="K61" t="s">
        <v>42</v>
      </c>
      <c r="L61">
        <v>5418.8190000000004</v>
      </c>
      <c r="M61" t="s">
        <v>47</v>
      </c>
      <c r="N61" t="s">
        <v>48</v>
      </c>
      <c r="O61">
        <v>0</v>
      </c>
      <c r="P61" t="s">
        <v>110</v>
      </c>
      <c r="Q61" t="s">
        <v>1610</v>
      </c>
      <c r="R61">
        <v>15.69</v>
      </c>
      <c r="S61" s="5">
        <v>45372</v>
      </c>
      <c r="T61" s="5">
        <v>45378</v>
      </c>
      <c r="U61" t="s">
        <v>2923</v>
      </c>
    </row>
    <row r="62" spans="1:21" x14ac:dyDescent="0.25">
      <c r="A62" s="5">
        <v>45682</v>
      </c>
      <c r="B62" s="7">
        <f>Table1[[#This Row],[TotalPrice]] * (1 - Table1[[#This Row],[Discount]])</f>
        <v>4263.6170000000002</v>
      </c>
      <c r="C62" s="7">
        <f>Table1[[#This Row],[Net Sales]] * 0.2</f>
        <v>852.72340000000008</v>
      </c>
      <c r="D62" t="s">
        <v>23</v>
      </c>
      <c r="E62" t="s">
        <v>24</v>
      </c>
      <c r="F62">
        <v>20</v>
      </c>
      <c r="G62">
        <v>295.06</v>
      </c>
      <c r="H62" t="s">
        <v>34</v>
      </c>
      <c r="I62" t="s">
        <v>36</v>
      </c>
      <c r="J62" s="3">
        <v>0.15</v>
      </c>
      <c r="K62" t="s">
        <v>39</v>
      </c>
      <c r="L62">
        <v>5016.0200000000004</v>
      </c>
      <c r="M62" t="s">
        <v>43</v>
      </c>
      <c r="N62" t="s">
        <v>49</v>
      </c>
      <c r="O62">
        <v>1</v>
      </c>
      <c r="P62" t="s">
        <v>111</v>
      </c>
      <c r="Q62" t="s">
        <v>1611</v>
      </c>
      <c r="R62">
        <v>13.66</v>
      </c>
      <c r="S62" s="5">
        <v>45682</v>
      </c>
      <c r="T62" s="5">
        <v>45688</v>
      </c>
      <c r="U62" t="s">
        <v>2926</v>
      </c>
    </row>
    <row r="63" spans="1:21" x14ac:dyDescent="0.25">
      <c r="A63" s="5">
        <v>45089</v>
      </c>
      <c r="B63" s="7">
        <f>Table1[[#This Row],[TotalPrice]] * (1 - Table1[[#This Row],[Discount]])</f>
        <v>2413.44</v>
      </c>
      <c r="C63" s="7">
        <f>Table1[[#This Row],[Net Sales]] * 0.2</f>
        <v>482.68800000000005</v>
      </c>
      <c r="D63" t="s">
        <v>22</v>
      </c>
      <c r="E63" t="s">
        <v>25</v>
      </c>
      <c r="F63">
        <v>8</v>
      </c>
      <c r="G63">
        <v>301.68</v>
      </c>
      <c r="H63" t="s">
        <v>34</v>
      </c>
      <c r="I63" t="s">
        <v>36</v>
      </c>
      <c r="J63" s="3">
        <v>0</v>
      </c>
      <c r="K63" t="s">
        <v>37</v>
      </c>
      <c r="L63">
        <v>2413.44</v>
      </c>
      <c r="M63" t="s">
        <v>47</v>
      </c>
      <c r="N63" t="s">
        <v>49</v>
      </c>
      <c r="O63">
        <v>0</v>
      </c>
      <c r="P63" t="s">
        <v>112</v>
      </c>
      <c r="Q63" t="s">
        <v>1612</v>
      </c>
      <c r="R63">
        <v>36.54</v>
      </c>
      <c r="S63" s="5">
        <v>45089</v>
      </c>
      <c r="T63" s="5">
        <v>45098</v>
      </c>
      <c r="U63" t="s">
        <v>2925</v>
      </c>
    </row>
    <row r="64" spans="1:21" x14ac:dyDescent="0.25">
      <c r="A64" s="5">
        <v>45738</v>
      </c>
      <c r="B64" s="7">
        <f>Table1[[#This Row],[TotalPrice]] * (1 - Table1[[#This Row],[Discount]])</f>
        <v>1155.1977000000002</v>
      </c>
      <c r="C64" s="7">
        <f>Table1[[#This Row],[Net Sales]] * 0.2</f>
        <v>231.03954000000004</v>
      </c>
      <c r="D64" t="s">
        <v>22</v>
      </c>
      <c r="E64" t="s">
        <v>27</v>
      </c>
      <c r="F64">
        <v>3</v>
      </c>
      <c r="G64">
        <v>475.39</v>
      </c>
      <c r="H64" t="s">
        <v>31</v>
      </c>
      <c r="I64" t="s">
        <v>36</v>
      </c>
      <c r="J64" s="3">
        <v>0.1</v>
      </c>
      <c r="K64" t="s">
        <v>38</v>
      </c>
      <c r="L64">
        <v>1283.5530000000001</v>
      </c>
      <c r="M64" t="s">
        <v>44</v>
      </c>
      <c r="O64">
        <v>0</v>
      </c>
      <c r="P64" t="s">
        <v>113</v>
      </c>
      <c r="Q64" t="s">
        <v>1613</v>
      </c>
      <c r="R64">
        <v>15.62</v>
      </c>
      <c r="S64" s="5">
        <v>45738</v>
      </c>
      <c r="T64" s="5">
        <v>45742</v>
      </c>
      <c r="U64" t="s">
        <v>2925</v>
      </c>
    </row>
    <row r="65" spans="1:21" x14ac:dyDescent="0.25">
      <c r="A65" s="5">
        <v>45346</v>
      </c>
      <c r="B65" s="7">
        <f>Table1[[#This Row],[TotalPrice]] * (1 - Table1[[#This Row],[Discount]])</f>
        <v>546.21</v>
      </c>
      <c r="C65" s="7">
        <f>Table1[[#This Row],[Net Sales]] * 0.2</f>
        <v>109.24200000000002</v>
      </c>
      <c r="D65" t="s">
        <v>22</v>
      </c>
      <c r="E65" t="s">
        <v>26</v>
      </c>
      <c r="F65">
        <v>16</v>
      </c>
      <c r="G65">
        <v>47.25</v>
      </c>
      <c r="H65" t="s">
        <v>34</v>
      </c>
      <c r="I65" t="s">
        <v>36</v>
      </c>
      <c r="J65" s="3">
        <v>0.15</v>
      </c>
      <c r="K65" t="s">
        <v>42</v>
      </c>
      <c r="L65">
        <v>642.6</v>
      </c>
      <c r="M65" t="s">
        <v>46</v>
      </c>
      <c r="N65" t="s">
        <v>48</v>
      </c>
      <c r="O65">
        <v>0</v>
      </c>
      <c r="P65" t="s">
        <v>114</v>
      </c>
      <c r="Q65" t="s">
        <v>1614</v>
      </c>
      <c r="R65">
        <v>29.5</v>
      </c>
      <c r="S65" s="5">
        <v>45346</v>
      </c>
      <c r="T65" s="5">
        <v>45349</v>
      </c>
      <c r="U65" t="s">
        <v>2925</v>
      </c>
    </row>
    <row r="66" spans="1:21" x14ac:dyDescent="0.25">
      <c r="A66" s="5">
        <v>45269</v>
      </c>
      <c r="B66" s="7">
        <f>Table1[[#This Row],[TotalPrice]] * (1 - Table1[[#This Row],[Discount]])</f>
        <v>7667.55</v>
      </c>
      <c r="C66" s="7">
        <f>Table1[[#This Row],[Net Sales]] * 0.2</f>
        <v>1533.5100000000002</v>
      </c>
      <c r="D66" t="s">
        <v>20</v>
      </c>
      <c r="E66" t="s">
        <v>27</v>
      </c>
      <c r="F66">
        <v>15</v>
      </c>
      <c r="G66">
        <v>511.17</v>
      </c>
      <c r="H66" t="s">
        <v>31</v>
      </c>
      <c r="I66" t="s">
        <v>35</v>
      </c>
      <c r="J66" s="3">
        <v>0</v>
      </c>
      <c r="K66" t="s">
        <v>39</v>
      </c>
      <c r="L66">
        <v>7667.55</v>
      </c>
      <c r="M66" t="s">
        <v>43</v>
      </c>
      <c r="N66" t="s">
        <v>48</v>
      </c>
      <c r="O66">
        <v>0</v>
      </c>
      <c r="P66" t="s">
        <v>115</v>
      </c>
      <c r="Q66" t="s">
        <v>1615</v>
      </c>
      <c r="R66">
        <v>21.77</v>
      </c>
      <c r="S66" s="5">
        <v>45269</v>
      </c>
      <c r="T66" s="5">
        <v>45272</v>
      </c>
      <c r="U66" t="s">
        <v>2923</v>
      </c>
    </row>
    <row r="67" spans="1:21" x14ac:dyDescent="0.25">
      <c r="A67" s="5">
        <v>45200</v>
      </c>
      <c r="B67" s="7">
        <f>Table1[[#This Row],[TotalPrice]] * (1 - Table1[[#This Row],[Discount]])</f>
        <v>161.7894</v>
      </c>
      <c r="C67" s="7">
        <f>Table1[[#This Row],[Net Sales]] * 0.2</f>
        <v>32.357880000000002</v>
      </c>
      <c r="D67" t="s">
        <v>22</v>
      </c>
      <c r="E67" t="s">
        <v>28</v>
      </c>
      <c r="F67">
        <v>3</v>
      </c>
      <c r="G67">
        <v>66.58</v>
      </c>
      <c r="H67" t="s">
        <v>31</v>
      </c>
      <c r="I67" t="s">
        <v>36</v>
      </c>
      <c r="J67" s="3">
        <v>0.1</v>
      </c>
      <c r="K67" t="s">
        <v>39</v>
      </c>
      <c r="L67">
        <v>179.76599999999999</v>
      </c>
      <c r="M67" t="s">
        <v>46</v>
      </c>
      <c r="N67" t="s">
        <v>48</v>
      </c>
      <c r="O67">
        <v>0</v>
      </c>
      <c r="P67" t="s">
        <v>116</v>
      </c>
      <c r="Q67" t="s">
        <v>1616</v>
      </c>
      <c r="R67">
        <v>22.43</v>
      </c>
      <c r="S67" s="5">
        <v>45200</v>
      </c>
      <c r="T67" s="5">
        <v>45204</v>
      </c>
      <c r="U67" t="s">
        <v>2925</v>
      </c>
    </row>
    <row r="68" spans="1:21" x14ac:dyDescent="0.25">
      <c r="A68" s="5">
        <v>45138</v>
      </c>
      <c r="B68" s="7">
        <f>Table1[[#This Row],[TotalPrice]] * (1 - Table1[[#This Row],[Discount]])</f>
        <v>2213.4714999999997</v>
      </c>
      <c r="C68" s="7">
        <f>Table1[[#This Row],[Net Sales]] * 0.2</f>
        <v>442.69429999999994</v>
      </c>
      <c r="D68" t="s">
        <v>23</v>
      </c>
      <c r="E68" t="s">
        <v>29</v>
      </c>
      <c r="F68">
        <v>5</v>
      </c>
      <c r="G68">
        <v>490.52</v>
      </c>
      <c r="H68" t="s">
        <v>34</v>
      </c>
      <c r="I68" t="s">
        <v>35</v>
      </c>
      <c r="J68" s="3">
        <v>0.05</v>
      </c>
      <c r="K68" t="s">
        <v>39</v>
      </c>
      <c r="L68">
        <v>2329.9699999999998</v>
      </c>
      <c r="M68" t="s">
        <v>43</v>
      </c>
      <c r="O68">
        <v>0</v>
      </c>
      <c r="P68" t="s">
        <v>117</v>
      </c>
      <c r="Q68" t="s">
        <v>1617</v>
      </c>
      <c r="R68">
        <v>12.24</v>
      </c>
      <c r="S68" s="5">
        <v>45138</v>
      </c>
      <c r="T68" s="5">
        <v>45145</v>
      </c>
      <c r="U68" t="s">
        <v>2926</v>
      </c>
    </row>
    <row r="69" spans="1:21" x14ac:dyDescent="0.25">
      <c r="A69" s="5">
        <v>45650</v>
      </c>
      <c r="B69" s="7">
        <f>Table1[[#This Row],[TotalPrice]] * (1 - Table1[[#This Row],[Discount]])</f>
        <v>2931.0311999999999</v>
      </c>
      <c r="C69" s="7">
        <f>Table1[[#This Row],[Net Sales]] * 0.2</f>
        <v>586.20623999999998</v>
      </c>
      <c r="D69" t="s">
        <v>20</v>
      </c>
      <c r="E69" t="s">
        <v>27</v>
      </c>
      <c r="F69">
        <v>8</v>
      </c>
      <c r="G69">
        <v>405.96</v>
      </c>
      <c r="H69" t="s">
        <v>32</v>
      </c>
      <c r="I69" t="s">
        <v>35</v>
      </c>
      <c r="J69" s="3">
        <v>0.05</v>
      </c>
      <c r="K69" t="s">
        <v>40</v>
      </c>
      <c r="L69">
        <v>3085.2959999999998</v>
      </c>
      <c r="M69" t="s">
        <v>45</v>
      </c>
      <c r="N69" t="s">
        <v>50</v>
      </c>
      <c r="O69">
        <v>0</v>
      </c>
      <c r="P69" t="s">
        <v>118</v>
      </c>
      <c r="Q69" t="s">
        <v>1618</v>
      </c>
      <c r="R69">
        <v>41.27</v>
      </c>
      <c r="S69" s="5">
        <v>45650</v>
      </c>
      <c r="T69" s="5">
        <v>45657</v>
      </c>
      <c r="U69" t="s">
        <v>2923</v>
      </c>
    </row>
    <row r="70" spans="1:21" x14ac:dyDescent="0.25">
      <c r="A70" s="5">
        <v>45611</v>
      </c>
      <c r="B70" s="7">
        <f>Table1[[#This Row],[TotalPrice]] * (1 - Table1[[#This Row],[Discount]])</f>
        <v>129.12209999999999</v>
      </c>
      <c r="C70" s="7">
        <f>Table1[[#This Row],[Net Sales]] * 0.2</f>
        <v>25.82442</v>
      </c>
      <c r="D70" t="s">
        <v>21</v>
      </c>
      <c r="E70" t="s">
        <v>25</v>
      </c>
      <c r="F70">
        <v>1</v>
      </c>
      <c r="G70">
        <v>159.41</v>
      </c>
      <c r="H70" t="s">
        <v>31</v>
      </c>
      <c r="I70" t="s">
        <v>36</v>
      </c>
      <c r="J70" s="3">
        <v>0.1</v>
      </c>
      <c r="K70" t="s">
        <v>42</v>
      </c>
      <c r="L70">
        <v>143.46899999999999</v>
      </c>
      <c r="M70" t="s">
        <v>45</v>
      </c>
      <c r="N70" t="s">
        <v>48</v>
      </c>
      <c r="O70">
        <v>0</v>
      </c>
      <c r="P70" t="s">
        <v>119</v>
      </c>
      <c r="Q70" t="s">
        <v>1619</v>
      </c>
      <c r="R70">
        <v>35.14</v>
      </c>
      <c r="S70" s="5">
        <v>45611</v>
      </c>
      <c r="T70" s="5">
        <v>45615</v>
      </c>
      <c r="U70" t="s">
        <v>2924</v>
      </c>
    </row>
    <row r="71" spans="1:21" x14ac:dyDescent="0.25">
      <c r="A71" s="5">
        <v>45729</v>
      </c>
      <c r="B71" s="7">
        <f>Table1[[#This Row],[TotalPrice]] * (1 - Table1[[#This Row],[Discount]])</f>
        <v>444.94440000000003</v>
      </c>
      <c r="C71" s="7">
        <f>Table1[[#This Row],[Net Sales]] * 0.2</f>
        <v>88.988880000000009</v>
      </c>
      <c r="D71" t="s">
        <v>23</v>
      </c>
      <c r="E71" t="s">
        <v>28</v>
      </c>
      <c r="F71">
        <v>16</v>
      </c>
      <c r="G71">
        <v>38.49</v>
      </c>
      <c r="H71" t="s">
        <v>33</v>
      </c>
      <c r="I71" t="s">
        <v>36</v>
      </c>
      <c r="J71" s="3">
        <v>0.15</v>
      </c>
      <c r="K71" t="s">
        <v>40</v>
      </c>
      <c r="L71">
        <v>523.46400000000006</v>
      </c>
      <c r="M71" t="s">
        <v>46</v>
      </c>
      <c r="N71" t="s">
        <v>49</v>
      </c>
      <c r="O71">
        <v>0</v>
      </c>
      <c r="P71" t="s">
        <v>120</v>
      </c>
      <c r="Q71" t="s">
        <v>1620</v>
      </c>
      <c r="R71">
        <v>8.3800000000000008</v>
      </c>
      <c r="S71" s="5">
        <v>45729</v>
      </c>
      <c r="T71" s="5">
        <v>45738</v>
      </c>
      <c r="U71" t="s">
        <v>2926</v>
      </c>
    </row>
    <row r="72" spans="1:21" x14ac:dyDescent="0.25">
      <c r="A72" s="5">
        <v>45354</v>
      </c>
      <c r="B72" s="7">
        <f>Table1[[#This Row],[TotalPrice]] * (1 - Table1[[#This Row],[Discount]])</f>
        <v>3558.6015000000002</v>
      </c>
      <c r="C72" s="7">
        <f>Table1[[#This Row],[Net Sales]] * 0.2</f>
        <v>711.72030000000007</v>
      </c>
      <c r="D72" t="s">
        <v>19</v>
      </c>
      <c r="E72" t="s">
        <v>29</v>
      </c>
      <c r="F72">
        <v>15</v>
      </c>
      <c r="G72">
        <v>328.36</v>
      </c>
      <c r="H72" t="s">
        <v>34</v>
      </c>
      <c r="I72" t="s">
        <v>36</v>
      </c>
      <c r="J72" s="3">
        <v>0.15</v>
      </c>
      <c r="K72" t="s">
        <v>38</v>
      </c>
      <c r="L72">
        <v>4186.59</v>
      </c>
      <c r="M72" t="s">
        <v>44</v>
      </c>
      <c r="N72" t="s">
        <v>50</v>
      </c>
      <c r="O72">
        <v>0</v>
      </c>
      <c r="P72" t="s">
        <v>121</v>
      </c>
      <c r="Q72" t="s">
        <v>1621</v>
      </c>
      <c r="R72">
        <v>15.76</v>
      </c>
      <c r="S72" s="5">
        <v>45354</v>
      </c>
      <c r="T72" s="5">
        <v>45363</v>
      </c>
      <c r="U72" t="s">
        <v>2922</v>
      </c>
    </row>
    <row r="73" spans="1:21" x14ac:dyDescent="0.25">
      <c r="A73" s="5">
        <v>44968</v>
      </c>
      <c r="B73" s="7">
        <f>Table1[[#This Row],[TotalPrice]] * (1 - Table1[[#This Row],[Discount]])</f>
        <v>8877.7620000000006</v>
      </c>
      <c r="C73" s="7">
        <f>Table1[[#This Row],[Net Sales]] * 0.2</f>
        <v>1775.5524000000003</v>
      </c>
      <c r="D73" t="s">
        <v>22</v>
      </c>
      <c r="E73" t="s">
        <v>29</v>
      </c>
      <c r="F73">
        <v>20</v>
      </c>
      <c r="G73">
        <v>548.01</v>
      </c>
      <c r="H73" t="s">
        <v>32</v>
      </c>
      <c r="I73" t="s">
        <v>35</v>
      </c>
      <c r="J73" s="3">
        <v>0.1</v>
      </c>
      <c r="K73" t="s">
        <v>37</v>
      </c>
      <c r="L73">
        <v>9864.18</v>
      </c>
      <c r="M73" t="s">
        <v>45</v>
      </c>
      <c r="N73" t="s">
        <v>50</v>
      </c>
      <c r="O73">
        <v>1</v>
      </c>
      <c r="P73" t="s">
        <v>122</v>
      </c>
      <c r="Q73" t="s">
        <v>1622</v>
      </c>
      <c r="R73">
        <v>5.89</v>
      </c>
      <c r="S73" s="5">
        <v>44968</v>
      </c>
      <c r="T73" s="5">
        <v>44971</v>
      </c>
      <c r="U73" t="s">
        <v>2925</v>
      </c>
    </row>
    <row r="74" spans="1:21" x14ac:dyDescent="0.25">
      <c r="A74" s="5">
        <v>45225</v>
      </c>
      <c r="B74" s="7">
        <f>Table1[[#This Row],[TotalPrice]] * (1 - Table1[[#This Row],[Discount]])</f>
        <v>5683.8096249999999</v>
      </c>
      <c r="C74" s="7">
        <f>Table1[[#This Row],[Net Sales]] * 0.2</f>
        <v>1136.761925</v>
      </c>
      <c r="D74" t="s">
        <v>20</v>
      </c>
      <c r="E74" t="s">
        <v>26</v>
      </c>
      <c r="F74">
        <v>13</v>
      </c>
      <c r="G74">
        <v>484.45</v>
      </c>
      <c r="H74" t="s">
        <v>31</v>
      </c>
      <c r="I74" t="s">
        <v>35</v>
      </c>
      <c r="J74" s="3">
        <v>0.05</v>
      </c>
      <c r="K74" t="s">
        <v>40</v>
      </c>
      <c r="L74">
        <v>5982.9575000000004</v>
      </c>
      <c r="M74" t="s">
        <v>44</v>
      </c>
      <c r="N74" t="s">
        <v>50</v>
      </c>
      <c r="O74">
        <v>1</v>
      </c>
      <c r="P74" t="s">
        <v>123</v>
      </c>
      <c r="Q74" t="s">
        <v>1623</v>
      </c>
      <c r="R74">
        <v>6.57</v>
      </c>
      <c r="S74" s="5">
        <v>45225</v>
      </c>
      <c r="T74" s="5">
        <v>45235</v>
      </c>
      <c r="U74" t="s">
        <v>2923</v>
      </c>
    </row>
    <row r="75" spans="1:21" x14ac:dyDescent="0.25">
      <c r="A75" s="5">
        <v>45220</v>
      </c>
      <c r="B75" s="7">
        <f>Table1[[#This Row],[TotalPrice]] * (1 - Table1[[#This Row],[Discount]])</f>
        <v>2297.6927999999998</v>
      </c>
      <c r="C75" s="7">
        <f>Table1[[#This Row],[Net Sales]] * 0.2</f>
        <v>459.53855999999996</v>
      </c>
      <c r="D75" t="s">
        <v>20</v>
      </c>
      <c r="E75" t="s">
        <v>28</v>
      </c>
      <c r="F75">
        <v>13</v>
      </c>
      <c r="G75">
        <v>195.84</v>
      </c>
      <c r="H75" t="s">
        <v>32</v>
      </c>
      <c r="I75" t="s">
        <v>35</v>
      </c>
      <c r="J75" s="3">
        <v>0.05</v>
      </c>
      <c r="K75" t="s">
        <v>38</v>
      </c>
      <c r="L75">
        <v>2418.6239999999998</v>
      </c>
      <c r="M75" t="s">
        <v>45</v>
      </c>
      <c r="O75">
        <v>0</v>
      </c>
      <c r="P75" t="s">
        <v>124</v>
      </c>
      <c r="Q75" t="s">
        <v>1624</v>
      </c>
      <c r="R75">
        <v>33.520000000000003</v>
      </c>
      <c r="S75" s="5">
        <v>45220</v>
      </c>
      <c r="T75" s="5">
        <v>45227</v>
      </c>
      <c r="U75" t="s">
        <v>2923</v>
      </c>
    </row>
    <row r="76" spans="1:21" x14ac:dyDescent="0.25">
      <c r="A76" s="5">
        <v>45305</v>
      </c>
      <c r="B76" s="7">
        <f>Table1[[#This Row],[TotalPrice]] * (1 - Table1[[#This Row],[Discount]])</f>
        <v>411.00135</v>
      </c>
      <c r="C76" s="7">
        <f>Table1[[#This Row],[Net Sales]] * 0.2</f>
        <v>82.200270000000003</v>
      </c>
      <c r="D76" t="s">
        <v>22</v>
      </c>
      <c r="E76" t="s">
        <v>29</v>
      </c>
      <c r="F76">
        <v>19</v>
      </c>
      <c r="G76">
        <v>29.94</v>
      </c>
      <c r="H76" t="s">
        <v>34</v>
      </c>
      <c r="I76" t="s">
        <v>36</v>
      </c>
      <c r="J76" s="3">
        <v>0.15</v>
      </c>
      <c r="K76" t="s">
        <v>41</v>
      </c>
      <c r="L76">
        <v>483.53100000000001</v>
      </c>
      <c r="M76" t="s">
        <v>46</v>
      </c>
      <c r="N76" t="s">
        <v>48</v>
      </c>
      <c r="O76">
        <v>0</v>
      </c>
      <c r="P76" t="s">
        <v>125</v>
      </c>
      <c r="Q76" t="s">
        <v>1625</v>
      </c>
      <c r="R76">
        <v>33.590000000000003</v>
      </c>
      <c r="S76" s="5">
        <v>45305</v>
      </c>
      <c r="T76" s="5">
        <v>45311</v>
      </c>
      <c r="U76" t="s">
        <v>2925</v>
      </c>
    </row>
    <row r="77" spans="1:21" x14ac:dyDescent="0.25">
      <c r="A77" s="5">
        <v>45134</v>
      </c>
      <c r="B77" s="7">
        <f>Table1[[#This Row],[TotalPrice]] * (1 - Table1[[#This Row],[Discount]])</f>
        <v>4486.6709999999994</v>
      </c>
      <c r="C77" s="7">
        <f>Table1[[#This Row],[Net Sales]] * 0.2</f>
        <v>897.3341999999999</v>
      </c>
      <c r="D77" t="s">
        <v>22</v>
      </c>
      <c r="E77" t="s">
        <v>26</v>
      </c>
      <c r="F77">
        <v>10</v>
      </c>
      <c r="G77">
        <v>553.91</v>
      </c>
      <c r="H77" t="s">
        <v>34</v>
      </c>
      <c r="I77" t="s">
        <v>35</v>
      </c>
      <c r="J77" s="3">
        <v>0.1</v>
      </c>
      <c r="K77" t="s">
        <v>37</v>
      </c>
      <c r="L77">
        <v>4985.1899999999996</v>
      </c>
      <c r="M77" t="s">
        <v>43</v>
      </c>
      <c r="O77">
        <v>0</v>
      </c>
      <c r="P77" t="s">
        <v>126</v>
      </c>
      <c r="Q77" t="s">
        <v>1626</v>
      </c>
      <c r="R77">
        <v>31.3</v>
      </c>
      <c r="S77" s="5">
        <v>45134</v>
      </c>
      <c r="T77" s="5">
        <v>45138</v>
      </c>
      <c r="U77" t="s">
        <v>2925</v>
      </c>
    </row>
    <row r="78" spans="1:21" x14ac:dyDescent="0.25">
      <c r="A78" s="5">
        <v>45588</v>
      </c>
      <c r="B78" s="7">
        <f>Table1[[#This Row],[TotalPrice]] * (1 - Table1[[#This Row],[Discount]])</f>
        <v>5052.1967999999997</v>
      </c>
      <c r="C78" s="7">
        <f>Table1[[#This Row],[Net Sales]] * 0.2</f>
        <v>1010.43936</v>
      </c>
      <c r="D78" t="s">
        <v>20</v>
      </c>
      <c r="E78" t="s">
        <v>25</v>
      </c>
      <c r="F78">
        <v>14</v>
      </c>
      <c r="G78">
        <v>445.52</v>
      </c>
      <c r="H78" t="s">
        <v>31</v>
      </c>
      <c r="I78" t="s">
        <v>36</v>
      </c>
      <c r="J78" s="3">
        <v>0.1</v>
      </c>
      <c r="K78" t="s">
        <v>42</v>
      </c>
      <c r="L78">
        <v>5613.5519999999997</v>
      </c>
      <c r="M78" t="s">
        <v>43</v>
      </c>
      <c r="N78" t="s">
        <v>49</v>
      </c>
      <c r="O78">
        <v>0</v>
      </c>
      <c r="P78" t="s">
        <v>127</v>
      </c>
      <c r="Q78" t="s">
        <v>1627</v>
      </c>
      <c r="R78">
        <v>14.41</v>
      </c>
      <c r="S78" s="5">
        <v>45588</v>
      </c>
      <c r="T78" s="5">
        <v>45590</v>
      </c>
      <c r="U78" t="s">
        <v>2923</v>
      </c>
    </row>
    <row r="79" spans="1:21" x14ac:dyDescent="0.25">
      <c r="A79" s="5">
        <v>45195</v>
      </c>
      <c r="B79" s="7">
        <f>Table1[[#This Row],[TotalPrice]] * (1 - Table1[[#This Row],[Discount]])</f>
        <v>1992.58275</v>
      </c>
      <c r="C79" s="7">
        <f>Table1[[#This Row],[Net Sales]] * 0.2</f>
        <v>398.51655000000005</v>
      </c>
      <c r="D79" t="s">
        <v>20</v>
      </c>
      <c r="E79" t="s">
        <v>27</v>
      </c>
      <c r="F79">
        <v>5</v>
      </c>
      <c r="G79">
        <v>551.58000000000004</v>
      </c>
      <c r="H79" t="s">
        <v>31</v>
      </c>
      <c r="I79" t="s">
        <v>36</v>
      </c>
      <c r="J79" s="3">
        <v>0.15</v>
      </c>
      <c r="K79" t="s">
        <v>38</v>
      </c>
      <c r="L79">
        <v>2344.2150000000001</v>
      </c>
      <c r="M79" t="s">
        <v>43</v>
      </c>
      <c r="N79" t="s">
        <v>50</v>
      </c>
      <c r="O79">
        <v>1</v>
      </c>
      <c r="P79" t="s">
        <v>128</v>
      </c>
      <c r="Q79" t="s">
        <v>1628</v>
      </c>
      <c r="R79">
        <v>7.87</v>
      </c>
      <c r="S79" s="5">
        <v>45195</v>
      </c>
      <c r="T79" s="5">
        <v>45200</v>
      </c>
      <c r="U79" t="s">
        <v>2923</v>
      </c>
    </row>
    <row r="80" spans="1:21" x14ac:dyDescent="0.25">
      <c r="A80" s="5">
        <v>45276</v>
      </c>
      <c r="B80" s="7">
        <f>Table1[[#This Row],[TotalPrice]] * (1 - Table1[[#This Row],[Discount]])</f>
        <v>3138.2</v>
      </c>
      <c r="C80" s="7">
        <f>Table1[[#This Row],[Net Sales]] * 0.2</f>
        <v>627.64</v>
      </c>
      <c r="D80" t="s">
        <v>19</v>
      </c>
      <c r="E80" t="s">
        <v>25</v>
      </c>
      <c r="F80">
        <v>13</v>
      </c>
      <c r="G80">
        <v>241.4</v>
      </c>
      <c r="H80" t="s">
        <v>34</v>
      </c>
      <c r="I80" t="s">
        <v>36</v>
      </c>
      <c r="J80" s="3">
        <v>0</v>
      </c>
      <c r="K80" t="s">
        <v>40</v>
      </c>
      <c r="L80">
        <v>3138.2</v>
      </c>
      <c r="M80" t="s">
        <v>44</v>
      </c>
      <c r="N80" t="s">
        <v>49</v>
      </c>
      <c r="O80">
        <v>0</v>
      </c>
      <c r="P80" t="s">
        <v>129</v>
      </c>
      <c r="Q80" t="s">
        <v>1629</v>
      </c>
      <c r="R80">
        <v>49.05</v>
      </c>
      <c r="S80" s="5">
        <v>45276</v>
      </c>
      <c r="T80" s="5">
        <v>45280</v>
      </c>
      <c r="U80" t="s">
        <v>2922</v>
      </c>
    </row>
    <row r="81" spans="1:21" x14ac:dyDescent="0.25">
      <c r="A81" s="5">
        <v>45293</v>
      </c>
      <c r="B81" s="7">
        <f>Table1[[#This Row],[TotalPrice]] * (1 - Table1[[#This Row],[Discount]])</f>
        <v>6686.67</v>
      </c>
      <c r="C81" s="7">
        <f>Table1[[#This Row],[Net Sales]] * 0.2</f>
        <v>1337.3340000000001</v>
      </c>
      <c r="D81" t="s">
        <v>22</v>
      </c>
      <c r="E81" t="s">
        <v>30</v>
      </c>
      <c r="F81">
        <v>19</v>
      </c>
      <c r="G81">
        <v>351.93</v>
      </c>
      <c r="H81" t="s">
        <v>32</v>
      </c>
      <c r="I81" t="s">
        <v>35</v>
      </c>
      <c r="J81" s="3">
        <v>0</v>
      </c>
      <c r="K81" t="s">
        <v>38</v>
      </c>
      <c r="L81">
        <v>6686.67</v>
      </c>
      <c r="M81" t="s">
        <v>45</v>
      </c>
      <c r="O81">
        <v>0</v>
      </c>
      <c r="P81" t="s">
        <v>130</v>
      </c>
      <c r="Q81" t="s">
        <v>1630</v>
      </c>
      <c r="R81">
        <v>39.979999999999997</v>
      </c>
      <c r="S81" s="5">
        <v>45293</v>
      </c>
      <c r="T81" s="5">
        <v>45296</v>
      </c>
      <c r="U81" t="s">
        <v>2925</v>
      </c>
    </row>
    <row r="82" spans="1:21" x14ac:dyDescent="0.25">
      <c r="A82" s="5">
        <v>45338</v>
      </c>
      <c r="B82" s="7">
        <f>Table1[[#This Row],[TotalPrice]] * (1 - Table1[[#This Row],[Discount]])</f>
        <v>302.33749999999998</v>
      </c>
      <c r="C82" s="7">
        <f>Table1[[#This Row],[Net Sales]] * 0.2</f>
        <v>60.467500000000001</v>
      </c>
      <c r="D82" t="s">
        <v>21</v>
      </c>
      <c r="E82" t="s">
        <v>25</v>
      </c>
      <c r="F82">
        <v>4</v>
      </c>
      <c r="G82">
        <v>83.75</v>
      </c>
      <c r="H82" t="s">
        <v>32</v>
      </c>
      <c r="I82" t="s">
        <v>36</v>
      </c>
      <c r="J82" s="3">
        <v>0.05</v>
      </c>
      <c r="K82" t="s">
        <v>38</v>
      </c>
      <c r="L82">
        <v>318.25</v>
      </c>
      <c r="M82" t="s">
        <v>46</v>
      </c>
      <c r="N82" t="s">
        <v>49</v>
      </c>
      <c r="O82">
        <v>1</v>
      </c>
      <c r="P82" t="s">
        <v>131</v>
      </c>
      <c r="Q82" t="s">
        <v>1631</v>
      </c>
      <c r="R82">
        <v>38.82</v>
      </c>
      <c r="S82" s="5">
        <v>45338</v>
      </c>
      <c r="T82" s="5">
        <v>45347</v>
      </c>
      <c r="U82" t="s">
        <v>2924</v>
      </c>
    </row>
    <row r="83" spans="1:21" x14ac:dyDescent="0.25">
      <c r="A83" s="5">
        <v>45415</v>
      </c>
      <c r="B83" s="7">
        <f>Table1[[#This Row],[TotalPrice]] * (1 - Table1[[#This Row],[Discount]])</f>
        <v>1506.2318749999999</v>
      </c>
      <c r="C83" s="7">
        <f>Table1[[#This Row],[Net Sales]] * 0.2</f>
        <v>301.246375</v>
      </c>
      <c r="D83" t="s">
        <v>19</v>
      </c>
      <c r="E83" t="s">
        <v>28</v>
      </c>
      <c r="F83">
        <v>5</v>
      </c>
      <c r="G83">
        <v>416.95</v>
      </c>
      <c r="H83" t="s">
        <v>32</v>
      </c>
      <c r="I83" t="s">
        <v>35</v>
      </c>
      <c r="J83" s="3">
        <v>0.15</v>
      </c>
      <c r="K83" t="s">
        <v>39</v>
      </c>
      <c r="L83">
        <v>1772.0374999999999</v>
      </c>
      <c r="M83" t="s">
        <v>43</v>
      </c>
      <c r="O83">
        <v>1</v>
      </c>
      <c r="P83" t="s">
        <v>132</v>
      </c>
      <c r="Q83" t="s">
        <v>1632</v>
      </c>
      <c r="R83">
        <v>24.03</v>
      </c>
      <c r="S83" s="5">
        <v>45415</v>
      </c>
      <c r="T83" s="5">
        <v>45424</v>
      </c>
      <c r="U83" t="s">
        <v>2922</v>
      </c>
    </row>
    <row r="84" spans="1:21" x14ac:dyDescent="0.25">
      <c r="A84" s="5">
        <v>45073</v>
      </c>
      <c r="B84" s="7">
        <f>Table1[[#This Row],[TotalPrice]] * (1 - Table1[[#This Row],[Discount]])</f>
        <v>2313.7753499999999</v>
      </c>
      <c r="C84" s="7">
        <f>Table1[[#This Row],[Net Sales]] * 0.2</f>
        <v>462.75506999999999</v>
      </c>
      <c r="D84" t="s">
        <v>23</v>
      </c>
      <c r="E84" t="s">
        <v>28</v>
      </c>
      <c r="F84">
        <v>18</v>
      </c>
      <c r="G84">
        <v>142.43</v>
      </c>
      <c r="H84" t="s">
        <v>33</v>
      </c>
      <c r="I84" t="s">
        <v>36</v>
      </c>
      <c r="J84" s="3">
        <v>0.05</v>
      </c>
      <c r="K84" t="s">
        <v>42</v>
      </c>
      <c r="L84">
        <v>2435.5529999999999</v>
      </c>
      <c r="M84" t="s">
        <v>45</v>
      </c>
      <c r="N84" t="s">
        <v>49</v>
      </c>
      <c r="O84">
        <v>1</v>
      </c>
      <c r="P84" t="s">
        <v>133</v>
      </c>
      <c r="Q84" t="s">
        <v>1633</v>
      </c>
      <c r="R84">
        <v>12.38</v>
      </c>
      <c r="S84" s="5">
        <v>45073</v>
      </c>
      <c r="T84" s="5">
        <v>45079</v>
      </c>
      <c r="U84" t="s">
        <v>2926</v>
      </c>
    </row>
    <row r="85" spans="1:21" x14ac:dyDescent="0.25">
      <c r="A85" s="5">
        <v>44931</v>
      </c>
      <c r="B85" s="7">
        <f>Table1[[#This Row],[TotalPrice]] * (1 - Table1[[#This Row],[Discount]])</f>
        <v>6990.24</v>
      </c>
      <c r="C85" s="7">
        <f>Table1[[#This Row],[Net Sales]] * 0.2</f>
        <v>1398.048</v>
      </c>
      <c r="D85" t="s">
        <v>19</v>
      </c>
      <c r="E85" t="s">
        <v>26</v>
      </c>
      <c r="F85">
        <v>12</v>
      </c>
      <c r="G85">
        <v>582.52</v>
      </c>
      <c r="H85" t="s">
        <v>32</v>
      </c>
      <c r="I85" t="s">
        <v>35</v>
      </c>
      <c r="J85" s="3">
        <v>0</v>
      </c>
      <c r="K85" t="s">
        <v>42</v>
      </c>
      <c r="L85">
        <v>6990.24</v>
      </c>
      <c r="M85" t="s">
        <v>45</v>
      </c>
      <c r="N85" t="s">
        <v>48</v>
      </c>
      <c r="O85">
        <v>0</v>
      </c>
      <c r="P85" t="s">
        <v>134</v>
      </c>
      <c r="Q85" t="s">
        <v>1634</v>
      </c>
      <c r="R85">
        <v>41.16</v>
      </c>
      <c r="S85" s="5">
        <v>44931</v>
      </c>
      <c r="T85" s="5">
        <v>44937</v>
      </c>
      <c r="U85" t="s">
        <v>2922</v>
      </c>
    </row>
    <row r="86" spans="1:21" x14ac:dyDescent="0.25">
      <c r="A86" s="5">
        <v>45798</v>
      </c>
      <c r="B86" s="7">
        <f>Table1[[#This Row],[TotalPrice]] * (1 - Table1[[#This Row],[Discount]])</f>
        <v>1872.1419999999998</v>
      </c>
      <c r="C86" s="7">
        <f>Table1[[#This Row],[Net Sales]] * 0.2</f>
        <v>374.42840000000001</v>
      </c>
      <c r="D86" t="s">
        <v>19</v>
      </c>
      <c r="E86" t="s">
        <v>27</v>
      </c>
      <c r="F86">
        <v>20</v>
      </c>
      <c r="G86">
        <v>129.56</v>
      </c>
      <c r="H86" t="s">
        <v>32</v>
      </c>
      <c r="I86" t="s">
        <v>36</v>
      </c>
      <c r="J86" s="3">
        <v>0.15</v>
      </c>
      <c r="K86" t="s">
        <v>41</v>
      </c>
      <c r="L86">
        <v>2202.52</v>
      </c>
      <c r="M86" t="s">
        <v>43</v>
      </c>
      <c r="N86" t="s">
        <v>50</v>
      </c>
      <c r="O86">
        <v>0</v>
      </c>
      <c r="P86" t="s">
        <v>135</v>
      </c>
      <c r="Q86" t="s">
        <v>1635</v>
      </c>
      <c r="R86">
        <v>40.21</v>
      </c>
      <c r="S86" s="5">
        <v>45798</v>
      </c>
      <c r="T86" s="5">
        <v>45800</v>
      </c>
      <c r="U86" t="s">
        <v>2922</v>
      </c>
    </row>
    <row r="87" spans="1:21" x14ac:dyDescent="0.25">
      <c r="A87" s="5">
        <v>45128</v>
      </c>
      <c r="B87" s="7">
        <f>Table1[[#This Row],[TotalPrice]] * (1 - Table1[[#This Row],[Discount]])</f>
        <v>7340.94</v>
      </c>
      <c r="C87" s="7">
        <f>Table1[[#This Row],[Net Sales]] * 0.2</f>
        <v>1468.1880000000001</v>
      </c>
      <c r="D87" t="s">
        <v>22</v>
      </c>
      <c r="E87" t="s">
        <v>29</v>
      </c>
      <c r="F87">
        <v>17</v>
      </c>
      <c r="G87">
        <v>431.82</v>
      </c>
      <c r="H87" t="s">
        <v>31</v>
      </c>
      <c r="I87" t="s">
        <v>36</v>
      </c>
      <c r="J87" s="3">
        <v>0</v>
      </c>
      <c r="K87" t="s">
        <v>37</v>
      </c>
      <c r="L87">
        <v>7340.94</v>
      </c>
      <c r="M87" t="s">
        <v>44</v>
      </c>
      <c r="N87" t="s">
        <v>48</v>
      </c>
      <c r="O87">
        <v>1</v>
      </c>
      <c r="P87" t="s">
        <v>136</v>
      </c>
      <c r="Q87" t="s">
        <v>1636</v>
      </c>
      <c r="R87">
        <v>37.75</v>
      </c>
      <c r="S87" s="5">
        <v>45128</v>
      </c>
      <c r="T87" s="5">
        <v>45132</v>
      </c>
      <c r="U87" t="s">
        <v>2925</v>
      </c>
    </row>
    <row r="88" spans="1:21" x14ac:dyDescent="0.25">
      <c r="A88" s="5">
        <v>45802</v>
      </c>
      <c r="B88" s="7">
        <f>Table1[[#This Row],[TotalPrice]] * (1 - Table1[[#This Row],[Discount]])</f>
        <v>237.75</v>
      </c>
      <c r="C88" s="7">
        <f>Table1[[#This Row],[Net Sales]] * 0.2</f>
        <v>47.550000000000004</v>
      </c>
      <c r="D88" t="s">
        <v>19</v>
      </c>
      <c r="E88" t="s">
        <v>24</v>
      </c>
      <c r="F88">
        <v>15</v>
      </c>
      <c r="G88">
        <v>15.85</v>
      </c>
      <c r="H88" t="s">
        <v>33</v>
      </c>
      <c r="I88" t="s">
        <v>36</v>
      </c>
      <c r="J88" s="3">
        <v>0</v>
      </c>
      <c r="K88" t="s">
        <v>42</v>
      </c>
      <c r="L88">
        <v>237.75</v>
      </c>
      <c r="M88" t="s">
        <v>46</v>
      </c>
      <c r="N88" t="s">
        <v>50</v>
      </c>
      <c r="O88">
        <v>0</v>
      </c>
      <c r="P88" t="s">
        <v>137</v>
      </c>
      <c r="Q88" t="s">
        <v>1637</v>
      </c>
      <c r="R88">
        <v>23.49</v>
      </c>
      <c r="S88" s="5">
        <v>45802</v>
      </c>
      <c r="T88" s="5">
        <v>45811</v>
      </c>
      <c r="U88" t="s">
        <v>2922</v>
      </c>
    </row>
    <row r="89" spans="1:21" x14ac:dyDescent="0.25">
      <c r="A89" s="5">
        <v>45612</v>
      </c>
      <c r="B89" s="7">
        <f>Table1[[#This Row],[TotalPrice]] * (1 - Table1[[#This Row],[Discount]])</f>
        <v>8883.1080000000002</v>
      </c>
      <c r="C89" s="7">
        <f>Table1[[#This Row],[Net Sales]] * 0.2</f>
        <v>1776.6216000000002</v>
      </c>
      <c r="D89" t="s">
        <v>20</v>
      </c>
      <c r="E89" t="s">
        <v>29</v>
      </c>
      <c r="F89">
        <v>20</v>
      </c>
      <c r="G89">
        <v>548.34</v>
      </c>
      <c r="H89" t="s">
        <v>31</v>
      </c>
      <c r="I89" t="s">
        <v>36</v>
      </c>
      <c r="J89" s="3">
        <v>0.1</v>
      </c>
      <c r="K89" t="s">
        <v>42</v>
      </c>
      <c r="L89">
        <v>9870.1200000000008</v>
      </c>
      <c r="M89" t="s">
        <v>44</v>
      </c>
      <c r="N89" t="s">
        <v>50</v>
      </c>
      <c r="O89">
        <v>0</v>
      </c>
      <c r="P89" t="s">
        <v>138</v>
      </c>
      <c r="Q89" t="s">
        <v>1638</v>
      </c>
      <c r="R89">
        <v>33.47</v>
      </c>
      <c r="S89" s="5">
        <v>45612</v>
      </c>
      <c r="T89" s="5">
        <v>45618</v>
      </c>
      <c r="U89" t="s">
        <v>2923</v>
      </c>
    </row>
    <row r="90" spans="1:21" x14ac:dyDescent="0.25">
      <c r="A90" s="5">
        <v>45249</v>
      </c>
      <c r="B90" s="7">
        <f>Table1[[#This Row],[TotalPrice]] * (1 - Table1[[#This Row],[Discount]])</f>
        <v>7592.9852000000001</v>
      </c>
      <c r="C90" s="7">
        <f>Table1[[#This Row],[Net Sales]] * 0.2</f>
        <v>1518.5970400000001</v>
      </c>
      <c r="D90" t="s">
        <v>21</v>
      </c>
      <c r="E90" t="s">
        <v>24</v>
      </c>
      <c r="F90">
        <v>16</v>
      </c>
      <c r="G90">
        <v>525.83000000000004</v>
      </c>
      <c r="H90" t="s">
        <v>33</v>
      </c>
      <c r="I90" t="s">
        <v>35</v>
      </c>
      <c r="J90" s="3">
        <v>0.05</v>
      </c>
      <c r="K90" t="s">
        <v>39</v>
      </c>
      <c r="L90">
        <v>7992.616</v>
      </c>
      <c r="M90" t="s">
        <v>43</v>
      </c>
      <c r="O90">
        <v>0</v>
      </c>
      <c r="P90" t="s">
        <v>139</v>
      </c>
      <c r="Q90" t="s">
        <v>1639</v>
      </c>
      <c r="R90">
        <v>36.47</v>
      </c>
      <c r="S90" s="5">
        <v>45249</v>
      </c>
      <c r="T90" s="5">
        <v>45255</v>
      </c>
      <c r="U90" t="s">
        <v>2924</v>
      </c>
    </row>
    <row r="91" spans="1:21" x14ac:dyDescent="0.25">
      <c r="A91" s="5">
        <v>45669</v>
      </c>
      <c r="B91" s="7">
        <f>Table1[[#This Row],[TotalPrice]] * (1 - Table1[[#This Row],[Discount]])</f>
        <v>5569.0567499999997</v>
      </c>
      <c r="C91" s="7">
        <f>Table1[[#This Row],[Net Sales]] * 0.2</f>
        <v>1113.8113499999999</v>
      </c>
      <c r="D91" t="s">
        <v>22</v>
      </c>
      <c r="E91" t="s">
        <v>24</v>
      </c>
      <c r="F91">
        <v>15</v>
      </c>
      <c r="G91">
        <v>411.38</v>
      </c>
      <c r="H91" t="s">
        <v>32</v>
      </c>
      <c r="I91" t="s">
        <v>35</v>
      </c>
      <c r="J91" s="3">
        <v>0.05</v>
      </c>
      <c r="K91" t="s">
        <v>42</v>
      </c>
      <c r="L91">
        <v>5862.165</v>
      </c>
      <c r="M91" t="s">
        <v>43</v>
      </c>
      <c r="N91" t="s">
        <v>49</v>
      </c>
      <c r="O91">
        <v>0</v>
      </c>
      <c r="P91" t="s">
        <v>140</v>
      </c>
      <c r="Q91" t="s">
        <v>1640</v>
      </c>
      <c r="R91">
        <v>48.51</v>
      </c>
      <c r="S91" s="5">
        <v>45669</v>
      </c>
      <c r="T91" s="5">
        <v>45678</v>
      </c>
      <c r="U91" t="s">
        <v>2925</v>
      </c>
    </row>
    <row r="92" spans="1:21" x14ac:dyDescent="0.25">
      <c r="A92" s="5">
        <v>45014</v>
      </c>
      <c r="B92" s="7">
        <f>Table1[[#This Row],[TotalPrice]] * (1 - Table1[[#This Row],[Discount]])</f>
        <v>8617.6305000000011</v>
      </c>
      <c r="C92" s="7">
        <f>Table1[[#This Row],[Net Sales]] * 0.2</f>
        <v>1723.5261000000003</v>
      </c>
      <c r="D92" t="s">
        <v>21</v>
      </c>
      <c r="E92" t="s">
        <v>28</v>
      </c>
      <c r="F92">
        <v>19</v>
      </c>
      <c r="G92">
        <v>559.95000000000005</v>
      </c>
      <c r="H92" t="s">
        <v>32</v>
      </c>
      <c r="I92" t="s">
        <v>35</v>
      </c>
      <c r="J92" s="3">
        <v>0.1</v>
      </c>
      <c r="K92" t="s">
        <v>40</v>
      </c>
      <c r="L92">
        <v>9575.1450000000004</v>
      </c>
      <c r="M92" t="s">
        <v>45</v>
      </c>
      <c r="N92" t="s">
        <v>50</v>
      </c>
      <c r="O92">
        <v>0</v>
      </c>
      <c r="P92" t="s">
        <v>141</v>
      </c>
      <c r="Q92" t="s">
        <v>1641</v>
      </c>
      <c r="R92">
        <v>18.3</v>
      </c>
      <c r="S92" s="5">
        <v>45014</v>
      </c>
      <c r="T92" s="5">
        <v>45019</v>
      </c>
      <c r="U92" t="s">
        <v>2924</v>
      </c>
    </row>
    <row r="93" spans="1:21" x14ac:dyDescent="0.25">
      <c r="A93" s="5">
        <v>45717</v>
      </c>
      <c r="B93" s="7">
        <f>Table1[[#This Row],[TotalPrice]] * (1 - Table1[[#This Row],[Discount]])</f>
        <v>1298.8779999999999</v>
      </c>
      <c r="C93" s="7">
        <f>Table1[[#This Row],[Net Sales]] * 0.2</f>
        <v>259.7756</v>
      </c>
      <c r="D93" t="s">
        <v>21</v>
      </c>
      <c r="E93" t="s">
        <v>26</v>
      </c>
      <c r="F93">
        <v>8</v>
      </c>
      <c r="G93">
        <v>179.9</v>
      </c>
      <c r="H93" t="s">
        <v>33</v>
      </c>
      <c r="I93" t="s">
        <v>36</v>
      </c>
      <c r="J93" s="3">
        <v>0.05</v>
      </c>
      <c r="K93" t="s">
        <v>40</v>
      </c>
      <c r="L93">
        <v>1367.24</v>
      </c>
      <c r="M93" t="s">
        <v>43</v>
      </c>
      <c r="N93" t="s">
        <v>49</v>
      </c>
      <c r="O93">
        <v>0</v>
      </c>
      <c r="P93" t="s">
        <v>142</v>
      </c>
      <c r="Q93" t="s">
        <v>1642</v>
      </c>
      <c r="R93">
        <v>14.8</v>
      </c>
      <c r="S93" s="5">
        <v>45717</v>
      </c>
      <c r="T93" s="5">
        <v>45721</v>
      </c>
      <c r="U93" t="s">
        <v>2924</v>
      </c>
    </row>
    <row r="94" spans="1:21" x14ac:dyDescent="0.25">
      <c r="A94" s="5">
        <v>45217</v>
      </c>
      <c r="B94" s="7">
        <f>Table1[[#This Row],[TotalPrice]] * (1 - Table1[[#This Row],[Discount]])</f>
        <v>4284.2804999999989</v>
      </c>
      <c r="C94" s="7">
        <f>Table1[[#This Row],[Net Sales]] * 0.2</f>
        <v>856.85609999999986</v>
      </c>
      <c r="D94" t="s">
        <v>21</v>
      </c>
      <c r="E94" t="s">
        <v>27</v>
      </c>
      <c r="F94">
        <v>12</v>
      </c>
      <c r="G94">
        <v>494.15</v>
      </c>
      <c r="H94" t="s">
        <v>31</v>
      </c>
      <c r="I94" t="s">
        <v>35</v>
      </c>
      <c r="J94" s="3">
        <v>0.15</v>
      </c>
      <c r="K94" t="s">
        <v>41</v>
      </c>
      <c r="L94">
        <v>5040.329999999999</v>
      </c>
      <c r="M94" t="s">
        <v>43</v>
      </c>
      <c r="N94" t="s">
        <v>49</v>
      </c>
      <c r="O94">
        <v>1</v>
      </c>
      <c r="P94" t="s">
        <v>143</v>
      </c>
      <c r="Q94" t="s">
        <v>1643</v>
      </c>
      <c r="R94">
        <v>18.05</v>
      </c>
      <c r="S94" s="5">
        <v>45217</v>
      </c>
      <c r="T94" s="5">
        <v>45219</v>
      </c>
      <c r="U94" t="s">
        <v>2924</v>
      </c>
    </row>
    <row r="95" spans="1:21" x14ac:dyDescent="0.25">
      <c r="A95" s="5">
        <v>45760</v>
      </c>
      <c r="B95" s="7">
        <f>Table1[[#This Row],[TotalPrice]] * (1 - Table1[[#This Row],[Discount]])</f>
        <v>4629.8999999999996</v>
      </c>
      <c r="C95" s="7">
        <f>Table1[[#This Row],[Net Sales]] * 0.2</f>
        <v>925.98</v>
      </c>
      <c r="D95" t="s">
        <v>19</v>
      </c>
      <c r="E95" t="s">
        <v>26</v>
      </c>
      <c r="F95">
        <v>10</v>
      </c>
      <c r="G95">
        <v>462.99</v>
      </c>
      <c r="H95" t="s">
        <v>33</v>
      </c>
      <c r="I95" t="s">
        <v>35</v>
      </c>
      <c r="J95" s="3">
        <v>0</v>
      </c>
      <c r="K95" t="s">
        <v>42</v>
      </c>
      <c r="L95">
        <v>4629.8999999999996</v>
      </c>
      <c r="M95" t="s">
        <v>45</v>
      </c>
      <c r="N95" t="s">
        <v>50</v>
      </c>
      <c r="O95">
        <v>0</v>
      </c>
      <c r="P95" t="s">
        <v>144</v>
      </c>
      <c r="Q95" t="s">
        <v>1644</v>
      </c>
      <c r="R95">
        <v>5.01</v>
      </c>
      <c r="S95" s="5">
        <v>45760</v>
      </c>
      <c r="T95" s="5">
        <v>45762</v>
      </c>
      <c r="U95" t="s">
        <v>2922</v>
      </c>
    </row>
    <row r="96" spans="1:21" x14ac:dyDescent="0.25">
      <c r="A96" s="5">
        <v>45790</v>
      </c>
      <c r="B96" s="7">
        <f>Table1[[#This Row],[TotalPrice]] * (1 - Table1[[#This Row],[Discount]])</f>
        <v>2907.5661999999998</v>
      </c>
      <c r="C96" s="7">
        <f>Table1[[#This Row],[Net Sales]] * 0.2</f>
        <v>581.51324</v>
      </c>
      <c r="D96" t="s">
        <v>22</v>
      </c>
      <c r="E96" t="s">
        <v>24</v>
      </c>
      <c r="F96">
        <v>7</v>
      </c>
      <c r="G96">
        <v>460.24</v>
      </c>
      <c r="H96" t="s">
        <v>32</v>
      </c>
      <c r="I96" t="s">
        <v>36</v>
      </c>
      <c r="J96" s="3">
        <v>0.05</v>
      </c>
      <c r="K96" t="s">
        <v>38</v>
      </c>
      <c r="L96">
        <v>3060.596</v>
      </c>
      <c r="M96" t="s">
        <v>47</v>
      </c>
      <c r="N96" t="s">
        <v>49</v>
      </c>
      <c r="O96">
        <v>1</v>
      </c>
      <c r="P96" t="s">
        <v>145</v>
      </c>
      <c r="Q96" t="s">
        <v>1645</v>
      </c>
      <c r="R96">
        <v>11.54</v>
      </c>
      <c r="S96" s="5">
        <v>45790</v>
      </c>
      <c r="T96" s="5">
        <v>45800</v>
      </c>
      <c r="U96" t="s">
        <v>2925</v>
      </c>
    </row>
    <row r="97" spans="1:21" x14ac:dyDescent="0.25">
      <c r="A97" s="5">
        <v>45403</v>
      </c>
      <c r="B97" s="7">
        <f>Table1[[#This Row],[TotalPrice]] * (1 - Table1[[#This Row],[Discount]])</f>
        <v>4748.8105999999998</v>
      </c>
      <c r="C97" s="7">
        <f>Table1[[#This Row],[Net Sales]] * 0.2</f>
        <v>949.76211999999998</v>
      </c>
      <c r="D97" t="s">
        <v>23</v>
      </c>
      <c r="E97" t="s">
        <v>30</v>
      </c>
      <c r="F97">
        <v>17</v>
      </c>
      <c r="G97">
        <v>309.52</v>
      </c>
      <c r="H97" t="s">
        <v>31</v>
      </c>
      <c r="I97" t="s">
        <v>35</v>
      </c>
      <c r="J97" s="3">
        <v>0.05</v>
      </c>
      <c r="K97" t="s">
        <v>37</v>
      </c>
      <c r="L97">
        <v>4998.7479999999996</v>
      </c>
      <c r="M97" t="s">
        <v>43</v>
      </c>
      <c r="N97" t="s">
        <v>48</v>
      </c>
      <c r="O97">
        <v>0</v>
      </c>
      <c r="P97" t="s">
        <v>146</v>
      </c>
      <c r="Q97" t="s">
        <v>1646</v>
      </c>
      <c r="R97">
        <v>6.11</v>
      </c>
      <c r="S97" s="5">
        <v>45403</v>
      </c>
      <c r="T97" s="5">
        <v>45409</v>
      </c>
      <c r="U97" t="s">
        <v>2926</v>
      </c>
    </row>
    <row r="98" spans="1:21" x14ac:dyDescent="0.25">
      <c r="A98" s="5">
        <v>45688</v>
      </c>
      <c r="B98" s="7">
        <f>Table1[[#This Row],[TotalPrice]] * (1 - Table1[[#This Row],[Discount]])</f>
        <v>292.256575</v>
      </c>
      <c r="C98" s="7">
        <f>Table1[[#This Row],[Net Sales]] * 0.2</f>
        <v>58.451315000000001</v>
      </c>
      <c r="D98" t="s">
        <v>22</v>
      </c>
      <c r="E98" t="s">
        <v>28</v>
      </c>
      <c r="F98">
        <v>1</v>
      </c>
      <c r="G98">
        <v>323.83</v>
      </c>
      <c r="H98" t="s">
        <v>31</v>
      </c>
      <c r="I98" t="s">
        <v>35</v>
      </c>
      <c r="J98" s="3">
        <v>0.05</v>
      </c>
      <c r="K98" t="s">
        <v>37</v>
      </c>
      <c r="L98">
        <v>307.63850000000002</v>
      </c>
      <c r="M98" t="s">
        <v>45</v>
      </c>
      <c r="N98" t="s">
        <v>50</v>
      </c>
      <c r="O98">
        <v>0</v>
      </c>
      <c r="P98" t="s">
        <v>147</v>
      </c>
      <c r="Q98" t="s">
        <v>1647</v>
      </c>
      <c r="R98">
        <v>27.48</v>
      </c>
      <c r="S98" s="5">
        <v>45688</v>
      </c>
      <c r="T98" s="5">
        <v>45696</v>
      </c>
      <c r="U98" t="s">
        <v>2925</v>
      </c>
    </row>
    <row r="99" spans="1:21" x14ac:dyDescent="0.25">
      <c r="A99" s="5">
        <v>45730</v>
      </c>
      <c r="B99" s="7">
        <f>Table1[[#This Row],[TotalPrice]] * (1 - Table1[[#This Row],[Discount]])</f>
        <v>5030.7</v>
      </c>
      <c r="C99" s="7">
        <f>Table1[[#This Row],[Net Sales]] * 0.2</f>
        <v>1006.14</v>
      </c>
      <c r="D99" t="s">
        <v>22</v>
      </c>
      <c r="E99" t="s">
        <v>27</v>
      </c>
      <c r="F99">
        <v>10</v>
      </c>
      <c r="G99">
        <v>503.07</v>
      </c>
      <c r="H99" t="s">
        <v>33</v>
      </c>
      <c r="I99" t="s">
        <v>36</v>
      </c>
      <c r="J99" s="3">
        <v>0</v>
      </c>
      <c r="K99" t="s">
        <v>42</v>
      </c>
      <c r="L99">
        <v>5030.7</v>
      </c>
      <c r="M99" t="s">
        <v>45</v>
      </c>
      <c r="N99" t="s">
        <v>48</v>
      </c>
      <c r="O99">
        <v>0</v>
      </c>
      <c r="P99" t="s">
        <v>148</v>
      </c>
      <c r="Q99" t="s">
        <v>1648</v>
      </c>
      <c r="R99">
        <v>44.61</v>
      </c>
      <c r="S99" s="5">
        <v>45730</v>
      </c>
      <c r="T99" s="5">
        <v>45735</v>
      </c>
      <c r="U99" t="s">
        <v>2925</v>
      </c>
    </row>
    <row r="100" spans="1:21" x14ac:dyDescent="0.25">
      <c r="A100" s="5">
        <v>45438</v>
      </c>
      <c r="B100" s="7">
        <f>Table1[[#This Row],[TotalPrice]] * (1 - Table1[[#This Row],[Discount]])</f>
        <v>7104.7759999999989</v>
      </c>
      <c r="C100" s="7">
        <f>Table1[[#This Row],[Net Sales]] * 0.2</f>
        <v>1420.9551999999999</v>
      </c>
      <c r="D100" t="s">
        <v>23</v>
      </c>
      <c r="E100" t="s">
        <v>24</v>
      </c>
      <c r="F100">
        <v>20</v>
      </c>
      <c r="G100">
        <v>491.68</v>
      </c>
      <c r="H100" t="s">
        <v>34</v>
      </c>
      <c r="I100" t="s">
        <v>35</v>
      </c>
      <c r="J100" s="3">
        <v>0.15</v>
      </c>
      <c r="K100" t="s">
        <v>38</v>
      </c>
      <c r="L100">
        <v>8358.56</v>
      </c>
      <c r="M100" t="s">
        <v>43</v>
      </c>
      <c r="N100" t="s">
        <v>49</v>
      </c>
      <c r="O100">
        <v>1</v>
      </c>
      <c r="P100" t="s">
        <v>149</v>
      </c>
      <c r="Q100" t="s">
        <v>1649</v>
      </c>
      <c r="R100">
        <v>43.46</v>
      </c>
      <c r="S100" s="5">
        <v>45438</v>
      </c>
      <c r="T100" s="5">
        <v>45441</v>
      </c>
      <c r="U100" t="s">
        <v>2926</v>
      </c>
    </row>
    <row r="101" spans="1:21" x14ac:dyDescent="0.25">
      <c r="A101" s="5">
        <v>45129</v>
      </c>
      <c r="B101" s="7">
        <f>Table1[[#This Row],[TotalPrice]] * (1 - Table1[[#This Row],[Discount]])</f>
        <v>7187.1941249999991</v>
      </c>
      <c r="C101" s="7">
        <f>Table1[[#This Row],[Net Sales]] * 0.2</f>
        <v>1437.438825</v>
      </c>
      <c r="D101" t="s">
        <v>21</v>
      </c>
      <c r="E101" t="s">
        <v>25</v>
      </c>
      <c r="F101">
        <v>17</v>
      </c>
      <c r="G101">
        <v>468.45</v>
      </c>
      <c r="H101" t="s">
        <v>32</v>
      </c>
      <c r="I101" t="s">
        <v>36</v>
      </c>
      <c r="J101" s="3">
        <v>0.05</v>
      </c>
      <c r="K101" t="s">
        <v>40</v>
      </c>
      <c r="L101">
        <v>7565.4674999999997</v>
      </c>
      <c r="M101" t="s">
        <v>45</v>
      </c>
      <c r="N101" t="s">
        <v>48</v>
      </c>
      <c r="O101">
        <v>0</v>
      </c>
      <c r="P101" t="s">
        <v>150</v>
      </c>
      <c r="Q101" t="s">
        <v>1650</v>
      </c>
      <c r="R101">
        <v>17.88</v>
      </c>
      <c r="S101" s="5">
        <v>45129</v>
      </c>
      <c r="T101" s="5">
        <v>45133</v>
      </c>
      <c r="U101" t="s">
        <v>2924</v>
      </c>
    </row>
    <row r="102" spans="1:21" x14ac:dyDescent="0.25">
      <c r="A102" s="5">
        <v>45372</v>
      </c>
      <c r="B102" s="7">
        <f>Table1[[#This Row],[TotalPrice]] * (1 - Table1[[#This Row],[Discount]])</f>
        <v>3192.9875999999999</v>
      </c>
      <c r="C102" s="7">
        <f>Table1[[#This Row],[Net Sales]] * 0.2</f>
        <v>638.59752000000003</v>
      </c>
      <c r="D102" t="s">
        <v>21</v>
      </c>
      <c r="E102" t="s">
        <v>24</v>
      </c>
      <c r="F102">
        <v>11</v>
      </c>
      <c r="G102">
        <v>401.76</v>
      </c>
      <c r="H102" t="s">
        <v>34</v>
      </c>
      <c r="I102" t="s">
        <v>36</v>
      </c>
      <c r="J102" s="3">
        <v>0.15</v>
      </c>
      <c r="K102" t="s">
        <v>39</v>
      </c>
      <c r="L102">
        <v>3756.4560000000001</v>
      </c>
      <c r="M102" t="s">
        <v>44</v>
      </c>
      <c r="N102" t="s">
        <v>49</v>
      </c>
      <c r="O102">
        <v>0</v>
      </c>
      <c r="P102" t="s">
        <v>151</v>
      </c>
      <c r="Q102" t="s">
        <v>1651</v>
      </c>
      <c r="R102">
        <v>48.03</v>
      </c>
      <c r="S102" s="5">
        <v>45372</v>
      </c>
      <c r="T102" s="5">
        <v>45381</v>
      </c>
      <c r="U102" t="s">
        <v>2924</v>
      </c>
    </row>
    <row r="103" spans="1:21" x14ac:dyDescent="0.25">
      <c r="A103" s="5">
        <v>45021</v>
      </c>
      <c r="B103" s="7">
        <f>Table1[[#This Row],[TotalPrice]] * (1 - Table1[[#This Row],[Discount]])</f>
        <v>663</v>
      </c>
      <c r="C103" s="7">
        <f>Table1[[#This Row],[Net Sales]] * 0.2</f>
        <v>132.6</v>
      </c>
      <c r="D103" t="s">
        <v>23</v>
      </c>
      <c r="E103" t="s">
        <v>30</v>
      </c>
      <c r="F103">
        <v>3</v>
      </c>
      <c r="G103">
        <v>221</v>
      </c>
      <c r="H103" t="s">
        <v>31</v>
      </c>
      <c r="I103" t="s">
        <v>35</v>
      </c>
      <c r="J103" s="3">
        <v>0</v>
      </c>
      <c r="K103" t="s">
        <v>39</v>
      </c>
      <c r="L103">
        <v>663</v>
      </c>
      <c r="M103" t="s">
        <v>47</v>
      </c>
      <c r="N103" t="s">
        <v>48</v>
      </c>
      <c r="O103">
        <v>0</v>
      </c>
      <c r="P103" t="s">
        <v>152</v>
      </c>
      <c r="Q103" t="s">
        <v>1652</v>
      </c>
      <c r="R103">
        <v>32.31</v>
      </c>
      <c r="S103" s="5">
        <v>45021</v>
      </c>
      <c r="T103" s="5">
        <v>45024</v>
      </c>
      <c r="U103" t="s">
        <v>2926</v>
      </c>
    </row>
    <row r="104" spans="1:21" x14ac:dyDescent="0.25">
      <c r="A104" s="5">
        <v>45530</v>
      </c>
      <c r="B104" s="7">
        <f>Table1[[#This Row],[TotalPrice]] * (1 - Table1[[#This Row],[Discount]])</f>
        <v>1020.4567499999999</v>
      </c>
      <c r="C104" s="7">
        <f>Table1[[#This Row],[Net Sales]] * 0.2</f>
        <v>204.09135000000001</v>
      </c>
      <c r="D104" t="s">
        <v>19</v>
      </c>
      <c r="E104" t="s">
        <v>28</v>
      </c>
      <c r="F104">
        <v>6</v>
      </c>
      <c r="G104">
        <v>188.45</v>
      </c>
      <c r="H104" t="s">
        <v>33</v>
      </c>
      <c r="I104" t="s">
        <v>35</v>
      </c>
      <c r="J104" s="3">
        <v>0.05</v>
      </c>
      <c r="K104" t="s">
        <v>38</v>
      </c>
      <c r="L104">
        <v>1074.165</v>
      </c>
      <c r="M104" t="s">
        <v>44</v>
      </c>
      <c r="O104">
        <v>0</v>
      </c>
      <c r="P104" t="s">
        <v>153</v>
      </c>
      <c r="Q104" t="s">
        <v>1653</v>
      </c>
      <c r="R104">
        <v>6.77</v>
      </c>
      <c r="S104" s="5">
        <v>45530</v>
      </c>
      <c r="T104" s="5">
        <v>45536</v>
      </c>
      <c r="U104" t="s">
        <v>2922</v>
      </c>
    </row>
    <row r="105" spans="1:21" x14ac:dyDescent="0.25">
      <c r="A105" s="5">
        <v>45480</v>
      </c>
      <c r="B105" s="7">
        <f>Table1[[#This Row],[TotalPrice]] * (1 - Table1[[#This Row],[Discount]])</f>
        <v>1698.6</v>
      </c>
      <c r="C105" s="7">
        <f>Table1[[#This Row],[Net Sales]] * 0.2</f>
        <v>339.72</v>
      </c>
      <c r="D105" t="s">
        <v>21</v>
      </c>
      <c r="E105" t="s">
        <v>26</v>
      </c>
      <c r="F105">
        <v>3</v>
      </c>
      <c r="G105">
        <v>566.20000000000005</v>
      </c>
      <c r="H105" t="s">
        <v>34</v>
      </c>
      <c r="I105" t="s">
        <v>36</v>
      </c>
      <c r="J105" s="3">
        <v>0</v>
      </c>
      <c r="K105" t="s">
        <v>42</v>
      </c>
      <c r="L105">
        <v>1698.6</v>
      </c>
      <c r="M105" t="s">
        <v>44</v>
      </c>
      <c r="N105" t="s">
        <v>48</v>
      </c>
      <c r="O105">
        <v>1</v>
      </c>
      <c r="P105" t="s">
        <v>154</v>
      </c>
      <c r="Q105" t="s">
        <v>1654</v>
      </c>
      <c r="R105">
        <v>28.97</v>
      </c>
      <c r="S105" s="5">
        <v>45480</v>
      </c>
      <c r="T105" s="5">
        <v>45490</v>
      </c>
      <c r="U105" t="s">
        <v>2924</v>
      </c>
    </row>
    <row r="106" spans="1:21" x14ac:dyDescent="0.25">
      <c r="A106" s="5">
        <v>45198</v>
      </c>
      <c r="B106" s="7">
        <f>Table1[[#This Row],[TotalPrice]] * (1 - Table1[[#This Row],[Discount]])</f>
        <v>2111.1821500000001</v>
      </c>
      <c r="C106" s="7">
        <f>Table1[[#This Row],[Net Sales]] * 0.2</f>
        <v>422.23643000000004</v>
      </c>
      <c r="D106" t="s">
        <v>19</v>
      </c>
      <c r="E106" t="s">
        <v>28</v>
      </c>
      <c r="F106">
        <v>14</v>
      </c>
      <c r="G106">
        <v>167.09</v>
      </c>
      <c r="H106" t="s">
        <v>34</v>
      </c>
      <c r="I106" t="s">
        <v>36</v>
      </c>
      <c r="J106" s="3">
        <v>0.05</v>
      </c>
      <c r="K106" t="s">
        <v>38</v>
      </c>
      <c r="L106">
        <v>2222.297</v>
      </c>
      <c r="M106" t="s">
        <v>44</v>
      </c>
      <c r="N106" t="s">
        <v>49</v>
      </c>
      <c r="O106">
        <v>1</v>
      </c>
      <c r="P106" t="s">
        <v>155</v>
      </c>
      <c r="Q106" t="s">
        <v>1655</v>
      </c>
      <c r="R106">
        <v>47.05</v>
      </c>
      <c r="S106" s="5">
        <v>45198</v>
      </c>
      <c r="T106" s="5">
        <v>45207</v>
      </c>
      <c r="U106" t="s">
        <v>2922</v>
      </c>
    </row>
    <row r="107" spans="1:21" x14ac:dyDescent="0.25">
      <c r="A107" s="5">
        <v>45203</v>
      </c>
      <c r="B107" s="7">
        <f>Table1[[#This Row],[TotalPrice]] * (1 - Table1[[#This Row],[Discount]])</f>
        <v>468.63359999999994</v>
      </c>
      <c r="C107" s="7">
        <f>Table1[[#This Row],[Net Sales]] * 0.2</f>
        <v>93.72672</v>
      </c>
      <c r="D107" t="s">
        <v>23</v>
      </c>
      <c r="E107" t="s">
        <v>28</v>
      </c>
      <c r="F107">
        <v>16</v>
      </c>
      <c r="G107">
        <v>36.159999999999997</v>
      </c>
      <c r="H107" t="s">
        <v>33</v>
      </c>
      <c r="I107" t="s">
        <v>35</v>
      </c>
      <c r="J107" s="3">
        <v>0.1</v>
      </c>
      <c r="K107" t="s">
        <v>40</v>
      </c>
      <c r="L107">
        <v>520.70399999999995</v>
      </c>
      <c r="M107" t="s">
        <v>46</v>
      </c>
      <c r="N107" t="s">
        <v>48</v>
      </c>
      <c r="O107">
        <v>0</v>
      </c>
      <c r="P107" t="s">
        <v>156</v>
      </c>
      <c r="Q107" t="s">
        <v>1656</v>
      </c>
      <c r="R107">
        <v>26.64</v>
      </c>
      <c r="S107" s="5">
        <v>45203</v>
      </c>
      <c r="T107" s="5">
        <v>45210</v>
      </c>
      <c r="U107" t="s">
        <v>2926</v>
      </c>
    </row>
    <row r="108" spans="1:21" x14ac:dyDescent="0.25">
      <c r="A108" s="5">
        <v>45817</v>
      </c>
      <c r="B108" s="7">
        <f>Table1[[#This Row],[TotalPrice]] * (1 - Table1[[#This Row],[Discount]])</f>
        <v>133.46169999999998</v>
      </c>
      <c r="C108" s="7">
        <f>Table1[[#This Row],[Net Sales]] * 0.2</f>
        <v>26.692339999999998</v>
      </c>
      <c r="D108" t="s">
        <v>22</v>
      </c>
      <c r="E108" t="s">
        <v>30</v>
      </c>
      <c r="F108">
        <v>2</v>
      </c>
      <c r="G108">
        <v>73.94</v>
      </c>
      <c r="H108" t="s">
        <v>31</v>
      </c>
      <c r="I108" t="s">
        <v>35</v>
      </c>
      <c r="J108" s="3">
        <v>0.05</v>
      </c>
      <c r="K108" t="s">
        <v>40</v>
      </c>
      <c r="L108">
        <v>140.48599999999999</v>
      </c>
      <c r="M108" t="s">
        <v>46</v>
      </c>
      <c r="N108" t="s">
        <v>49</v>
      </c>
      <c r="O108">
        <v>0</v>
      </c>
      <c r="P108" t="s">
        <v>157</v>
      </c>
      <c r="Q108" t="s">
        <v>1657</v>
      </c>
      <c r="R108">
        <v>28.05</v>
      </c>
      <c r="S108" s="5">
        <v>45817</v>
      </c>
      <c r="T108" s="5">
        <v>45824</v>
      </c>
      <c r="U108" t="s">
        <v>2925</v>
      </c>
    </row>
    <row r="109" spans="1:21" x14ac:dyDescent="0.25">
      <c r="A109" s="5">
        <v>45820</v>
      </c>
      <c r="B109" s="7">
        <f>Table1[[#This Row],[TotalPrice]] * (1 - Table1[[#This Row],[Discount]])</f>
        <v>5954.9903999999997</v>
      </c>
      <c r="C109" s="7">
        <f>Table1[[#This Row],[Net Sales]] * 0.2</f>
        <v>1190.9980800000001</v>
      </c>
      <c r="D109" t="s">
        <v>19</v>
      </c>
      <c r="E109" t="s">
        <v>30</v>
      </c>
      <c r="F109">
        <v>16</v>
      </c>
      <c r="G109">
        <v>459.49</v>
      </c>
      <c r="H109" t="s">
        <v>32</v>
      </c>
      <c r="I109" t="s">
        <v>35</v>
      </c>
      <c r="J109" s="3">
        <v>0.1</v>
      </c>
      <c r="K109" t="s">
        <v>37</v>
      </c>
      <c r="L109">
        <v>6616.6559999999999</v>
      </c>
      <c r="M109" t="s">
        <v>43</v>
      </c>
      <c r="N109" t="s">
        <v>49</v>
      </c>
      <c r="O109">
        <v>0</v>
      </c>
      <c r="P109" t="s">
        <v>158</v>
      </c>
      <c r="Q109" t="s">
        <v>1658</v>
      </c>
      <c r="R109">
        <v>26.99</v>
      </c>
      <c r="S109" s="5">
        <v>45820</v>
      </c>
      <c r="T109" s="5">
        <v>45822</v>
      </c>
      <c r="U109" t="s">
        <v>2922</v>
      </c>
    </row>
    <row r="110" spans="1:21" x14ac:dyDescent="0.25">
      <c r="A110" s="5">
        <v>45472</v>
      </c>
      <c r="B110" s="7">
        <f>Table1[[#This Row],[TotalPrice]] * (1 - Table1[[#This Row],[Discount]])</f>
        <v>504.15</v>
      </c>
      <c r="C110" s="7">
        <f>Table1[[#This Row],[Net Sales]] * 0.2</f>
        <v>100.83</v>
      </c>
      <c r="D110" t="s">
        <v>19</v>
      </c>
      <c r="E110" t="s">
        <v>27</v>
      </c>
      <c r="F110">
        <v>3</v>
      </c>
      <c r="G110">
        <v>168.05</v>
      </c>
      <c r="H110" t="s">
        <v>32</v>
      </c>
      <c r="I110" t="s">
        <v>36</v>
      </c>
      <c r="J110" s="3">
        <v>0</v>
      </c>
      <c r="K110" t="s">
        <v>40</v>
      </c>
      <c r="L110">
        <v>504.15</v>
      </c>
      <c r="M110" t="s">
        <v>47</v>
      </c>
      <c r="O110">
        <v>1</v>
      </c>
      <c r="P110" t="s">
        <v>159</v>
      </c>
      <c r="Q110" t="s">
        <v>1659</v>
      </c>
      <c r="R110">
        <v>21.08</v>
      </c>
      <c r="S110" s="5">
        <v>45472</v>
      </c>
      <c r="T110" s="5">
        <v>45479</v>
      </c>
      <c r="U110" t="s">
        <v>2922</v>
      </c>
    </row>
    <row r="111" spans="1:21" x14ac:dyDescent="0.25">
      <c r="A111" s="5">
        <v>45374</v>
      </c>
      <c r="B111" s="7">
        <f>Table1[[#This Row],[TotalPrice]] * (1 - Table1[[#This Row],[Discount]])</f>
        <v>379.7170999999999</v>
      </c>
      <c r="C111" s="7">
        <f>Table1[[#This Row],[Net Sales]] * 0.2</f>
        <v>75.943419999999989</v>
      </c>
      <c r="D111" t="s">
        <v>21</v>
      </c>
      <c r="E111" t="s">
        <v>30</v>
      </c>
      <c r="F111">
        <v>14</v>
      </c>
      <c r="G111">
        <v>37.54</v>
      </c>
      <c r="H111" t="s">
        <v>31</v>
      </c>
      <c r="I111" t="s">
        <v>36</v>
      </c>
      <c r="J111" s="3">
        <v>0.15</v>
      </c>
      <c r="K111" t="s">
        <v>38</v>
      </c>
      <c r="L111">
        <v>446.72599999999989</v>
      </c>
      <c r="M111" t="s">
        <v>45</v>
      </c>
      <c r="O111">
        <v>1</v>
      </c>
      <c r="P111" t="s">
        <v>160</v>
      </c>
      <c r="Q111" t="s">
        <v>1660</v>
      </c>
      <c r="R111">
        <v>49.6</v>
      </c>
      <c r="S111" s="5">
        <v>45374</v>
      </c>
      <c r="T111" s="5">
        <v>45384</v>
      </c>
      <c r="U111" t="s">
        <v>2924</v>
      </c>
    </row>
    <row r="112" spans="1:21" x14ac:dyDescent="0.25">
      <c r="A112" s="5">
        <v>45487</v>
      </c>
      <c r="B112" s="7">
        <f>Table1[[#This Row],[TotalPrice]] * (1 - Table1[[#This Row],[Discount]])</f>
        <v>604.64</v>
      </c>
      <c r="C112" s="7">
        <f>Table1[[#This Row],[Net Sales]] * 0.2</f>
        <v>120.928</v>
      </c>
      <c r="D112" t="s">
        <v>20</v>
      </c>
      <c r="E112" t="s">
        <v>29</v>
      </c>
      <c r="F112">
        <v>4</v>
      </c>
      <c r="G112">
        <v>151.16</v>
      </c>
      <c r="H112" t="s">
        <v>31</v>
      </c>
      <c r="I112" t="s">
        <v>35</v>
      </c>
      <c r="J112" s="3">
        <v>0</v>
      </c>
      <c r="K112" t="s">
        <v>38</v>
      </c>
      <c r="L112">
        <v>604.64</v>
      </c>
      <c r="M112" t="s">
        <v>44</v>
      </c>
      <c r="N112" t="s">
        <v>49</v>
      </c>
      <c r="O112">
        <v>1</v>
      </c>
      <c r="P112" t="s">
        <v>161</v>
      </c>
      <c r="Q112" t="s">
        <v>1661</v>
      </c>
      <c r="R112">
        <v>41.4</v>
      </c>
      <c r="S112" s="5">
        <v>45487</v>
      </c>
      <c r="T112" s="5">
        <v>45494</v>
      </c>
      <c r="U112" t="s">
        <v>2923</v>
      </c>
    </row>
    <row r="113" spans="1:21" x14ac:dyDescent="0.25">
      <c r="A113" s="5">
        <v>45366</v>
      </c>
      <c r="B113" s="7">
        <f>Table1[[#This Row],[TotalPrice]] * (1 - Table1[[#This Row],[Discount]])</f>
        <v>1082.0465999999999</v>
      </c>
      <c r="C113" s="7">
        <f>Table1[[#This Row],[Net Sales]] * 0.2</f>
        <v>216.40931999999998</v>
      </c>
      <c r="D113" t="s">
        <v>20</v>
      </c>
      <c r="E113" t="s">
        <v>29</v>
      </c>
      <c r="F113">
        <v>17</v>
      </c>
      <c r="G113">
        <v>78.58</v>
      </c>
      <c r="H113" t="s">
        <v>32</v>
      </c>
      <c r="I113" t="s">
        <v>35</v>
      </c>
      <c r="J113" s="3">
        <v>0.1</v>
      </c>
      <c r="K113" t="s">
        <v>42</v>
      </c>
      <c r="L113">
        <v>1202.2739999999999</v>
      </c>
      <c r="M113" t="s">
        <v>44</v>
      </c>
      <c r="N113" t="s">
        <v>50</v>
      </c>
      <c r="O113">
        <v>0</v>
      </c>
      <c r="P113" t="s">
        <v>162</v>
      </c>
      <c r="Q113" t="s">
        <v>1662</v>
      </c>
      <c r="R113">
        <v>8.02</v>
      </c>
      <c r="S113" s="5">
        <v>45366</v>
      </c>
      <c r="T113" s="5">
        <v>45376</v>
      </c>
      <c r="U113" t="s">
        <v>2923</v>
      </c>
    </row>
    <row r="114" spans="1:21" x14ac:dyDescent="0.25">
      <c r="A114" s="5">
        <v>45766</v>
      </c>
      <c r="B114" s="7">
        <f>Table1[[#This Row],[TotalPrice]] * (1 - Table1[[#This Row],[Discount]])</f>
        <v>505.35487499999988</v>
      </c>
      <c r="C114" s="7">
        <f>Table1[[#This Row],[Net Sales]] * 0.2</f>
        <v>101.07097499999998</v>
      </c>
      <c r="D114" t="s">
        <v>22</v>
      </c>
      <c r="E114" t="s">
        <v>27</v>
      </c>
      <c r="F114">
        <v>15</v>
      </c>
      <c r="G114">
        <v>37.33</v>
      </c>
      <c r="H114" t="s">
        <v>31</v>
      </c>
      <c r="I114" t="s">
        <v>36</v>
      </c>
      <c r="J114" s="3">
        <v>0.05</v>
      </c>
      <c r="K114" t="s">
        <v>40</v>
      </c>
      <c r="L114">
        <v>531.95249999999987</v>
      </c>
      <c r="M114" t="s">
        <v>47</v>
      </c>
      <c r="O114">
        <v>1</v>
      </c>
      <c r="P114" t="s">
        <v>163</v>
      </c>
      <c r="Q114" t="s">
        <v>1663</v>
      </c>
      <c r="R114">
        <v>43.69</v>
      </c>
      <c r="S114" s="5">
        <v>45766</v>
      </c>
      <c r="T114" s="5">
        <v>45771</v>
      </c>
      <c r="U114" t="s">
        <v>2925</v>
      </c>
    </row>
    <row r="115" spans="1:21" x14ac:dyDescent="0.25">
      <c r="A115" s="5">
        <v>45337</v>
      </c>
      <c r="B115" s="7">
        <f>Table1[[#This Row],[TotalPrice]] * (1 - Table1[[#This Row],[Discount]])</f>
        <v>6983.9451000000008</v>
      </c>
      <c r="C115" s="7">
        <f>Table1[[#This Row],[Net Sales]] * 0.2</f>
        <v>1396.7890200000002</v>
      </c>
      <c r="D115" t="s">
        <v>23</v>
      </c>
      <c r="E115" t="s">
        <v>29</v>
      </c>
      <c r="F115">
        <v>18</v>
      </c>
      <c r="G115">
        <v>537.02</v>
      </c>
      <c r="H115" t="s">
        <v>32</v>
      </c>
      <c r="I115" t="s">
        <v>35</v>
      </c>
      <c r="J115" s="3">
        <v>0.15</v>
      </c>
      <c r="K115" t="s">
        <v>40</v>
      </c>
      <c r="L115">
        <v>8216.4060000000009</v>
      </c>
      <c r="M115" t="s">
        <v>46</v>
      </c>
      <c r="N115" t="s">
        <v>49</v>
      </c>
      <c r="O115">
        <v>0</v>
      </c>
      <c r="P115" t="s">
        <v>164</v>
      </c>
      <c r="Q115" t="s">
        <v>1664</v>
      </c>
      <c r="R115">
        <v>23.94</v>
      </c>
      <c r="S115" s="5">
        <v>45337</v>
      </c>
      <c r="T115" s="5">
        <v>45342</v>
      </c>
      <c r="U115" t="s">
        <v>2926</v>
      </c>
    </row>
    <row r="116" spans="1:21" x14ac:dyDescent="0.25">
      <c r="A116" s="5">
        <v>45316</v>
      </c>
      <c r="B116" s="7">
        <f>Table1[[#This Row],[TotalPrice]] * (1 - Table1[[#This Row],[Discount]])</f>
        <v>1078</v>
      </c>
      <c r="C116" s="7">
        <f>Table1[[#This Row],[Net Sales]] * 0.2</f>
        <v>215.60000000000002</v>
      </c>
      <c r="D116" t="s">
        <v>19</v>
      </c>
      <c r="E116" t="s">
        <v>26</v>
      </c>
      <c r="F116">
        <v>5</v>
      </c>
      <c r="G116">
        <v>215.6</v>
      </c>
      <c r="H116" t="s">
        <v>33</v>
      </c>
      <c r="I116" t="s">
        <v>35</v>
      </c>
      <c r="J116" s="3">
        <v>0</v>
      </c>
      <c r="K116" t="s">
        <v>39</v>
      </c>
      <c r="L116">
        <v>1078</v>
      </c>
      <c r="M116" t="s">
        <v>43</v>
      </c>
      <c r="N116" t="s">
        <v>50</v>
      </c>
      <c r="O116">
        <v>0</v>
      </c>
      <c r="P116" t="s">
        <v>165</v>
      </c>
      <c r="Q116" t="s">
        <v>1665</v>
      </c>
      <c r="R116">
        <v>28.36</v>
      </c>
      <c r="S116" s="5">
        <v>45316</v>
      </c>
      <c r="T116" s="5">
        <v>45326</v>
      </c>
      <c r="U116" t="s">
        <v>2922</v>
      </c>
    </row>
    <row r="117" spans="1:21" x14ac:dyDescent="0.25">
      <c r="A117" s="5">
        <v>45762</v>
      </c>
      <c r="B117" s="7">
        <f>Table1[[#This Row],[TotalPrice]] * (1 - Table1[[#This Row],[Discount]])</f>
        <v>3771</v>
      </c>
      <c r="C117" s="7">
        <f>Table1[[#This Row],[Net Sales]] * 0.2</f>
        <v>754.2</v>
      </c>
      <c r="D117" t="s">
        <v>22</v>
      </c>
      <c r="E117" t="s">
        <v>24</v>
      </c>
      <c r="F117">
        <v>18</v>
      </c>
      <c r="G117">
        <v>209.5</v>
      </c>
      <c r="H117" t="s">
        <v>34</v>
      </c>
      <c r="I117" t="s">
        <v>35</v>
      </c>
      <c r="J117" s="3">
        <v>0</v>
      </c>
      <c r="K117" t="s">
        <v>40</v>
      </c>
      <c r="L117">
        <v>3771</v>
      </c>
      <c r="M117" t="s">
        <v>45</v>
      </c>
      <c r="N117" t="s">
        <v>48</v>
      </c>
      <c r="O117">
        <v>0</v>
      </c>
      <c r="P117" t="s">
        <v>166</v>
      </c>
      <c r="Q117" t="s">
        <v>1666</v>
      </c>
      <c r="R117">
        <v>38.229999999999997</v>
      </c>
      <c r="S117" s="5">
        <v>45762</v>
      </c>
      <c r="T117" s="5">
        <v>45770</v>
      </c>
      <c r="U117" t="s">
        <v>2925</v>
      </c>
    </row>
    <row r="118" spans="1:21" x14ac:dyDescent="0.25">
      <c r="A118" s="5">
        <v>45762</v>
      </c>
      <c r="B118" s="7">
        <f>Table1[[#This Row],[TotalPrice]] * (1 - Table1[[#This Row],[Discount]])</f>
        <v>2261.3904000000002</v>
      </c>
      <c r="C118" s="7">
        <f>Table1[[#This Row],[Net Sales]] * 0.2</f>
        <v>452.27808000000005</v>
      </c>
      <c r="D118" t="s">
        <v>22</v>
      </c>
      <c r="E118" t="s">
        <v>27</v>
      </c>
      <c r="F118">
        <v>8</v>
      </c>
      <c r="G118">
        <v>348.98</v>
      </c>
      <c r="H118" t="s">
        <v>32</v>
      </c>
      <c r="I118" t="s">
        <v>36</v>
      </c>
      <c r="J118" s="3">
        <v>0.1</v>
      </c>
      <c r="K118" t="s">
        <v>39</v>
      </c>
      <c r="L118">
        <v>2512.6559999999999</v>
      </c>
      <c r="M118" t="s">
        <v>43</v>
      </c>
      <c r="N118" t="s">
        <v>48</v>
      </c>
      <c r="O118">
        <v>0</v>
      </c>
      <c r="P118" t="s">
        <v>167</v>
      </c>
      <c r="Q118" t="s">
        <v>1667</v>
      </c>
      <c r="R118">
        <v>19.170000000000002</v>
      </c>
      <c r="S118" s="5">
        <v>45762</v>
      </c>
      <c r="T118" s="5">
        <v>45767</v>
      </c>
      <c r="U118" t="s">
        <v>2925</v>
      </c>
    </row>
    <row r="119" spans="1:21" x14ac:dyDescent="0.25">
      <c r="A119" s="5">
        <v>45515</v>
      </c>
      <c r="B119" s="7">
        <f>Table1[[#This Row],[TotalPrice]] * (1 - Table1[[#This Row],[Discount]])</f>
        <v>521.89769999999999</v>
      </c>
      <c r="C119" s="7">
        <f>Table1[[#This Row],[Net Sales]] * 0.2</f>
        <v>104.37954000000001</v>
      </c>
      <c r="D119" t="s">
        <v>23</v>
      </c>
      <c r="E119" t="s">
        <v>30</v>
      </c>
      <c r="F119">
        <v>2</v>
      </c>
      <c r="G119">
        <v>289.14</v>
      </c>
      <c r="H119" t="s">
        <v>33</v>
      </c>
      <c r="I119" t="s">
        <v>36</v>
      </c>
      <c r="J119" s="3">
        <v>0.05</v>
      </c>
      <c r="K119" t="s">
        <v>41</v>
      </c>
      <c r="L119">
        <v>549.36599999999999</v>
      </c>
      <c r="M119" t="s">
        <v>43</v>
      </c>
      <c r="N119" t="s">
        <v>49</v>
      </c>
      <c r="O119">
        <v>0</v>
      </c>
      <c r="P119" t="s">
        <v>168</v>
      </c>
      <c r="Q119" t="s">
        <v>1668</v>
      </c>
      <c r="R119">
        <v>5.13</v>
      </c>
      <c r="S119" s="5">
        <v>45515</v>
      </c>
      <c r="T119" s="5">
        <v>45517</v>
      </c>
      <c r="U119" t="s">
        <v>2926</v>
      </c>
    </row>
    <row r="120" spans="1:21" x14ac:dyDescent="0.25">
      <c r="A120" s="5">
        <v>45261</v>
      </c>
      <c r="B120" s="7">
        <f>Table1[[#This Row],[TotalPrice]] * (1 - Table1[[#This Row],[Discount]])</f>
        <v>1984.65</v>
      </c>
      <c r="C120" s="7">
        <f>Table1[[#This Row],[Net Sales]] * 0.2</f>
        <v>396.93000000000006</v>
      </c>
      <c r="D120" t="s">
        <v>20</v>
      </c>
      <c r="E120" t="s">
        <v>26</v>
      </c>
      <c r="F120">
        <v>5</v>
      </c>
      <c r="G120">
        <v>396.93</v>
      </c>
      <c r="H120" t="s">
        <v>31</v>
      </c>
      <c r="I120" t="s">
        <v>35</v>
      </c>
      <c r="J120" s="3">
        <v>0</v>
      </c>
      <c r="K120" t="s">
        <v>41</v>
      </c>
      <c r="L120">
        <v>1984.65</v>
      </c>
      <c r="M120" t="s">
        <v>45</v>
      </c>
      <c r="N120" t="s">
        <v>48</v>
      </c>
      <c r="O120">
        <v>0</v>
      </c>
      <c r="P120" t="s">
        <v>169</v>
      </c>
      <c r="Q120" t="s">
        <v>1669</v>
      </c>
      <c r="R120">
        <v>48.63</v>
      </c>
      <c r="S120" s="5">
        <v>45261</v>
      </c>
      <c r="T120" s="5">
        <v>45268</v>
      </c>
      <c r="U120" t="s">
        <v>2923</v>
      </c>
    </row>
    <row r="121" spans="1:21" x14ac:dyDescent="0.25">
      <c r="A121" s="5">
        <v>45144</v>
      </c>
      <c r="B121" s="7">
        <f>Table1[[#This Row],[TotalPrice]] * (1 - Table1[[#This Row],[Discount]])</f>
        <v>4589.8442500000001</v>
      </c>
      <c r="C121" s="7">
        <f>Table1[[#This Row],[Net Sales]] * 0.2</f>
        <v>917.96885000000009</v>
      </c>
      <c r="D121" t="s">
        <v>22</v>
      </c>
      <c r="E121" t="s">
        <v>24</v>
      </c>
      <c r="F121">
        <v>10</v>
      </c>
      <c r="G121">
        <v>508.57</v>
      </c>
      <c r="H121" t="s">
        <v>34</v>
      </c>
      <c r="I121" t="s">
        <v>36</v>
      </c>
      <c r="J121" s="3">
        <v>0.05</v>
      </c>
      <c r="K121" t="s">
        <v>42</v>
      </c>
      <c r="L121">
        <v>4831.415</v>
      </c>
      <c r="M121" t="s">
        <v>43</v>
      </c>
      <c r="N121" t="s">
        <v>49</v>
      </c>
      <c r="O121">
        <v>0</v>
      </c>
      <c r="P121" t="s">
        <v>170</v>
      </c>
      <c r="Q121" t="s">
        <v>1670</v>
      </c>
      <c r="R121">
        <v>9.35</v>
      </c>
      <c r="S121" s="5">
        <v>45144</v>
      </c>
      <c r="T121" s="5">
        <v>45149</v>
      </c>
      <c r="U121" t="s">
        <v>2925</v>
      </c>
    </row>
    <row r="122" spans="1:21" x14ac:dyDescent="0.25">
      <c r="A122" s="5">
        <v>45315</v>
      </c>
      <c r="B122" s="7">
        <f>Table1[[#This Row],[TotalPrice]] * (1 - Table1[[#This Row],[Discount]])</f>
        <v>2313.1251000000002</v>
      </c>
      <c r="C122" s="7">
        <f>Table1[[#This Row],[Net Sales]] * 0.2</f>
        <v>462.62502000000006</v>
      </c>
      <c r="D122" t="s">
        <v>22</v>
      </c>
      <c r="E122" t="s">
        <v>24</v>
      </c>
      <c r="F122">
        <v>11</v>
      </c>
      <c r="G122">
        <v>259.61</v>
      </c>
      <c r="H122" t="s">
        <v>33</v>
      </c>
      <c r="I122" t="s">
        <v>35</v>
      </c>
      <c r="J122" s="3">
        <v>0.1</v>
      </c>
      <c r="K122" t="s">
        <v>40</v>
      </c>
      <c r="L122">
        <v>2570.1390000000001</v>
      </c>
      <c r="M122" t="s">
        <v>47</v>
      </c>
      <c r="N122" t="s">
        <v>48</v>
      </c>
      <c r="O122">
        <v>0</v>
      </c>
      <c r="P122" t="s">
        <v>171</v>
      </c>
      <c r="Q122" t="s">
        <v>1671</v>
      </c>
      <c r="R122">
        <v>13.73</v>
      </c>
      <c r="S122" s="5">
        <v>45315</v>
      </c>
      <c r="T122" s="5">
        <v>45322</v>
      </c>
      <c r="U122" t="s">
        <v>2925</v>
      </c>
    </row>
    <row r="123" spans="1:21" x14ac:dyDescent="0.25">
      <c r="A123" s="5">
        <v>45358</v>
      </c>
      <c r="B123" s="7">
        <f>Table1[[#This Row],[TotalPrice]] * (1 - Table1[[#This Row],[Discount]])</f>
        <v>2819.61</v>
      </c>
      <c r="C123" s="7">
        <f>Table1[[#This Row],[Net Sales]] * 0.2</f>
        <v>563.92200000000003</v>
      </c>
      <c r="D123" t="s">
        <v>22</v>
      </c>
      <c r="E123" t="s">
        <v>27</v>
      </c>
      <c r="F123">
        <v>9</v>
      </c>
      <c r="G123">
        <v>313.29000000000002</v>
      </c>
      <c r="H123" t="s">
        <v>34</v>
      </c>
      <c r="I123" t="s">
        <v>36</v>
      </c>
      <c r="J123" s="3">
        <v>0</v>
      </c>
      <c r="K123" t="s">
        <v>40</v>
      </c>
      <c r="L123">
        <v>2819.61</v>
      </c>
      <c r="M123" t="s">
        <v>43</v>
      </c>
      <c r="N123" t="s">
        <v>48</v>
      </c>
      <c r="O123">
        <v>0</v>
      </c>
      <c r="P123" t="s">
        <v>172</v>
      </c>
      <c r="Q123" t="s">
        <v>1672</v>
      </c>
      <c r="R123">
        <v>14.04</v>
      </c>
      <c r="S123" s="5">
        <v>45358</v>
      </c>
      <c r="T123" s="5">
        <v>45364</v>
      </c>
      <c r="U123" t="s">
        <v>2925</v>
      </c>
    </row>
    <row r="124" spans="1:21" x14ac:dyDescent="0.25">
      <c r="A124" s="5">
        <v>45313</v>
      </c>
      <c r="B124" s="7">
        <f>Table1[[#This Row],[TotalPrice]] * (1 - Table1[[#This Row],[Discount]])</f>
        <v>431.60849999999988</v>
      </c>
      <c r="C124" s="7">
        <f>Table1[[#This Row],[Net Sales]] * 0.2</f>
        <v>86.321699999999979</v>
      </c>
      <c r="D124" t="s">
        <v>20</v>
      </c>
      <c r="E124" t="s">
        <v>29</v>
      </c>
      <c r="F124">
        <v>5</v>
      </c>
      <c r="G124">
        <v>106.57</v>
      </c>
      <c r="H124" t="s">
        <v>33</v>
      </c>
      <c r="I124" t="s">
        <v>35</v>
      </c>
      <c r="J124" s="3">
        <v>0.1</v>
      </c>
      <c r="K124" t="s">
        <v>40</v>
      </c>
      <c r="L124">
        <v>479.56499999999988</v>
      </c>
      <c r="M124" t="s">
        <v>46</v>
      </c>
      <c r="N124" t="s">
        <v>49</v>
      </c>
      <c r="O124">
        <v>1</v>
      </c>
      <c r="P124" t="s">
        <v>173</v>
      </c>
      <c r="Q124" t="s">
        <v>1673</v>
      </c>
      <c r="R124">
        <v>25.24</v>
      </c>
      <c r="S124" s="5">
        <v>45313</v>
      </c>
      <c r="T124" s="5">
        <v>45319</v>
      </c>
      <c r="U124" t="s">
        <v>2923</v>
      </c>
    </row>
    <row r="125" spans="1:21" x14ac:dyDescent="0.25">
      <c r="A125" s="5">
        <v>44980</v>
      </c>
      <c r="B125" s="7">
        <f>Table1[[#This Row],[TotalPrice]] * (1 - Table1[[#This Row],[Discount]])</f>
        <v>78.752499999999998</v>
      </c>
      <c r="C125" s="7">
        <f>Table1[[#This Row],[Net Sales]] * 0.2</f>
        <v>15.750500000000001</v>
      </c>
      <c r="D125" t="s">
        <v>19</v>
      </c>
      <c r="E125" t="s">
        <v>30</v>
      </c>
      <c r="F125">
        <v>1</v>
      </c>
      <c r="G125">
        <v>109</v>
      </c>
      <c r="H125" t="s">
        <v>31</v>
      </c>
      <c r="I125" t="s">
        <v>36</v>
      </c>
      <c r="J125" s="3">
        <v>0.15</v>
      </c>
      <c r="K125" t="s">
        <v>39</v>
      </c>
      <c r="L125">
        <v>92.649999999999991</v>
      </c>
      <c r="M125" t="s">
        <v>47</v>
      </c>
      <c r="N125" t="s">
        <v>50</v>
      </c>
      <c r="O125">
        <v>1</v>
      </c>
      <c r="P125" t="s">
        <v>174</v>
      </c>
      <c r="Q125" t="s">
        <v>1674</v>
      </c>
      <c r="R125">
        <v>8.0299999999999994</v>
      </c>
      <c r="S125" s="5">
        <v>44980</v>
      </c>
      <c r="T125" s="5">
        <v>44984</v>
      </c>
      <c r="U125" t="s">
        <v>2922</v>
      </c>
    </row>
    <row r="126" spans="1:21" x14ac:dyDescent="0.25">
      <c r="A126" s="5">
        <v>45091</v>
      </c>
      <c r="B126" s="7">
        <f>Table1[[#This Row],[TotalPrice]] * (1 - Table1[[#This Row],[Discount]])</f>
        <v>2590.4</v>
      </c>
      <c r="C126" s="7">
        <f>Table1[[#This Row],[Net Sales]] * 0.2</f>
        <v>518.08000000000004</v>
      </c>
      <c r="D126" t="s">
        <v>21</v>
      </c>
      <c r="E126" t="s">
        <v>29</v>
      </c>
      <c r="F126">
        <v>8</v>
      </c>
      <c r="G126">
        <v>323.8</v>
      </c>
      <c r="H126" t="s">
        <v>31</v>
      </c>
      <c r="I126" t="s">
        <v>36</v>
      </c>
      <c r="J126" s="3">
        <v>0</v>
      </c>
      <c r="K126" t="s">
        <v>41</v>
      </c>
      <c r="L126">
        <v>2590.4</v>
      </c>
      <c r="M126" t="s">
        <v>47</v>
      </c>
      <c r="N126" t="s">
        <v>49</v>
      </c>
      <c r="O126">
        <v>1</v>
      </c>
      <c r="P126" t="s">
        <v>175</v>
      </c>
      <c r="Q126" t="s">
        <v>1675</v>
      </c>
      <c r="R126">
        <v>35.229999999999997</v>
      </c>
      <c r="S126" s="5">
        <v>45091</v>
      </c>
      <c r="T126" s="5">
        <v>45099</v>
      </c>
      <c r="U126" t="s">
        <v>2924</v>
      </c>
    </row>
    <row r="127" spans="1:21" x14ac:dyDescent="0.25">
      <c r="A127" s="5">
        <v>45790</v>
      </c>
      <c r="B127" s="7">
        <f>Table1[[#This Row],[TotalPrice]] * (1 - Table1[[#This Row],[Discount]])</f>
        <v>5549.5807999999997</v>
      </c>
      <c r="C127" s="7">
        <f>Table1[[#This Row],[Net Sales]] * 0.2</f>
        <v>1109.91616</v>
      </c>
      <c r="D127" t="s">
        <v>21</v>
      </c>
      <c r="E127" t="s">
        <v>24</v>
      </c>
      <c r="F127">
        <v>16</v>
      </c>
      <c r="G127">
        <v>384.32</v>
      </c>
      <c r="H127" t="s">
        <v>32</v>
      </c>
      <c r="I127" t="s">
        <v>36</v>
      </c>
      <c r="J127" s="3">
        <v>0.05</v>
      </c>
      <c r="K127" t="s">
        <v>39</v>
      </c>
      <c r="L127">
        <v>5841.6639999999998</v>
      </c>
      <c r="M127" t="s">
        <v>47</v>
      </c>
      <c r="N127" t="s">
        <v>48</v>
      </c>
      <c r="O127">
        <v>0</v>
      </c>
      <c r="P127" t="s">
        <v>176</v>
      </c>
      <c r="Q127" t="s">
        <v>1676</v>
      </c>
      <c r="R127">
        <v>21.5</v>
      </c>
      <c r="S127" s="5">
        <v>45790</v>
      </c>
      <c r="T127" s="5">
        <v>45792</v>
      </c>
      <c r="U127" t="s">
        <v>2924</v>
      </c>
    </row>
    <row r="128" spans="1:21" x14ac:dyDescent="0.25">
      <c r="A128" s="5">
        <v>45503</v>
      </c>
      <c r="B128" s="7">
        <f>Table1[[#This Row],[TotalPrice]] * (1 - Table1[[#This Row],[Discount]])</f>
        <v>1894.2216000000001</v>
      </c>
      <c r="C128" s="7">
        <f>Table1[[#This Row],[Net Sales]] * 0.2</f>
        <v>378.84432000000004</v>
      </c>
      <c r="D128" t="s">
        <v>22</v>
      </c>
      <c r="E128" t="s">
        <v>30</v>
      </c>
      <c r="F128">
        <v>16</v>
      </c>
      <c r="G128">
        <v>163.86</v>
      </c>
      <c r="H128" t="s">
        <v>33</v>
      </c>
      <c r="I128" t="s">
        <v>36</v>
      </c>
      <c r="J128" s="3">
        <v>0.15</v>
      </c>
      <c r="K128" t="s">
        <v>41</v>
      </c>
      <c r="L128">
        <v>2228.4960000000001</v>
      </c>
      <c r="M128" t="s">
        <v>44</v>
      </c>
      <c r="N128" t="s">
        <v>48</v>
      </c>
      <c r="O128">
        <v>0</v>
      </c>
      <c r="P128" t="s">
        <v>177</v>
      </c>
      <c r="Q128" t="s">
        <v>1677</v>
      </c>
      <c r="R128">
        <v>37.950000000000003</v>
      </c>
      <c r="S128" s="5">
        <v>45503</v>
      </c>
      <c r="T128" s="5">
        <v>45510</v>
      </c>
      <c r="U128" t="s">
        <v>2925</v>
      </c>
    </row>
    <row r="129" spans="1:21" x14ac:dyDescent="0.25">
      <c r="A129" s="5">
        <v>45491</v>
      </c>
      <c r="B129" s="7">
        <f>Table1[[#This Row],[TotalPrice]] * (1 - Table1[[#This Row],[Discount]])</f>
        <v>117.05</v>
      </c>
      <c r="C129" s="7">
        <f>Table1[[#This Row],[Net Sales]] * 0.2</f>
        <v>23.41</v>
      </c>
      <c r="D129" t="s">
        <v>19</v>
      </c>
      <c r="E129" t="s">
        <v>29</v>
      </c>
      <c r="F129">
        <v>5</v>
      </c>
      <c r="G129">
        <v>23.41</v>
      </c>
      <c r="H129" t="s">
        <v>31</v>
      </c>
      <c r="I129" t="s">
        <v>35</v>
      </c>
      <c r="J129" s="3">
        <v>0</v>
      </c>
      <c r="K129" t="s">
        <v>39</v>
      </c>
      <c r="L129">
        <v>117.05</v>
      </c>
      <c r="M129" t="s">
        <v>45</v>
      </c>
      <c r="N129" t="s">
        <v>50</v>
      </c>
      <c r="O129">
        <v>0</v>
      </c>
      <c r="P129" t="s">
        <v>178</v>
      </c>
      <c r="Q129" t="s">
        <v>1678</v>
      </c>
      <c r="R129">
        <v>26.44</v>
      </c>
      <c r="S129" s="5">
        <v>45491</v>
      </c>
      <c r="T129" s="5">
        <v>45500</v>
      </c>
      <c r="U129" t="s">
        <v>2922</v>
      </c>
    </row>
    <row r="130" spans="1:21" x14ac:dyDescent="0.25">
      <c r="A130" s="5">
        <v>45530</v>
      </c>
      <c r="B130" s="7">
        <f>Table1[[#This Row],[TotalPrice]] * (1 - Table1[[#This Row],[Discount]])</f>
        <v>7064.6049999999996</v>
      </c>
      <c r="C130" s="7">
        <f>Table1[[#This Row],[Net Sales]] * 0.2</f>
        <v>1412.921</v>
      </c>
      <c r="D130" t="s">
        <v>19</v>
      </c>
      <c r="E130" t="s">
        <v>30</v>
      </c>
      <c r="F130">
        <v>20</v>
      </c>
      <c r="G130">
        <v>488.9</v>
      </c>
      <c r="H130" t="s">
        <v>33</v>
      </c>
      <c r="I130" t="s">
        <v>35</v>
      </c>
      <c r="J130" s="3">
        <v>0.15</v>
      </c>
      <c r="K130" t="s">
        <v>37</v>
      </c>
      <c r="L130">
        <v>8311.2999999999993</v>
      </c>
      <c r="M130" t="s">
        <v>44</v>
      </c>
      <c r="N130" t="s">
        <v>48</v>
      </c>
      <c r="O130">
        <v>0</v>
      </c>
      <c r="P130" t="s">
        <v>179</v>
      </c>
      <c r="Q130" t="s">
        <v>1679</v>
      </c>
      <c r="R130">
        <v>21.77</v>
      </c>
      <c r="S130" s="5">
        <v>45530</v>
      </c>
      <c r="T130" s="5">
        <v>45536</v>
      </c>
      <c r="U130" t="s">
        <v>2922</v>
      </c>
    </row>
    <row r="131" spans="1:21" x14ac:dyDescent="0.25">
      <c r="A131" s="5">
        <v>45816</v>
      </c>
      <c r="B131" s="7">
        <f>Table1[[#This Row],[TotalPrice]] * (1 - Table1[[#This Row],[Discount]])</f>
        <v>2859.0477999999998</v>
      </c>
      <c r="C131" s="7">
        <f>Table1[[#This Row],[Net Sales]] * 0.2</f>
        <v>571.80956000000003</v>
      </c>
      <c r="D131" t="s">
        <v>23</v>
      </c>
      <c r="E131" t="s">
        <v>29</v>
      </c>
      <c r="F131">
        <v>7</v>
      </c>
      <c r="G131">
        <v>452.56</v>
      </c>
      <c r="H131" t="s">
        <v>32</v>
      </c>
      <c r="I131" t="s">
        <v>35</v>
      </c>
      <c r="J131" s="3">
        <v>0.05</v>
      </c>
      <c r="K131" t="s">
        <v>39</v>
      </c>
      <c r="L131">
        <v>3009.5239999999999</v>
      </c>
      <c r="M131" t="s">
        <v>44</v>
      </c>
      <c r="N131" t="s">
        <v>48</v>
      </c>
      <c r="O131">
        <v>0</v>
      </c>
      <c r="P131" t="s">
        <v>180</v>
      </c>
      <c r="Q131" t="s">
        <v>1680</v>
      </c>
      <c r="R131">
        <v>46.97</v>
      </c>
      <c r="S131" s="5">
        <v>45816</v>
      </c>
      <c r="T131" s="5">
        <v>45823</v>
      </c>
      <c r="U131" t="s">
        <v>2926</v>
      </c>
    </row>
    <row r="132" spans="1:21" x14ac:dyDescent="0.25">
      <c r="A132" s="5">
        <v>45793</v>
      </c>
      <c r="B132" s="7">
        <f>Table1[[#This Row],[TotalPrice]] * (1 - Table1[[#This Row],[Discount]])</f>
        <v>5117.6400000000003</v>
      </c>
      <c r="C132" s="7">
        <f>Table1[[#This Row],[Net Sales]] * 0.2</f>
        <v>1023.5280000000001</v>
      </c>
      <c r="D132" t="s">
        <v>21</v>
      </c>
      <c r="E132" t="s">
        <v>26</v>
      </c>
      <c r="F132">
        <v>11</v>
      </c>
      <c r="G132">
        <v>465.24</v>
      </c>
      <c r="H132" t="s">
        <v>32</v>
      </c>
      <c r="I132" t="s">
        <v>35</v>
      </c>
      <c r="J132" s="3">
        <v>0</v>
      </c>
      <c r="K132" t="s">
        <v>40</v>
      </c>
      <c r="L132">
        <v>5117.6400000000003</v>
      </c>
      <c r="M132" t="s">
        <v>46</v>
      </c>
      <c r="O132">
        <v>1</v>
      </c>
      <c r="P132" t="s">
        <v>181</v>
      </c>
      <c r="Q132" t="s">
        <v>1681</v>
      </c>
      <c r="R132">
        <v>17.59</v>
      </c>
      <c r="S132" s="5">
        <v>45793</v>
      </c>
      <c r="T132" s="5">
        <v>45800</v>
      </c>
      <c r="U132" t="s">
        <v>2924</v>
      </c>
    </row>
    <row r="133" spans="1:21" x14ac:dyDescent="0.25">
      <c r="A133" s="5">
        <v>45491</v>
      </c>
      <c r="B133" s="7">
        <f>Table1[[#This Row],[TotalPrice]] * (1 - Table1[[#This Row],[Discount]])</f>
        <v>6197.0999999999995</v>
      </c>
      <c r="C133" s="7">
        <f>Table1[[#This Row],[Net Sales]] * 0.2</f>
        <v>1239.42</v>
      </c>
      <c r="D133" t="s">
        <v>19</v>
      </c>
      <c r="E133" t="s">
        <v>25</v>
      </c>
      <c r="F133">
        <v>14</v>
      </c>
      <c r="G133">
        <v>442.65</v>
      </c>
      <c r="H133" t="s">
        <v>31</v>
      </c>
      <c r="I133" t="s">
        <v>36</v>
      </c>
      <c r="J133" s="3">
        <v>0</v>
      </c>
      <c r="K133" t="s">
        <v>37</v>
      </c>
      <c r="L133">
        <v>6197.0999999999995</v>
      </c>
      <c r="M133" t="s">
        <v>44</v>
      </c>
      <c r="N133" t="s">
        <v>49</v>
      </c>
      <c r="O133">
        <v>0</v>
      </c>
      <c r="P133" t="s">
        <v>182</v>
      </c>
      <c r="Q133" t="s">
        <v>1682</v>
      </c>
      <c r="R133">
        <v>28.76</v>
      </c>
      <c r="S133" s="5">
        <v>45491</v>
      </c>
      <c r="T133" s="5">
        <v>45497</v>
      </c>
      <c r="U133" t="s">
        <v>2922</v>
      </c>
    </row>
    <row r="134" spans="1:21" x14ac:dyDescent="0.25">
      <c r="A134" s="5">
        <v>45186</v>
      </c>
      <c r="B134" s="7">
        <f>Table1[[#This Row],[TotalPrice]] * (1 - Table1[[#This Row],[Discount]])</f>
        <v>5633.28</v>
      </c>
      <c r="C134" s="7">
        <f>Table1[[#This Row],[Net Sales]] * 0.2</f>
        <v>1126.6559999999999</v>
      </c>
      <c r="D134" t="s">
        <v>23</v>
      </c>
      <c r="E134" t="s">
        <v>24</v>
      </c>
      <c r="F134">
        <v>12</v>
      </c>
      <c r="G134">
        <v>469.44</v>
      </c>
      <c r="H134" t="s">
        <v>31</v>
      </c>
      <c r="I134" t="s">
        <v>35</v>
      </c>
      <c r="J134" s="3">
        <v>0</v>
      </c>
      <c r="K134" t="s">
        <v>42</v>
      </c>
      <c r="L134">
        <v>5633.28</v>
      </c>
      <c r="M134" t="s">
        <v>43</v>
      </c>
      <c r="N134" t="s">
        <v>48</v>
      </c>
      <c r="O134">
        <v>0</v>
      </c>
      <c r="P134" t="s">
        <v>183</v>
      </c>
      <c r="Q134" t="s">
        <v>1683</v>
      </c>
      <c r="R134">
        <v>33.299999999999997</v>
      </c>
      <c r="S134" s="5">
        <v>45186</v>
      </c>
      <c r="T134" s="5">
        <v>45195</v>
      </c>
      <c r="U134" t="s">
        <v>2926</v>
      </c>
    </row>
    <row r="135" spans="1:21" x14ac:dyDescent="0.25">
      <c r="A135" s="5">
        <v>44998</v>
      </c>
      <c r="B135" s="7">
        <f>Table1[[#This Row],[TotalPrice]] * (1 - Table1[[#This Row],[Discount]])</f>
        <v>3143.2089499999997</v>
      </c>
      <c r="C135" s="7">
        <f>Table1[[#This Row],[Net Sales]] * 0.2</f>
        <v>628.64179000000001</v>
      </c>
      <c r="D135" t="s">
        <v>19</v>
      </c>
      <c r="E135" t="s">
        <v>28</v>
      </c>
      <c r="F135">
        <v>14</v>
      </c>
      <c r="G135">
        <v>248.77</v>
      </c>
      <c r="H135" t="s">
        <v>33</v>
      </c>
      <c r="I135" t="s">
        <v>35</v>
      </c>
      <c r="J135" s="3">
        <v>0.05</v>
      </c>
      <c r="K135" t="s">
        <v>42</v>
      </c>
      <c r="L135">
        <v>3308.6410000000001</v>
      </c>
      <c r="M135" t="s">
        <v>46</v>
      </c>
      <c r="N135" t="s">
        <v>48</v>
      </c>
      <c r="O135">
        <v>1</v>
      </c>
      <c r="P135" t="s">
        <v>184</v>
      </c>
      <c r="Q135" t="s">
        <v>1684</v>
      </c>
      <c r="R135">
        <v>21.76</v>
      </c>
      <c r="S135" s="5">
        <v>44998</v>
      </c>
      <c r="T135" s="5">
        <v>45004</v>
      </c>
      <c r="U135" t="s">
        <v>2922</v>
      </c>
    </row>
    <row r="136" spans="1:21" x14ac:dyDescent="0.25">
      <c r="A136" s="5">
        <v>45014</v>
      </c>
      <c r="B136" s="7">
        <f>Table1[[#This Row],[TotalPrice]] * (1 - Table1[[#This Row],[Discount]])</f>
        <v>2040.6968999999997</v>
      </c>
      <c r="C136" s="7">
        <f>Table1[[#This Row],[Net Sales]] * 0.2</f>
        <v>408.13937999999996</v>
      </c>
      <c r="D136" t="s">
        <v>20</v>
      </c>
      <c r="E136" t="s">
        <v>27</v>
      </c>
      <c r="F136">
        <v>4</v>
      </c>
      <c r="G136">
        <v>565.29</v>
      </c>
      <c r="H136" t="s">
        <v>34</v>
      </c>
      <c r="I136" t="s">
        <v>35</v>
      </c>
      <c r="J136" s="3">
        <v>0.05</v>
      </c>
      <c r="K136" t="s">
        <v>38</v>
      </c>
      <c r="L136">
        <v>2148.1019999999999</v>
      </c>
      <c r="M136" t="s">
        <v>47</v>
      </c>
      <c r="O136">
        <v>0</v>
      </c>
      <c r="P136" t="s">
        <v>185</v>
      </c>
      <c r="Q136" t="s">
        <v>1685</v>
      </c>
      <c r="R136">
        <v>27.04</v>
      </c>
      <c r="S136" s="5">
        <v>45014</v>
      </c>
      <c r="T136" s="5">
        <v>45019</v>
      </c>
      <c r="U136" t="s">
        <v>2923</v>
      </c>
    </row>
    <row r="137" spans="1:21" x14ac:dyDescent="0.25">
      <c r="A137" s="5">
        <v>45121</v>
      </c>
      <c r="B137" s="7">
        <f>Table1[[#This Row],[TotalPrice]] * (1 - Table1[[#This Row],[Discount]])</f>
        <v>2651.1839999999997</v>
      </c>
      <c r="C137" s="7">
        <f>Table1[[#This Row],[Net Sales]] * 0.2</f>
        <v>530.23680000000002</v>
      </c>
      <c r="D137" t="s">
        <v>22</v>
      </c>
      <c r="E137" t="s">
        <v>26</v>
      </c>
      <c r="F137">
        <v>12</v>
      </c>
      <c r="G137">
        <v>244.8</v>
      </c>
      <c r="H137" t="s">
        <v>31</v>
      </c>
      <c r="I137" t="s">
        <v>35</v>
      </c>
      <c r="J137" s="3">
        <v>0.05</v>
      </c>
      <c r="K137" t="s">
        <v>39</v>
      </c>
      <c r="L137">
        <v>2790.72</v>
      </c>
      <c r="M137" t="s">
        <v>43</v>
      </c>
      <c r="N137" t="s">
        <v>48</v>
      </c>
      <c r="O137">
        <v>0</v>
      </c>
      <c r="P137" t="s">
        <v>186</v>
      </c>
      <c r="Q137" t="s">
        <v>1686</v>
      </c>
      <c r="R137">
        <v>44.75</v>
      </c>
      <c r="S137" s="5">
        <v>45121</v>
      </c>
      <c r="T137" s="5">
        <v>45130</v>
      </c>
      <c r="U137" t="s">
        <v>2925</v>
      </c>
    </row>
    <row r="138" spans="1:21" x14ac:dyDescent="0.25">
      <c r="A138" s="5">
        <v>45373</v>
      </c>
      <c r="B138" s="7">
        <f>Table1[[#This Row],[TotalPrice]] * (1 - Table1[[#This Row],[Discount]])</f>
        <v>3413.3362249999996</v>
      </c>
      <c r="C138" s="7">
        <f>Table1[[#This Row],[Net Sales]] * 0.2</f>
        <v>682.66724499999998</v>
      </c>
      <c r="D138" t="s">
        <v>23</v>
      </c>
      <c r="E138" t="s">
        <v>24</v>
      </c>
      <c r="F138">
        <v>13</v>
      </c>
      <c r="G138">
        <v>290.93</v>
      </c>
      <c r="H138" t="s">
        <v>33</v>
      </c>
      <c r="I138" t="s">
        <v>36</v>
      </c>
      <c r="J138" s="3">
        <v>0.05</v>
      </c>
      <c r="K138" t="s">
        <v>41</v>
      </c>
      <c r="L138">
        <v>3592.9854999999998</v>
      </c>
      <c r="M138" t="s">
        <v>45</v>
      </c>
      <c r="N138" t="s">
        <v>48</v>
      </c>
      <c r="O138">
        <v>0</v>
      </c>
      <c r="P138" t="s">
        <v>187</v>
      </c>
      <c r="Q138" t="s">
        <v>1687</v>
      </c>
      <c r="R138">
        <v>26.09</v>
      </c>
      <c r="S138" s="5">
        <v>45373</v>
      </c>
      <c r="T138" s="5">
        <v>45382</v>
      </c>
      <c r="U138" t="s">
        <v>2926</v>
      </c>
    </row>
    <row r="139" spans="1:21" x14ac:dyDescent="0.25">
      <c r="A139" s="5">
        <v>45426</v>
      </c>
      <c r="B139" s="7">
        <f>Table1[[#This Row],[TotalPrice]] * (1 - Table1[[#This Row],[Discount]])</f>
        <v>2044.7559000000001</v>
      </c>
      <c r="C139" s="7">
        <f>Table1[[#This Row],[Net Sales]] * 0.2</f>
        <v>408.95118000000002</v>
      </c>
      <c r="D139" t="s">
        <v>22</v>
      </c>
      <c r="E139" t="s">
        <v>24</v>
      </c>
      <c r="F139">
        <v>11</v>
      </c>
      <c r="G139">
        <v>229.49</v>
      </c>
      <c r="H139" t="s">
        <v>33</v>
      </c>
      <c r="I139" t="s">
        <v>36</v>
      </c>
      <c r="J139" s="3">
        <v>0.1</v>
      </c>
      <c r="K139" t="s">
        <v>42</v>
      </c>
      <c r="L139">
        <v>2271.951</v>
      </c>
      <c r="M139" t="s">
        <v>47</v>
      </c>
      <c r="O139">
        <v>0</v>
      </c>
      <c r="P139" t="s">
        <v>188</v>
      </c>
      <c r="Q139" t="s">
        <v>1688</v>
      </c>
      <c r="R139">
        <v>35.39</v>
      </c>
      <c r="S139" s="5">
        <v>45426</v>
      </c>
      <c r="T139" s="5">
        <v>45429</v>
      </c>
      <c r="U139" t="s">
        <v>2925</v>
      </c>
    </row>
    <row r="140" spans="1:21" x14ac:dyDescent="0.25">
      <c r="A140" s="5">
        <v>45076</v>
      </c>
      <c r="B140" s="7">
        <f>Table1[[#This Row],[TotalPrice]] * (1 - Table1[[#This Row],[Discount]])</f>
        <v>771.38480000000004</v>
      </c>
      <c r="C140" s="7">
        <f>Table1[[#This Row],[Net Sales]] * 0.2</f>
        <v>154.27696000000003</v>
      </c>
      <c r="D140" t="s">
        <v>22</v>
      </c>
      <c r="E140" t="s">
        <v>28</v>
      </c>
      <c r="F140">
        <v>2</v>
      </c>
      <c r="G140">
        <v>427.36</v>
      </c>
      <c r="H140" t="s">
        <v>32</v>
      </c>
      <c r="I140" t="s">
        <v>35</v>
      </c>
      <c r="J140" s="3">
        <v>0.05</v>
      </c>
      <c r="K140" t="s">
        <v>41</v>
      </c>
      <c r="L140">
        <v>811.98400000000004</v>
      </c>
      <c r="M140" t="s">
        <v>43</v>
      </c>
      <c r="N140" t="s">
        <v>49</v>
      </c>
      <c r="O140">
        <v>0</v>
      </c>
      <c r="P140" t="s">
        <v>189</v>
      </c>
      <c r="Q140" t="s">
        <v>1689</v>
      </c>
      <c r="R140">
        <v>19.420000000000002</v>
      </c>
      <c r="S140" s="5">
        <v>45076</v>
      </c>
      <c r="T140" s="5">
        <v>45079</v>
      </c>
      <c r="U140" t="s">
        <v>2925</v>
      </c>
    </row>
    <row r="141" spans="1:21" x14ac:dyDescent="0.25">
      <c r="A141" s="5">
        <v>45004</v>
      </c>
      <c r="B141" s="7">
        <f>Table1[[#This Row],[TotalPrice]] * (1 - Table1[[#This Row],[Discount]])</f>
        <v>800.53554999999994</v>
      </c>
      <c r="C141" s="7">
        <f>Table1[[#This Row],[Net Sales]] * 0.2</f>
        <v>160.10711000000001</v>
      </c>
      <c r="D141" t="s">
        <v>21</v>
      </c>
      <c r="E141" t="s">
        <v>25</v>
      </c>
      <c r="F141">
        <v>2</v>
      </c>
      <c r="G141">
        <v>443.51</v>
      </c>
      <c r="H141" t="s">
        <v>33</v>
      </c>
      <c r="I141" t="s">
        <v>35</v>
      </c>
      <c r="J141" s="3">
        <v>0.05</v>
      </c>
      <c r="K141" t="s">
        <v>38</v>
      </c>
      <c r="L141">
        <v>842.66899999999998</v>
      </c>
      <c r="M141" t="s">
        <v>47</v>
      </c>
      <c r="O141">
        <v>0</v>
      </c>
      <c r="P141" t="s">
        <v>190</v>
      </c>
      <c r="Q141" t="s">
        <v>1690</v>
      </c>
      <c r="R141">
        <v>13.65</v>
      </c>
      <c r="S141" s="5">
        <v>45004</v>
      </c>
      <c r="T141" s="5">
        <v>45007</v>
      </c>
      <c r="U141" t="s">
        <v>2924</v>
      </c>
    </row>
    <row r="142" spans="1:21" x14ac:dyDescent="0.25">
      <c r="A142" s="5">
        <v>45147</v>
      </c>
      <c r="B142" s="7">
        <f>Table1[[#This Row],[TotalPrice]] * (1 - Table1[[#This Row],[Discount]])</f>
        <v>2635.8172749999999</v>
      </c>
      <c r="C142" s="7">
        <f>Table1[[#This Row],[Net Sales]] * 0.2</f>
        <v>527.163455</v>
      </c>
      <c r="D142" t="s">
        <v>22</v>
      </c>
      <c r="E142" t="s">
        <v>26</v>
      </c>
      <c r="F142">
        <v>13</v>
      </c>
      <c r="G142">
        <v>280.63</v>
      </c>
      <c r="H142" t="s">
        <v>31</v>
      </c>
      <c r="I142" t="s">
        <v>35</v>
      </c>
      <c r="J142" s="3">
        <v>0.15</v>
      </c>
      <c r="K142" t="s">
        <v>38</v>
      </c>
      <c r="L142">
        <v>3100.9614999999999</v>
      </c>
      <c r="M142" t="s">
        <v>45</v>
      </c>
      <c r="N142" t="s">
        <v>49</v>
      </c>
      <c r="O142">
        <v>0</v>
      </c>
      <c r="P142" t="s">
        <v>191</v>
      </c>
      <c r="Q142" t="s">
        <v>1691</v>
      </c>
      <c r="R142">
        <v>10.14</v>
      </c>
      <c r="S142" s="5">
        <v>45147</v>
      </c>
      <c r="T142" s="5">
        <v>45152</v>
      </c>
      <c r="U142" t="s">
        <v>2925</v>
      </c>
    </row>
    <row r="143" spans="1:21" x14ac:dyDescent="0.25">
      <c r="A143" s="5">
        <v>45578</v>
      </c>
      <c r="B143" s="7">
        <f>Table1[[#This Row],[TotalPrice]] * (1 - Table1[[#This Row],[Discount]])</f>
        <v>3913.4790499999999</v>
      </c>
      <c r="C143" s="7">
        <f>Table1[[#This Row],[Net Sales]] * 0.2</f>
        <v>782.69581000000005</v>
      </c>
      <c r="D143" t="s">
        <v>21</v>
      </c>
      <c r="E143" t="s">
        <v>27</v>
      </c>
      <c r="F143">
        <v>13</v>
      </c>
      <c r="G143">
        <v>416.66</v>
      </c>
      <c r="H143" t="s">
        <v>31</v>
      </c>
      <c r="I143" t="s">
        <v>35</v>
      </c>
      <c r="J143" s="3">
        <v>0.15</v>
      </c>
      <c r="K143" t="s">
        <v>42</v>
      </c>
      <c r="L143">
        <v>4604.0929999999998</v>
      </c>
      <c r="M143" t="s">
        <v>45</v>
      </c>
      <c r="N143" t="s">
        <v>50</v>
      </c>
      <c r="O143">
        <v>0</v>
      </c>
      <c r="P143" t="s">
        <v>192</v>
      </c>
      <c r="Q143" t="s">
        <v>1692</v>
      </c>
      <c r="R143">
        <v>21.74</v>
      </c>
      <c r="S143" s="5">
        <v>45578</v>
      </c>
      <c r="T143" s="5">
        <v>45585</v>
      </c>
      <c r="U143" t="s">
        <v>2924</v>
      </c>
    </row>
    <row r="144" spans="1:21" x14ac:dyDescent="0.25">
      <c r="A144" s="5">
        <v>45705</v>
      </c>
      <c r="B144" s="7">
        <f>Table1[[#This Row],[TotalPrice]] * (1 - Table1[[#This Row],[Discount]])</f>
        <v>6484.2800000000007</v>
      </c>
      <c r="C144" s="7">
        <f>Table1[[#This Row],[Net Sales]] * 0.2</f>
        <v>1296.8560000000002</v>
      </c>
      <c r="D144" t="s">
        <v>19</v>
      </c>
      <c r="E144" t="s">
        <v>27</v>
      </c>
      <c r="F144">
        <v>11</v>
      </c>
      <c r="G144">
        <v>589.48</v>
      </c>
      <c r="H144" t="s">
        <v>31</v>
      </c>
      <c r="I144" t="s">
        <v>36</v>
      </c>
      <c r="J144" s="3">
        <v>0</v>
      </c>
      <c r="K144" t="s">
        <v>38</v>
      </c>
      <c r="L144">
        <v>6484.2800000000007</v>
      </c>
      <c r="M144" t="s">
        <v>43</v>
      </c>
      <c r="N144" t="s">
        <v>50</v>
      </c>
      <c r="O144">
        <v>0</v>
      </c>
      <c r="P144" t="s">
        <v>193</v>
      </c>
      <c r="Q144" t="s">
        <v>1693</v>
      </c>
      <c r="R144">
        <v>49.93</v>
      </c>
      <c r="S144" s="5">
        <v>45705</v>
      </c>
      <c r="T144" s="5">
        <v>45713</v>
      </c>
      <c r="U144" t="s">
        <v>2922</v>
      </c>
    </row>
    <row r="145" spans="1:21" x14ac:dyDescent="0.25">
      <c r="A145" s="5">
        <v>45819</v>
      </c>
      <c r="B145" s="7">
        <f>Table1[[#This Row],[TotalPrice]] * (1 - Table1[[#This Row],[Discount]])</f>
        <v>1987.6842000000001</v>
      </c>
      <c r="C145" s="7">
        <f>Table1[[#This Row],[Net Sales]] * 0.2</f>
        <v>397.53684000000004</v>
      </c>
      <c r="D145" t="s">
        <v>21</v>
      </c>
      <c r="E145" t="s">
        <v>25</v>
      </c>
      <c r="F145">
        <v>18</v>
      </c>
      <c r="G145">
        <v>152.84</v>
      </c>
      <c r="H145" t="s">
        <v>33</v>
      </c>
      <c r="I145" t="s">
        <v>36</v>
      </c>
      <c r="J145" s="3">
        <v>0.15</v>
      </c>
      <c r="K145" t="s">
        <v>41</v>
      </c>
      <c r="L145">
        <v>2338.4520000000002</v>
      </c>
      <c r="M145" t="s">
        <v>46</v>
      </c>
      <c r="N145" t="s">
        <v>48</v>
      </c>
      <c r="O145">
        <v>1</v>
      </c>
      <c r="P145" t="s">
        <v>194</v>
      </c>
      <c r="Q145" t="s">
        <v>1694</v>
      </c>
      <c r="R145">
        <v>20.3</v>
      </c>
      <c r="S145" s="5">
        <v>45819</v>
      </c>
      <c r="T145" s="5">
        <v>45828</v>
      </c>
      <c r="U145" t="s">
        <v>2924</v>
      </c>
    </row>
    <row r="146" spans="1:21" x14ac:dyDescent="0.25">
      <c r="A146" s="5">
        <v>45411</v>
      </c>
      <c r="B146" s="7">
        <f>Table1[[#This Row],[TotalPrice]] * (1 - Table1[[#This Row],[Discount]])</f>
        <v>654.64</v>
      </c>
      <c r="C146" s="7">
        <f>Table1[[#This Row],[Net Sales]] * 0.2</f>
        <v>130.928</v>
      </c>
      <c r="D146" t="s">
        <v>22</v>
      </c>
      <c r="E146" t="s">
        <v>29</v>
      </c>
      <c r="F146">
        <v>4</v>
      </c>
      <c r="G146">
        <v>163.66</v>
      </c>
      <c r="H146" t="s">
        <v>31</v>
      </c>
      <c r="I146" t="s">
        <v>36</v>
      </c>
      <c r="J146" s="3">
        <v>0</v>
      </c>
      <c r="K146" t="s">
        <v>42</v>
      </c>
      <c r="L146">
        <v>654.64</v>
      </c>
      <c r="M146" t="s">
        <v>44</v>
      </c>
      <c r="N146" t="s">
        <v>50</v>
      </c>
      <c r="O146">
        <v>1</v>
      </c>
      <c r="P146" t="s">
        <v>195</v>
      </c>
      <c r="Q146" t="s">
        <v>1695</v>
      </c>
      <c r="R146">
        <v>31.8</v>
      </c>
      <c r="S146" s="5">
        <v>45411</v>
      </c>
      <c r="T146" s="5">
        <v>45413</v>
      </c>
      <c r="U146" t="s">
        <v>2925</v>
      </c>
    </row>
    <row r="147" spans="1:21" x14ac:dyDescent="0.25">
      <c r="A147" s="5">
        <v>45003</v>
      </c>
      <c r="B147" s="7">
        <f>Table1[[#This Row],[TotalPrice]] * (1 - Table1[[#This Row],[Discount]])</f>
        <v>6647.5418749999999</v>
      </c>
      <c r="C147" s="7">
        <f>Table1[[#This Row],[Net Sales]] * 0.2</f>
        <v>1329.5083750000001</v>
      </c>
      <c r="D147" t="s">
        <v>23</v>
      </c>
      <c r="E147" t="s">
        <v>24</v>
      </c>
      <c r="F147">
        <v>19</v>
      </c>
      <c r="G147">
        <v>484.25</v>
      </c>
      <c r="H147" t="s">
        <v>33</v>
      </c>
      <c r="I147" t="s">
        <v>35</v>
      </c>
      <c r="J147" s="3">
        <v>0.15</v>
      </c>
      <c r="K147" t="s">
        <v>42</v>
      </c>
      <c r="L147">
        <v>7820.6374999999998</v>
      </c>
      <c r="M147" t="s">
        <v>46</v>
      </c>
      <c r="N147" t="s">
        <v>48</v>
      </c>
      <c r="O147">
        <v>1</v>
      </c>
      <c r="P147" t="s">
        <v>196</v>
      </c>
      <c r="Q147" t="s">
        <v>1696</v>
      </c>
      <c r="R147">
        <v>29.51</v>
      </c>
      <c r="S147" s="5">
        <v>45003</v>
      </c>
      <c r="T147" s="5">
        <v>45005</v>
      </c>
      <c r="U147" t="s">
        <v>2926</v>
      </c>
    </row>
    <row r="148" spans="1:21" x14ac:dyDescent="0.25">
      <c r="A148" s="5">
        <v>45647</v>
      </c>
      <c r="B148" s="7">
        <f>Table1[[#This Row],[TotalPrice]] * (1 - Table1[[#This Row],[Discount]])</f>
        <v>2773.116</v>
      </c>
      <c r="C148" s="7">
        <f>Table1[[#This Row],[Net Sales]] * 0.2</f>
        <v>554.6232</v>
      </c>
      <c r="D148" t="s">
        <v>21</v>
      </c>
      <c r="E148" t="s">
        <v>27</v>
      </c>
      <c r="F148">
        <v>9</v>
      </c>
      <c r="G148">
        <v>380.4</v>
      </c>
      <c r="H148" t="s">
        <v>31</v>
      </c>
      <c r="I148" t="s">
        <v>36</v>
      </c>
      <c r="J148" s="3">
        <v>0.1</v>
      </c>
      <c r="K148" t="s">
        <v>40</v>
      </c>
      <c r="L148">
        <v>3081.24</v>
      </c>
      <c r="M148" t="s">
        <v>45</v>
      </c>
      <c r="O148">
        <v>0</v>
      </c>
      <c r="P148" t="s">
        <v>197</v>
      </c>
      <c r="Q148" t="s">
        <v>1697</v>
      </c>
      <c r="R148">
        <v>31</v>
      </c>
      <c r="S148" s="5">
        <v>45647</v>
      </c>
      <c r="T148" s="5">
        <v>45653</v>
      </c>
      <c r="U148" t="s">
        <v>2924</v>
      </c>
    </row>
    <row r="149" spans="1:21" x14ac:dyDescent="0.25">
      <c r="A149" s="5">
        <v>45039</v>
      </c>
      <c r="B149" s="7">
        <f>Table1[[#This Row],[TotalPrice]] * (1 - Table1[[#This Row],[Discount]])</f>
        <v>4576.8725999999997</v>
      </c>
      <c r="C149" s="7">
        <f>Table1[[#This Row],[Net Sales]] * 0.2</f>
        <v>915.37451999999996</v>
      </c>
      <c r="D149" t="s">
        <v>23</v>
      </c>
      <c r="E149" t="s">
        <v>27</v>
      </c>
      <c r="F149">
        <v>17</v>
      </c>
      <c r="G149">
        <v>332.38</v>
      </c>
      <c r="H149" t="s">
        <v>32</v>
      </c>
      <c r="I149" t="s">
        <v>36</v>
      </c>
      <c r="J149" s="3">
        <v>0.1</v>
      </c>
      <c r="K149" t="s">
        <v>39</v>
      </c>
      <c r="L149">
        <v>5085.4139999999998</v>
      </c>
      <c r="M149" t="s">
        <v>45</v>
      </c>
      <c r="N149" t="s">
        <v>49</v>
      </c>
      <c r="O149">
        <v>1</v>
      </c>
      <c r="P149" t="s">
        <v>198</v>
      </c>
      <c r="Q149" t="s">
        <v>1698</v>
      </c>
      <c r="R149">
        <v>33.81</v>
      </c>
      <c r="S149" s="5">
        <v>45039</v>
      </c>
      <c r="T149" s="5">
        <v>45048</v>
      </c>
      <c r="U149" t="s">
        <v>2926</v>
      </c>
    </row>
    <row r="150" spans="1:21" x14ac:dyDescent="0.25">
      <c r="A150" s="5">
        <v>45788</v>
      </c>
      <c r="B150" s="7">
        <f>Table1[[#This Row],[TotalPrice]] * (1 - Table1[[#This Row],[Discount]])</f>
        <v>2855.60025</v>
      </c>
      <c r="C150" s="7">
        <f>Table1[[#This Row],[Net Sales]] * 0.2</f>
        <v>571.12004999999999</v>
      </c>
      <c r="D150" t="s">
        <v>22</v>
      </c>
      <c r="E150" t="s">
        <v>27</v>
      </c>
      <c r="F150">
        <v>15</v>
      </c>
      <c r="G150">
        <v>210.94</v>
      </c>
      <c r="H150" t="s">
        <v>33</v>
      </c>
      <c r="I150" t="s">
        <v>35</v>
      </c>
      <c r="J150" s="3">
        <v>0.05</v>
      </c>
      <c r="K150" t="s">
        <v>39</v>
      </c>
      <c r="L150">
        <v>3005.895</v>
      </c>
      <c r="M150" t="s">
        <v>43</v>
      </c>
      <c r="N150" t="s">
        <v>49</v>
      </c>
      <c r="O150">
        <v>0</v>
      </c>
      <c r="P150" t="s">
        <v>199</v>
      </c>
      <c r="Q150" t="s">
        <v>1699</v>
      </c>
      <c r="R150">
        <v>10.91</v>
      </c>
      <c r="S150" s="5">
        <v>45788</v>
      </c>
      <c r="T150" s="5">
        <v>45798</v>
      </c>
      <c r="U150" t="s">
        <v>2925</v>
      </c>
    </row>
    <row r="151" spans="1:21" x14ac:dyDescent="0.25">
      <c r="A151" s="5">
        <v>45354</v>
      </c>
      <c r="B151" s="7">
        <f>Table1[[#This Row],[TotalPrice]] * (1 - Table1[[#This Row],[Discount]])</f>
        <v>3445.2</v>
      </c>
      <c r="C151" s="7">
        <f>Table1[[#This Row],[Net Sales]] * 0.2</f>
        <v>689.04</v>
      </c>
      <c r="D151" t="s">
        <v>20</v>
      </c>
      <c r="E151" t="s">
        <v>25</v>
      </c>
      <c r="F151">
        <v>9</v>
      </c>
      <c r="G151">
        <v>382.8</v>
      </c>
      <c r="H151" t="s">
        <v>34</v>
      </c>
      <c r="I151" t="s">
        <v>35</v>
      </c>
      <c r="J151" s="3">
        <v>0</v>
      </c>
      <c r="K151" t="s">
        <v>37</v>
      </c>
      <c r="L151">
        <v>3445.2</v>
      </c>
      <c r="M151" t="s">
        <v>47</v>
      </c>
      <c r="O151">
        <v>0</v>
      </c>
      <c r="P151" t="s">
        <v>200</v>
      </c>
      <c r="Q151" t="s">
        <v>1700</v>
      </c>
      <c r="R151">
        <v>47.94</v>
      </c>
      <c r="S151" s="5">
        <v>45354</v>
      </c>
      <c r="T151" s="5">
        <v>45356</v>
      </c>
      <c r="U151" t="s">
        <v>2923</v>
      </c>
    </row>
    <row r="152" spans="1:21" x14ac:dyDescent="0.25">
      <c r="A152" s="5">
        <v>45677</v>
      </c>
      <c r="B152" s="7">
        <f>Table1[[#This Row],[TotalPrice]] * (1 - Table1[[#This Row],[Discount]])</f>
        <v>837.28357500000004</v>
      </c>
      <c r="C152" s="7">
        <f>Table1[[#This Row],[Net Sales]] * 0.2</f>
        <v>167.45671500000003</v>
      </c>
      <c r="D152" t="s">
        <v>21</v>
      </c>
      <c r="E152" t="s">
        <v>28</v>
      </c>
      <c r="F152">
        <v>3</v>
      </c>
      <c r="G152">
        <v>386.29</v>
      </c>
      <c r="H152" t="s">
        <v>33</v>
      </c>
      <c r="I152" t="s">
        <v>36</v>
      </c>
      <c r="J152" s="3">
        <v>0.15</v>
      </c>
      <c r="K152" t="s">
        <v>40</v>
      </c>
      <c r="L152">
        <v>985.03950000000009</v>
      </c>
      <c r="M152" t="s">
        <v>45</v>
      </c>
      <c r="N152" t="s">
        <v>48</v>
      </c>
      <c r="O152">
        <v>0</v>
      </c>
      <c r="P152" t="s">
        <v>201</v>
      </c>
      <c r="Q152" t="s">
        <v>1701</v>
      </c>
      <c r="R152">
        <v>32.450000000000003</v>
      </c>
      <c r="S152" s="5">
        <v>45677</v>
      </c>
      <c r="T152" s="5">
        <v>45687</v>
      </c>
      <c r="U152" t="s">
        <v>2924</v>
      </c>
    </row>
    <row r="153" spans="1:21" x14ac:dyDescent="0.25">
      <c r="A153" s="5">
        <v>45738</v>
      </c>
      <c r="B153" s="7">
        <f>Table1[[#This Row],[TotalPrice]] * (1 - Table1[[#This Row],[Discount]])</f>
        <v>1129.95</v>
      </c>
      <c r="C153" s="7">
        <f>Table1[[#This Row],[Net Sales]] * 0.2</f>
        <v>225.99</v>
      </c>
      <c r="D153" t="s">
        <v>21</v>
      </c>
      <c r="E153" t="s">
        <v>29</v>
      </c>
      <c r="F153">
        <v>5</v>
      </c>
      <c r="G153">
        <v>225.99</v>
      </c>
      <c r="H153" t="s">
        <v>33</v>
      </c>
      <c r="I153" t="s">
        <v>36</v>
      </c>
      <c r="J153" s="3">
        <v>0</v>
      </c>
      <c r="K153" t="s">
        <v>37</v>
      </c>
      <c r="L153">
        <v>1129.95</v>
      </c>
      <c r="M153" t="s">
        <v>43</v>
      </c>
      <c r="N153" t="s">
        <v>49</v>
      </c>
      <c r="O153">
        <v>1</v>
      </c>
      <c r="P153" t="s">
        <v>202</v>
      </c>
      <c r="Q153" t="s">
        <v>1702</v>
      </c>
      <c r="R153">
        <v>10.88</v>
      </c>
      <c r="S153" s="5">
        <v>45738</v>
      </c>
      <c r="T153" s="5">
        <v>45746</v>
      </c>
      <c r="U153" t="s">
        <v>2924</v>
      </c>
    </row>
    <row r="154" spans="1:21" x14ac:dyDescent="0.25">
      <c r="A154" s="5">
        <v>45744</v>
      </c>
      <c r="B154" s="7">
        <f>Table1[[#This Row],[TotalPrice]] * (1 - Table1[[#This Row],[Discount]])</f>
        <v>4516.4920000000002</v>
      </c>
      <c r="C154" s="7">
        <f>Table1[[#This Row],[Net Sales]] * 0.2</f>
        <v>903.29840000000013</v>
      </c>
      <c r="D154" t="s">
        <v>20</v>
      </c>
      <c r="E154" t="s">
        <v>30</v>
      </c>
      <c r="F154">
        <v>20</v>
      </c>
      <c r="G154">
        <v>312.56</v>
      </c>
      <c r="H154" t="s">
        <v>34</v>
      </c>
      <c r="I154" t="s">
        <v>36</v>
      </c>
      <c r="J154" s="3">
        <v>0.15</v>
      </c>
      <c r="K154" t="s">
        <v>39</v>
      </c>
      <c r="L154">
        <v>5313.52</v>
      </c>
      <c r="M154" t="s">
        <v>44</v>
      </c>
      <c r="N154" t="s">
        <v>50</v>
      </c>
      <c r="O154">
        <v>0</v>
      </c>
      <c r="P154" t="s">
        <v>203</v>
      </c>
      <c r="Q154" t="s">
        <v>1555</v>
      </c>
      <c r="R154">
        <v>47.39</v>
      </c>
      <c r="S154" s="5">
        <v>45744</v>
      </c>
      <c r="T154" s="5">
        <v>45746</v>
      </c>
      <c r="U154" t="s">
        <v>2923</v>
      </c>
    </row>
    <row r="155" spans="1:21" x14ac:dyDescent="0.25">
      <c r="A155" s="5">
        <v>45705</v>
      </c>
      <c r="B155" s="7">
        <f>Table1[[#This Row],[TotalPrice]] * (1 - Table1[[#This Row],[Discount]])</f>
        <v>5089.2065249999996</v>
      </c>
      <c r="C155" s="7">
        <f>Table1[[#This Row],[Net Sales]] * 0.2</f>
        <v>1017.8413049999999</v>
      </c>
      <c r="D155" t="s">
        <v>21</v>
      </c>
      <c r="E155" t="s">
        <v>25</v>
      </c>
      <c r="F155">
        <v>13</v>
      </c>
      <c r="G155">
        <v>433.77</v>
      </c>
      <c r="H155" t="s">
        <v>33</v>
      </c>
      <c r="I155" t="s">
        <v>35</v>
      </c>
      <c r="J155" s="3">
        <v>0.05</v>
      </c>
      <c r="K155" t="s">
        <v>39</v>
      </c>
      <c r="L155">
        <v>5357.0595000000003</v>
      </c>
      <c r="M155" t="s">
        <v>47</v>
      </c>
      <c r="N155" t="s">
        <v>48</v>
      </c>
      <c r="O155">
        <v>0</v>
      </c>
      <c r="P155" t="s">
        <v>204</v>
      </c>
      <c r="Q155" t="s">
        <v>1703</v>
      </c>
      <c r="R155">
        <v>17.61</v>
      </c>
      <c r="S155" s="5">
        <v>45705</v>
      </c>
      <c r="T155" s="5">
        <v>45709</v>
      </c>
      <c r="U155" t="s">
        <v>2924</v>
      </c>
    </row>
    <row r="156" spans="1:21" x14ac:dyDescent="0.25">
      <c r="A156" s="5">
        <v>45604</v>
      </c>
      <c r="B156" s="7">
        <f>Table1[[#This Row],[TotalPrice]] * (1 - Table1[[#This Row],[Discount]])</f>
        <v>3186.6</v>
      </c>
      <c r="C156" s="7">
        <f>Table1[[#This Row],[Net Sales]] * 0.2</f>
        <v>637.32000000000005</v>
      </c>
      <c r="D156" t="s">
        <v>20</v>
      </c>
      <c r="E156" t="s">
        <v>29</v>
      </c>
      <c r="F156">
        <v>20</v>
      </c>
      <c r="G156">
        <v>159.33000000000001</v>
      </c>
      <c r="H156" t="s">
        <v>32</v>
      </c>
      <c r="I156" t="s">
        <v>35</v>
      </c>
      <c r="J156" s="3">
        <v>0</v>
      </c>
      <c r="K156" t="s">
        <v>37</v>
      </c>
      <c r="L156">
        <v>3186.6</v>
      </c>
      <c r="M156" t="s">
        <v>43</v>
      </c>
      <c r="N156" t="s">
        <v>48</v>
      </c>
      <c r="O156">
        <v>0</v>
      </c>
      <c r="P156" t="s">
        <v>205</v>
      </c>
      <c r="Q156" t="s">
        <v>1704</v>
      </c>
      <c r="R156">
        <v>26.32</v>
      </c>
      <c r="S156" s="5">
        <v>45604</v>
      </c>
      <c r="T156" s="5">
        <v>45607</v>
      </c>
      <c r="U156" t="s">
        <v>2923</v>
      </c>
    </row>
    <row r="157" spans="1:21" x14ac:dyDescent="0.25">
      <c r="A157" s="5">
        <v>45368</v>
      </c>
      <c r="B157" s="7">
        <f>Table1[[#This Row],[TotalPrice]] * (1 - Table1[[#This Row],[Discount]])</f>
        <v>523.57634999999993</v>
      </c>
      <c r="C157" s="7">
        <f>Table1[[#This Row],[Net Sales]] * 0.2</f>
        <v>104.71526999999999</v>
      </c>
      <c r="D157" t="s">
        <v>20</v>
      </c>
      <c r="E157" t="s">
        <v>25</v>
      </c>
      <c r="F157">
        <v>18</v>
      </c>
      <c r="G157">
        <v>32.229999999999997</v>
      </c>
      <c r="H157" t="s">
        <v>31</v>
      </c>
      <c r="I157" t="s">
        <v>36</v>
      </c>
      <c r="J157" s="3">
        <v>0.05</v>
      </c>
      <c r="K157" t="s">
        <v>42</v>
      </c>
      <c r="L157">
        <v>551.13299999999992</v>
      </c>
      <c r="M157" t="s">
        <v>45</v>
      </c>
      <c r="N157" t="s">
        <v>48</v>
      </c>
      <c r="O157">
        <v>0</v>
      </c>
      <c r="P157" t="s">
        <v>206</v>
      </c>
      <c r="Q157" t="s">
        <v>1705</v>
      </c>
      <c r="R157">
        <v>6.04</v>
      </c>
      <c r="S157" s="5">
        <v>45368</v>
      </c>
      <c r="T157" s="5">
        <v>45372</v>
      </c>
      <c r="U157" t="s">
        <v>2923</v>
      </c>
    </row>
    <row r="158" spans="1:21" x14ac:dyDescent="0.25">
      <c r="A158" s="5">
        <v>45167</v>
      </c>
      <c r="B158" s="7">
        <f>Table1[[#This Row],[TotalPrice]] * (1 - Table1[[#This Row],[Discount]])</f>
        <v>1282.4811</v>
      </c>
      <c r="C158" s="7">
        <f>Table1[[#This Row],[Net Sales]] * 0.2</f>
        <v>256.49621999999999</v>
      </c>
      <c r="D158" t="s">
        <v>20</v>
      </c>
      <c r="E158" t="s">
        <v>28</v>
      </c>
      <c r="F158">
        <v>3</v>
      </c>
      <c r="G158">
        <v>527.77</v>
      </c>
      <c r="H158" t="s">
        <v>33</v>
      </c>
      <c r="I158" t="s">
        <v>36</v>
      </c>
      <c r="J158" s="3">
        <v>0.1</v>
      </c>
      <c r="K158" t="s">
        <v>42</v>
      </c>
      <c r="L158">
        <v>1424.979</v>
      </c>
      <c r="M158" t="s">
        <v>47</v>
      </c>
      <c r="N158" t="s">
        <v>48</v>
      </c>
      <c r="O158">
        <v>0</v>
      </c>
      <c r="P158" t="s">
        <v>207</v>
      </c>
      <c r="Q158" t="s">
        <v>1706</v>
      </c>
      <c r="R158">
        <v>48.66</v>
      </c>
      <c r="S158" s="5">
        <v>45167</v>
      </c>
      <c r="T158" s="5">
        <v>45170</v>
      </c>
      <c r="U158" t="s">
        <v>2923</v>
      </c>
    </row>
    <row r="159" spans="1:21" x14ac:dyDescent="0.25">
      <c r="A159" s="5">
        <v>45099</v>
      </c>
      <c r="B159" s="7">
        <f>Table1[[#This Row],[TotalPrice]] * (1 - Table1[[#This Row],[Discount]])</f>
        <v>4075.26</v>
      </c>
      <c r="C159" s="7">
        <f>Table1[[#This Row],[Net Sales]] * 0.2</f>
        <v>815.05200000000013</v>
      </c>
      <c r="D159" t="s">
        <v>20</v>
      </c>
      <c r="E159" t="s">
        <v>27</v>
      </c>
      <c r="F159">
        <v>14</v>
      </c>
      <c r="G159">
        <v>291.08999999999997</v>
      </c>
      <c r="H159" t="s">
        <v>32</v>
      </c>
      <c r="I159" t="s">
        <v>36</v>
      </c>
      <c r="J159" s="3">
        <v>0</v>
      </c>
      <c r="K159" t="s">
        <v>40</v>
      </c>
      <c r="L159">
        <v>4075.26</v>
      </c>
      <c r="M159" t="s">
        <v>47</v>
      </c>
      <c r="O159">
        <v>0</v>
      </c>
      <c r="P159" t="s">
        <v>208</v>
      </c>
      <c r="Q159" t="s">
        <v>1707</v>
      </c>
      <c r="R159">
        <v>39.979999999999997</v>
      </c>
      <c r="S159" s="5">
        <v>45099</v>
      </c>
      <c r="T159" s="5">
        <v>45107</v>
      </c>
      <c r="U159" t="s">
        <v>2923</v>
      </c>
    </row>
    <row r="160" spans="1:21" x14ac:dyDescent="0.25">
      <c r="A160" s="5">
        <v>45346</v>
      </c>
      <c r="B160" s="7">
        <f>Table1[[#This Row],[TotalPrice]] * (1 - Table1[[#This Row],[Discount]])</f>
        <v>2800.96</v>
      </c>
      <c r="C160" s="7">
        <f>Table1[[#This Row],[Net Sales]] * 0.2</f>
        <v>560.19200000000001</v>
      </c>
      <c r="D160" t="s">
        <v>20</v>
      </c>
      <c r="E160" t="s">
        <v>25</v>
      </c>
      <c r="F160">
        <v>8</v>
      </c>
      <c r="G160">
        <v>350.12</v>
      </c>
      <c r="H160" t="s">
        <v>33</v>
      </c>
      <c r="I160" t="s">
        <v>36</v>
      </c>
      <c r="J160" s="3">
        <v>0</v>
      </c>
      <c r="K160" t="s">
        <v>38</v>
      </c>
      <c r="L160">
        <v>2800.96</v>
      </c>
      <c r="M160" t="s">
        <v>44</v>
      </c>
      <c r="N160" t="s">
        <v>48</v>
      </c>
      <c r="O160">
        <v>1</v>
      </c>
      <c r="P160" t="s">
        <v>209</v>
      </c>
      <c r="Q160" t="s">
        <v>1708</v>
      </c>
      <c r="R160">
        <v>31.65</v>
      </c>
      <c r="S160" s="5">
        <v>45346</v>
      </c>
      <c r="T160" s="5">
        <v>45352</v>
      </c>
      <c r="U160" t="s">
        <v>2923</v>
      </c>
    </row>
    <row r="161" spans="1:21" x14ac:dyDescent="0.25">
      <c r="A161" s="5">
        <v>45392</v>
      </c>
      <c r="B161" s="7">
        <f>Table1[[#This Row],[TotalPrice]] * (1 - Table1[[#This Row],[Discount]])</f>
        <v>1762.2214999999999</v>
      </c>
      <c r="C161" s="7">
        <f>Table1[[#This Row],[Net Sales]] * 0.2</f>
        <v>352.4443</v>
      </c>
      <c r="D161" t="s">
        <v>21</v>
      </c>
      <c r="E161" t="s">
        <v>25</v>
      </c>
      <c r="F161">
        <v>10</v>
      </c>
      <c r="G161">
        <v>195.26</v>
      </c>
      <c r="H161" t="s">
        <v>34</v>
      </c>
      <c r="I161" t="s">
        <v>36</v>
      </c>
      <c r="J161" s="3">
        <v>0.05</v>
      </c>
      <c r="K161" t="s">
        <v>38</v>
      </c>
      <c r="L161">
        <v>1854.97</v>
      </c>
      <c r="M161" t="s">
        <v>45</v>
      </c>
      <c r="N161" t="s">
        <v>50</v>
      </c>
      <c r="O161">
        <v>0</v>
      </c>
      <c r="P161" t="s">
        <v>210</v>
      </c>
      <c r="Q161" t="s">
        <v>1709</v>
      </c>
      <c r="R161">
        <v>46.91</v>
      </c>
      <c r="S161" s="5">
        <v>45392</v>
      </c>
      <c r="T161" s="5">
        <v>45397</v>
      </c>
      <c r="U161" t="s">
        <v>2924</v>
      </c>
    </row>
    <row r="162" spans="1:21" x14ac:dyDescent="0.25">
      <c r="A162" s="5">
        <v>45060</v>
      </c>
      <c r="B162" s="7">
        <f>Table1[[#This Row],[TotalPrice]] * (1 - Table1[[#This Row],[Discount]])</f>
        <v>3784.3</v>
      </c>
      <c r="C162" s="7">
        <f>Table1[[#This Row],[Net Sales]] * 0.2</f>
        <v>756.86000000000013</v>
      </c>
      <c r="D162" t="s">
        <v>20</v>
      </c>
      <c r="E162" t="s">
        <v>28</v>
      </c>
      <c r="F162">
        <v>13</v>
      </c>
      <c r="G162">
        <v>291.10000000000002</v>
      </c>
      <c r="H162" t="s">
        <v>32</v>
      </c>
      <c r="I162" t="s">
        <v>35</v>
      </c>
      <c r="J162" s="3">
        <v>0</v>
      </c>
      <c r="K162" t="s">
        <v>38</v>
      </c>
      <c r="L162">
        <v>3784.3</v>
      </c>
      <c r="M162" t="s">
        <v>43</v>
      </c>
      <c r="N162" t="s">
        <v>48</v>
      </c>
      <c r="O162">
        <v>0</v>
      </c>
      <c r="P162" t="s">
        <v>211</v>
      </c>
      <c r="Q162" t="s">
        <v>1710</v>
      </c>
      <c r="R162">
        <v>7.66</v>
      </c>
      <c r="S162" s="5">
        <v>45060</v>
      </c>
      <c r="T162" s="5">
        <v>45065</v>
      </c>
      <c r="U162" t="s">
        <v>2923</v>
      </c>
    </row>
    <row r="163" spans="1:21" x14ac:dyDescent="0.25">
      <c r="A163" s="5">
        <v>44996</v>
      </c>
      <c r="B163" s="7">
        <f>Table1[[#This Row],[TotalPrice]] * (1 - Table1[[#This Row],[Discount]])</f>
        <v>407.14319999999998</v>
      </c>
      <c r="C163" s="7">
        <f>Table1[[#This Row],[Net Sales]] * 0.2</f>
        <v>81.428640000000001</v>
      </c>
      <c r="D163" t="s">
        <v>20</v>
      </c>
      <c r="E163" t="s">
        <v>28</v>
      </c>
      <c r="F163">
        <v>6</v>
      </c>
      <c r="G163">
        <v>93.92</v>
      </c>
      <c r="H163" t="s">
        <v>31</v>
      </c>
      <c r="I163" t="s">
        <v>35</v>
      </c>
      <c r="J163" s="3">
        <v>0.15</v>
      </c>
      <c r="K163" t="s">
        <v>37</v>
      </c>
      <c r="L163">
        <v>478.99200000000002</v>
      </c>
      <c r="M163" t="s">
        <v>45</v>
      </c>
      <c r="N163" t="s">
        <v>48</v>
      </c>
      <c r="O163">
        <v>0</v>
      </c>
      <c r="P163" t="s">
        <v>212</v>
      </c>
      <c r="Q163" t="s">
        <v>1711</v>
      </c>
      <c r="R163">
        <v>11</v>
      </c>
      <c r="S163" s="5">
        <v>44996</v>
      </c>
      <c r="T163" s="5">
        <v>45003</v>
      </c>
      <c r="U163" t="s">
        <v>2923</v>
      </c>
    </row>
    <row r="164" spans="1:21" x14ac:dyDescent="0.25">
      <c r="A164" s="5">
        <v>45528</v>
      </c>
      <c r="B164" s="7">
        <f>Table1[[#This Row],[TotalPrice]] * (1 - Table1[[#This Row],[Discount]])</f>
        <v>79.599999999999994</v>
      </c>
      <c r="C164" s="7">
        <f>Table1[[#This Row],[Net Sales]] * 0.2</f>
        <v>15.92</v>
      </c>
      <c r="D164" t="s">
        <v>22</v>
      </c>
      <c r="E164" t="s">
        <v>30</v>
      </c>
      <c r="F164">
        <v>5</v>
      </c>
      <c r="G164">
        <v>15.92</v>
      </c>
      <c r="H164" t="s">
        <v>34</v>
      </c>
      <c r="I164" t="s">
        <v>36</v>
      </c>
      <c r="J164" s="3">
        <v>0</v>
      </c>
      <c r="K164" t="s">
        <v>37</v>
      </c>
      <c r="L164">
        <v>79.599999999999994</v>
      </c>
      <c r="M164" t="s">
        <v>45</v>
      </c>
      <c r="O164">
        <v>1</v>
      </c>
      <c r="P164" t="s">
        <v>213</v>
      </c>
      <c r="Q164" t="s">
        <v>1712</v>
      </c>
      <c r="R164">
        <v>8.66</v>
      </c>
      <c r="S164" s="5">
        <v>45528</v>
      </c>
      <c r="T164" s="5">
        <v>45530</v>
      </c>
      <c r="U164" t="s">
        <v>2925</v>
      </c>
    </row>
    <row r="165" spans="1:21" x14ac:dyDescent="0.25">
      <c r="A165" s="5">
        <v>45345</v>
      </c>
      <c r="B165" s="7">
        <f>Table1[[#This Row],[TotalPrice]] * (1 - Table1[[#This Row],[Discount]])</f>
        <v>1389.7431999999999</v>
      </c>
      <c r="C165" s="7">
        <f>Table1[[#This Row],[Net Sales]] * 0.2</f>
        <v>277.94864000000001</v>
      </c>
      <c r="D165" t="s">
        <v>20</v>
      </c>
      <c r="E165" t="s">
        <v>28</v>
      </c>
      <c r="F165">
        <v>16</v>
      </c>
      <c r="G165">
        <v>120.22</v>
      </c>
      <c r="H165" t="s">
        <v>34</v>
      </c>
      <c r="I165" t="s">
        <v>36</v>
      </c>
      <c r="J165" s="3">
        <v>0.15</v>
      </c>
      <c r="K165" t="s">
        <v>42</v>
      </c>
      <c r="L165">
        <v>1634.992</v>
      </c>
      <c r="M165" t="s">
        <v>47</v>
      </c>
      <c r="N165" t="s">
        <v>49</v>
      </c>
      <c r="O165">
        <v>0</v>
      </c>
      <c r="P165" t="s">
        <v>214</v>
      </c>
      <c r="Q165" t="s">
        <v>1713</v>
      </c>
      <c r="R165">
        <v>8.42</v>
      </c>
      <c r="S165" s="5">
        <v>45345</v>
      </c>
      <c r="T165" s="5">
        <v>45352</v>
      </c>
      <c r="U165" t="s">
        <v>2923</v>
      </c>
    </row>
    <row r="166" spans="1:21" x14ac:dyDescent="0.25">
      <c r="A166" s="5">
        <v>45321</v>
      </c>
      <c r="B166" s="7">
        <f>Table1[[#This Row],[TotalPrice]] * (1 - Table1[[#This Row],[Discount]])</f>
        <v>1179.3869999999999</v>
      </c>
      <c r="C166" s="7">
        <f>Table1[[#This Row],[Net Sales]] * 0.2</f>
        <v>235.87739999999999</v>
      </c>
      <c r="D166" t="s">
        <v>21</v>
      </c>
      <c r="E166" t="s">
        <v>28</v>
      </c>
      <c r="F166">
        <v>11</v>
      </c>
      <c r="G166">
        <v>118.8</v>
      </c>
      <c r="H166" t="s">
        <v>32</v>
      </c>
      <c r="I166" t="s">
        <v>36</v>
      </c>
      <c r="J166" s="3">
        <v>0.05</v>
      </c>
      <c r="K166" t="s">
        <v>37</v>
      </c>
      <c r="L166">
        <v>1241.46</v>
      </c>
      <c r="M166" t="s">
        <v>43</v>
      </c>
      <c r="N166" t="s">
        <v>49</v>
      </c>
      <c r="O166">
        <v>0</v>
      </c>
      <c r="P166" t="s">
        <v>215</v>
      </c>
      <c r="Q166" t="s">
        <v>1714</v>
      </c>
      <c r="R166">
        <v>39.32</v>
      </c>
      <c r="S166" s="5">
        <v>45321</v>
      </c>
      <c r="T166" s="5">
        <v>45328</v>
      </c>
      <c r="U166" t="s">
        <v>2924</v>
      </c>
    </row>
    <row r="167" spans="1:21" x14ac:dyDescent="0.25">
      <c r="A167" s="5">
        <v>45314</v>
      </c>
      <c r="B167" s="7">
        <f>Table1[[#This Row],[TotalPrice]] * (1 - Table1[[#This Row],[Discount]])</f>
        <v>748.84500000000003</v>
      </c>
      <c r="C167" s="7">
        <f>Table1[[#This Row],[Net Sales]] * 0.2</f>
        <v>149.76900000000001</v>
      </c>
      <c r="D167" t="s">
        <v>19</v>
      </c>
      <c r="E167" t="s">
        <v>29</v>
      </c>
      <c r="F167">
        <v>10</v>
      </c>
      <c r="G167">
        <v>92.45</v>
      </c>
      <c r="H167" t="s">
        <v>33</v>
      </c>
      <c r="I167" t="s">
        <v>35</v>
      </c>
      <c r="J167" s="3">
        <v>0.1</v>
      </c>
      <c r="K167" t="s">
        <v>39</v>
      </c>
      <c r="L167">
        <v>832.05000000000007</v>
      </c>
      <c r="M167" t="s">
        <v>47</v>
      </c>
      <c r="N167" t="s">
        <v>50</v>
      </c>
      <c r="O167">
        <v>1</v>
      </c>
      <c r="P167" t="s">
        <v>216</v>
      </c>
      <c r="Q167" t="s">
        <v>1715</v>
      </c>
      <c r="R167">
        <v>42.61</v>
      </c>
      <c r="S167" s="5">
        <v>45314</v>
      </c>
      <c r="T167" s="5">
        <v>45320</v>
      </c>
      <c r="U167" t="s">
        <v>2922</v>
      </c>
    </row>
    <row r="168" spans="1:21" x14ac:dyDescent="0.25">
      <c r="A168" s="5">
        <v>44931</v>
      </c>
      <c r="B168" s="7">
        <f>Table1[[#This Row],[TotalPrice]] * (1 - Table1[[#This Row],[Discount]])</f>
        <v>8806.69</v>
      </c>
      <c r="C168" s="7">
        <f>Table1[[#This Row],[Net Sales]] * 0.2</f>
        <v>1761.3380000000002</v>
      </c>
      <c r="D168" t="s">
        <v>21</v>
      </c>
      <c r="E168" t="s">
        <v>24</v>
      </c>
      <c r="F168">
        <v>19</v>
      </c>
      <c r="G168">
        <v>463.51</v>
      </c>
      <c r="H168" t="s">
        <v>31</v>
      </c>
      <c r="I168" t="s">
        <v>36</v>
      </c>
      <c r="J168" s="3">
        <v>0</v>
      </c>
      <c r="K168" t="s">
        <v>42</v>
      </c>
      <c r="L168">
        <v>8806.69</v>
      </c>
      <c r="M168" t="s">
        <v>47</v>
      </c>
      <c r="N168" t="s">
        <v>48</v>
      </c>
      <c r="O168">
        <v>0</v>
      </c>
      <c r="P168" t="s">
        <v>217</v>
      </c>
      <c r="Q168" t="s">
        <v>1716</v>
      </c>
      <c r="R168">
        <v>49.38</v>
      </c>
      <c r="S168" s="5">
        <v>44931</v>
      </c>
      <c r="T168" s="5">
        <v>44934</v>
      </c>
      <c r="U168" t="s">
        <v>2924</v>
      </c>
    </row>
    <row r="169" spans="1:21" x14ac:dyDescent="0.25">
      <c r="A169" s="5">
        <v>45281</v>
      </c>
      <c r="B169" s="7">
        <f>Table1[[#This Row],[TotalPrice]] * (1 - Table1[[#This Row],[Discount]])</f>
        <v>1798.5922499999999</v>
      </c>
      <c r="C169" s="7">
        <f>Table1[[#This Row],[Net Sales]] * 0.2</f>
        <v>359.71845000000002</v>
      </c>
      <c r="D169" t="s">
        <v>21</v>
      </c>
      <c r="E169" t="s">
        <v>26</v>
      </c>
      <c r="F169">
        <v>7</v>
      </c>
      <c r="G169">
        <v>284.7</v>
      </c>
      <c r="H169" t="s">
        <v>34</v>
      </c>
      <c r="I169" t="s">
        <v>35</v>
      </c>
      <c r="J169" s="3">
        <v>0.05</v>
      </c>
      <c r="K169" t="s">
        <v>42</v>
      </c>
      <c r="L169">
        <v>1893.2550000000001</v>
      </c>
      <c r="M169" t="s">
        <v>44</v>
      </c>
      <c r="O169">
        <v>0</v>
      </c>
      <c r="P169" t="s">
        <v>218</v>
      </c>
      <c r="Q169" t="s">
        <v>1717</v>
      </c>
      <c r="R169">
        <v>5.36</v>
      </c>
      <c r="S169" s="5">
        <v>45281</v>
      </c>
      <c r="T169" s="5">
        <v>45290</v>
      </c>
      <c r="U169" t="s">
        <v>2924</v>
      </c>
    </row>
    <row r="170" spans="1:21" x14ac:dyDescent="0.25">
      <c r="A170" s="5">
        <v>45071</v>
      </c>
      <c r="B170" s="7">
        <f>Table1[[#This Row],[TotalPrice]] * (1 - Table1[[#This Row],[Discount]])</f>
        <v>6195.6624999999995</v>
      </c>
      <c r="C170" s="7">
        <f>Table1[[#This Row],[Net Sales]] * 0.2</f>
        <v>1239.1324999999999</v>
      </c>
      <c r="D170" t="s">
        <v>23</v>
      </c>
      <c r="E170" t="s">
        <v>24</v>
      </c>
      <c r="F170">
        <v>20</v>
      </c>
      <c r="G170">
        <v>343.25</v>
      </c>
      <c r="H170" t="s">
        <v>33</v>
      </c>
      <c r="I170" t="s">
        <v>35</v>
      </c>
      <c r="J170" s="3">
        <v>0.05</v>
      </c>
      <c r="K170" t="s">
        <v>38</v>
      </c>
      <c r="L170">
        <v>6521.75</v>
      </c>
      <c r="M170" t="s">
        <v>46</v>
      </c>
      <c r="N170" t="s">
        <v>48</v>
      </c>
      <c r="O170">
        <v>0</v>
      </c>
      <c r="P170" t="s">
        <v>219</v>
      </c>
      <c r="Q170" t="s">
        <v>1718</v>
      </c>
      <c r="R170">
        <v>28.77</v>
      </c>
      <c r="S170" s="5">
        <v>45071</v>
      </c>
      <c r="T170" s="5">
        <v>45079</v>
      </c>
      <c r="U170" t="s">
        <v>2926</v>
      </c>
    </row>
    <row r="171" spans="1:21" x14ac:dyDescent="0.25">
      <c r="A171" s="5">
        <v>45838</v>
      </c>
      <c r="B171" s="7">
        <f>Table1[[#This Row],[TotalPrice]] * (1 - Table1[[#This Row],[Discount]])</f>
        <v>412.86539999999991</v>
      </c>
      <c r="C171" s="7">
        <f>Table1[[#This Row],[Net Sales]] * 0.2</f>
        <v>82.57307999999999</v>
      </c>
      <c r="D171" t="s">
        <v>22</v>
      </c>
      <c r="E171" t="s">
        <v>27</v>
      </c>
      <c r="F171">
        <v>6</v>
      </c>
      <c r="G171">
        <v>95.24</v>
      </c>
      <c r="H171" t="s">
        <v>34</v>
      </c>
      <c r="I171" t="s">
        <v>35</v>
      </c>
      <c r="J171" s="3">
        <v>0.15</v>
      </c>
      <c r="K171" t="s">
        <v>41</v>
      </c>
      <c r="L171">
        <v>485.72399999999988</v>
      </c>
      <c r="M171" t="s">
        <v>44</v>
      </c>
      <c r="N171" t="s">
        <v>48</v>
      </c>
      <c r="O171">
        <v>0</v>
      </c>
      <c r="P171" t="s">
        <v>220</v>
      </c>
      <c r="Q171" t="s">
        <v>1719</v>
      </c>
      <c r="R171">
        <v>18.72</v>
      </c>
      <c r="S171" s="5">
        <v>45838</v>
      </c>
      <c r="T171" s="5">
        <v>45846</v>
      </c>
      <c r="U171" t="s">
        <v>2925</v>
      </c>
    </row>
    <row r="172" spans="1:21" x14ac:dyDescent="0.25">
      <c r="A172" s="5">
        <v>45700</v>
      </c>
      <c r="B172" s="7">
        <f>Table1[[#This Row],[TotalPrice]] * (1 - Table1[[#This Row],[Discount]])</f>
        <v>1229.5659999999998</v>
      </c>
      <c r="C172" s="7">
        <f>Table1[[#This Row],[Net Sales]] * 0.2</f>
        <v>245.91319999999996</v>
      </c>
      <c r="D172" t="s">
        <v>23</v>
      </c>
      <c r="E172" t="s">
        <v>26</v>
      </c>
      <c r="F172">
        <v>13</v>
      </c>
      <c r="G172">
        <v>104.8</v>
      </c>
      <c r="H172" t="s">
        <v>31</v>
      </c>
      <c r="I172" t="s">
        <v>36</v>
      </c>
      <c r="J172" s="3">
        <v>0.05</v>
      </c>
      <c r="K172" t="s">
        <v>41</v>
      </c>
      <c r="L172">
        <v>1294.28</v>
      </c>
      <c r="M172" t="s">
        <v>45</v>
      </c>
      <c r="N172" t="s">
        <v>50</v>
      </c>
      <c r="O172">
        <v>0</v>
      </c>
      <c r="P172" t="s">
        <v>221</v>
      </c>
      <c r="Q172" t="s">
        <v>1720</v>
      </c>
      <c r="R172">
        <v>7.79</v>
      </c>
      <c r="S172" s="5">
        <v>45700</v>
      </c>
      <c r="T172" s="5">
        <v>45707</v>
      </c>
      <c r="U172" t="s">
        <v>2926</v>
      </c>
    </row>
    <row r="173" spans="1:21" x14ac:dyDescent="0.25">
      <c r="A173" s="5">
        <v>45294</v>
      </c>
      <c r="B173" s="7">
        <f>Table1[[#This Row],[TotalPrice]] * (1 - Table1[[#This Row],[Discount]])</f>
        <v>1597.0932</v>
      </c>
      <c r="C173" s="7">
        <f>Table1[[#This Row],[Net Sales]] * 0.2</f>
        <v>319.41864000000004</v>
      </c>
      <c r="D173" t="s">
        <v>23</v>
      </c>
      <c r="E173" t="s">
        <v>29</v>
      </c>
      <c r="F173">
        <v>12</v>
      </c>
      <c r="G173">
        <v>164.31</v>
      </c>
      <c r="H173" t="s">
        <v>31</v>
      </c>
      <c r="I173" t="s">
        <v>35</v>
      </c>
      <c r="J173" s="3">
        <v>0.1</v>
      </c>
      <c r="K173" t="s">
        <v>37</v>
      </c>
      <c r="L173">
        <v>1774.548</v>
      </c>
      <c r="M173" t="s">
        <v>47</v>
      </c>
      <c r="O173">
        <v>1</v>
      </c>
      <c r="P173" t="s">
        <v>222</v>
      </c>
      <c r="Q173" t="s">
        <v>1721</v>
      </c>
      <c r="R173">
        <v>38.9</v>
      </c>
      <c r="S173" s="5">
        <v>45294</v>
      </c>
      <c r="T173" s="5">
        <v>45298</v>
      </c>
      <c r="U173" t="s">
        <v>2926</v>
      </c>
    </row>
    <row r="174" spans="1:21" x14ac:dyDescent="0.25">
      <c r="A174" s="5">
        <v>44960</v>
      </c>
      <c r="B174" s="7">
        <f>Table1[[#This Row],[TotalPrice]] * (1 - Table1[[#This Row],[Discount]])</f>
        <v>2633.9580000000001</v>
      </c>
      <c r="C174" s="7">
        <f>Table1[[#This Row],[Net Sales]] * 0.2</f>
        <v>526.79160000000002</v>
      </c>
      <c r="D174" t="s">
        <v>20</v>
      </c>
      <c r="E174" t="s">
        <v>29</v>
      </c>
      <c r="F174">
        <v>10</v>
      </c>
      <c r="G174">
        <v>325.18</v>
      </c>
      <c r="H174" t="s">
        <v>33</v>
      </c>
      <c r="I174" t="s">
        <v>35</v>
      </c>
      <c r="J174" s="3">
        <v>0.1</v>
      </c>
      <c r="K174" t="s">
        <v>38</v>
      </c>
      <c r="L174">
        <v>2926.62</v>
      </c>
      <c r="M174" t="s">
        <v>47</v>
      </c>
      <c r="N174" t="s">
        <v>50</v>
      </c>
      <c r="O174">
        <v>0</v>
      </c>
      <c r="P174" t="s">
        <v>223</v>
      </c>
      <c r="Q174" t="s">
        <v>1722</v>
      </c>
      <c r="R174">
        <v>47.39</v>
      </c>
      <c r="S174" s="5">
        <v>44960</v>
      </c>
      <c r="T174" s="5">
        <v>44970</v>
      </c>
      <c r="U174" t="s">
        <v>2923</v>
      </c>
    </row>
    <row r="175" spans="1:21" x14ac:dyDescent="0.25">
      <c r="A175" s="5">
        <v>45352</v>
      </c>
      <c r="B175" s="7">
        <f>Table1[[#This Row],[TotalPrice]] * (1 - Table1[[#This Row],[Discount]])</f>
        <v>9227.94</v>
      </c>
      <c r="C175" s="7">
        <f>Table1[[#This Row],[Net Sales]] * 0.2</f>
        <v>1845.5880000000002</v>
      </c>
      <c r="D175" t="s">
        <v>19</v>
      </c>
      <c r="E175" t="s">
        <v>28</v>
      </c>
      <c r="F175">
        <v>17</v>
      </c>
      <c r="G175">
        <v>542.82000000000005</v>
      </c>
      <c r="H175" t="s">
        <v>32</v>
      </c>
      <c r="I175" t="s">
        <v>35</v>
      </c>
      <c r="J175" s="3">
        <v>0</v>
      </c>
      <c r="K175" t="s">
        <v>38</v>
      </c>
      <c r="L175">
        <v>9227.94</v>
      </c>
      <c r="M175" t="s">
        <v>46</v>
      </c>
      <c r="N175" t="s">
        <v>50</v>
      </c>
      <c r="O175">
        <v>1</v>
      </c>
      <c r="P175" t="s">
        <v>224</v>
      </c>
      <c r="Q175" t="s">
        <v>1723</v>
      </c>
      <c r="R175">
        <v>7.13</v>
      </c>
      <c r="S175" s="5">
        <v>45352</v>
      </c>
      <c r="T175" s="5">
        <v>45359</v>
      </c>
      <c r="U175" t="s">
        <v>2922</v>
      </c>
    </row>
    <row r="176" spans="1:21" x14ac:dyDescent="0.25">
      <c r="A176" s="5">
        <v>45070</v>
      </c>
      <c r="B176" s="7">
        <f>Table1[[#This Row],[TotalPrice]] * (1 - Table1[[#This Row],[Discount]])</f>
        <v>2621.5097999999989</v>
      </c>
      <c r="C176" s="7">
        <f>Table1[[#This Row],[Net Sales]] * 0.2</f>
        <v>524.30195999999978</v>
      </c>
      <c r="D176" t="s">
        <v>21</v>
      </c>
      <c r="E176" t="s">
        <v>29</v>
      </c>
      <c r="F176">
        <v>14</v>
      </c>
      <c r="G176">
        <v>207.48</v>
      </c>
      <c r="H176" t="s">
        <v>33</v>
      </c>
      <c r="I176" t="s">
        <v>35</v>
      </c>
      <c r="J176" s="3">
        <v>0.05</v>
      </c>
      <c r="K176" t="s">
        <v>37</v>
      </c>
      <c r="L176">
        <v>2759.483999999999</v>
      </c>
      <c r="M176" t="s">
        <v>43</v>
      </c>
      <c r="O176">
        <v>0</v>
      </c>
      <c r="P176" t="s">
        <v>225</v>
      </c>
      <c r="Q176" t="s">
        <v>1724</v>
      </c>
      <c r="R176">
        <v>5.7</v>
      </c>
      <c r="S176" s="5">
        <v>45070</v>
      </c>
      <c r="T176" s="5">
        <v>45079</v>
      </c>
      <c r="U176" t="s">
        <v>2924</v>
      </c>
    </row>
    <row r="177" spans="1:21" x14ac:dyDescent="0.25">
      <c r="A177" s="5">
        <v>45830</v>
      </c>
      <c r="B177" s="7">
        <f>Table1[[#This Row],[TotalPrice]] * (1 - Table1[[#This Row],[Discount]])</f>
        <v>8098.9988999999987</v>
      </c>
      <c r="C177" s="7">
        <f>Table1[[#This Row],[Net Sales]] * 0.2</f>
        <v>1619.7997799999998</v>
      </c>
      <c r="D177" t="s">
        <v>21</v>
      </c>
      <c r="E177" t="s">
        <v>30</v>
      </c>
      <c r="F177">
        <v>17</v>
      </c>
      <c r="G177">
        <v>527.88</v>
      </c>
      <c r="H177" t="s">
        <v>34</v>
      </c>
      <c r="I177" t="s">
        <v>36</v>
      </c>
      <c r="J177" s="3">
        <v>0.05</v>
      </c>
      <c r="K177" t="s">
        <v>42</v>
      </c>
      <c r="L177">
        <v>8525.2619999999988</v>
      </c>
      <c r="M177" t="s">
        <v>47</v>
      </c>
      <c r="N177" t="s">
        <v>50</v>
      </c>
      <c r="O177">
        <v>0</v>
      </c>
      <c r="P177" t="s">
        <v>226</v>
      </c>
      <c r="Q177" t="s">
        <v>1725</v>
      </c>
      <c r="R177">
        <v>21.32</v>
      </c>
      <c r="S177" s="5">
        <v>45830</v>
      </c>
      <c r="T177" s="5">
        <v>45836</v>
      </c>
      <c r="U177" t="s">
        <v>2924</v>
      </c>
    </row>
    <row r="178" spans="1:21" x14ac:dyDescent="0.25">
      <c r="A178" s="5">
        <v>45026</v>
      </c>
      <c r="B178" s="7">
        <f>Table1[[#This Row],[TotalPrice]] * (1 - Table1[[#This Row],[Discount]])</f>
        <v>706.93727499999989</v>
      </c>
      <c r="C178" s="7">
        <f>Table1[[#This Row],[Net Sales]] * 0.2</f>
        <v>141.38745499999999</v>
      </c>
      <c r="D178" t="s">
        <v>21</v>
      </c>
      <c r="E178" t="s">
        <v>27</v>
      </c>
      <c r="F178">
        <v>11</v>
      </c>
      <c r="G178">
        <v>71.209999999999994</v>
      </c>
      <c r="H178" t="s">
        <v>31</v>
      </c>
      <c r="I178" t="s">
        <v>36</v>
      </c>
      <c r="J178" s="3">
        <v>0.05</v>
      </c>
      <c r="K178" t="s">
        <v>41</v>
      </c>
      <c r="L178">
        <v>744.14449999999988</v>
      </c>
      <c r="M178" t="s">
        <v>43</v>
      </c>
      <c r="O178">
        <v>1</v>
      </c>
      <c r="P178" t="s">
        <v>227</v>
      </c>
      <c r="Q178" t="s">
        <v>1726</v>
      </c>
      <c r="R178">
        <v>44.2</v>
      </c>
      <c r="S178" s="5">
        <v>45026</v>
      </c>
      <c r="T178" s="5">
        <v>45030</v>
      </c>
      <c r="U178" t="s">
        <v>2924</v>
      </c>
    </row>
    <row r="179" spans="1:21" x14ac:dyDescent="0.25">
      <c r="A179" s="5">
        <v>45720</v>
      </c>
      <c r="B179" s="7">
        <f>Table1[[#This Row],[TotalPrice]] * (1 - Table1[[#This Row],[Discount]])</f>
        <v>3888.56</v>
      </c>
      <c r="C179" s="7">
        <f>Table1[[#This Row],[Net Sales]] * 0.2</f>
        <v>777.71199999999999</v>
      </c>
      <c r="D179" t="s">
        <v>22</v>
      </c>
      <c r="E179" t="s">
        <v>30</v>
      </c>
      <c r="F179">
        <v>8</v>
      </c>
      <c r="G179">
        <v>486.07</v>
      </c>
      <c r="H179" t="s">
        <v>31</v>
      </c>
      <c r="I179" t="s">
        <v>36</v>
      </c>
      <c r="J179" s="3">
        <v>0</v>
      </c>
      <c r="K179" t="s">
        <v>40</v>
      </c>
      <c r="L179">
        <v>3888.56</v>
      </c>
      <c r="M179" t="s">
        <v>46</v>
      </c>
      <c r="N179" t="s">
        <v>48</v>
      </c>
      <c r="O179">
        <v>0</v>
      </c>
      <c r="P179" t="s">
        <v>228</v>
      </c>
      <c r="Q179" t="s">
        <v>1727</v>
      </c>
      <c r="R179">
        <v>10.68</v>
      </c>
      <c r="S179" s="5">
        <v>45720</v>
      </c>
      <c r="T179" s="5">
        <v>45726</v>
      </c>
      <c r="U179" t="s">
        <v>2925</v>
      </c>
    </row>
    <row r="180" spans="1:21" x14ac:dyDescent="0.25">
      <c r="A180" s="5">
        <v>45484</v>
      </c>
      <c r="B180" s="7">
        <f>Table1[[#This Row],[TotalPrice]] * (1 - Table1[[#This Row],[Discount]])</f>
        <v>2697.4458</v>
      </c>
      <c r="C180" s="7">
        <f>Table1[[#This Row],[Net Sales]] * 0.2</f>
        <v>539.48915999999997</v>
      </c>
      <c r="D180" t="s">
        <v>19</v>
      </c>
      <c r="E180" t="s">
        <v>24</v>
      </c>
      <c r="F180">
        <v>6</v>
      </c>
      <c r="G180">
        <v>555.03</v>
      </c>
      <c r="H180" t="s">
        <v>33</v>
      </c>
      <c r="I180" t="s">
        <v>36</v>
      </c>
      <c r="J180" s="3">
        <v>0.1</v>
      </c>
      <c r="K180" t="s">
        <v>39</v>
      </c>
      <c r="L180">
        <v>2997.1619999999998</v>
      </c>
      <c r="M180" t="s">
        <v>45</v>
      </c>
      <c r="O180">
        <v>1</v>
      </c>
      <c r="P180" t="s">
        <v>229</v>
      </c>
      <c r="Q180" t="s">
        <v>1728</v>
      </c>
      <c r="R180">
        <v>23.69</v>
      </c>
      <c r="S180" s="5">
        <v>45484</v>
      </c>
      <c r="T180" s="5">
        <v>45493</v>
      </c>
      <c r="U180" t="s">
        <v>2922</v>
      </c>
    </row>
    <row r="181" spans="1:21" x14ac:dyDescent="0.25">
      <c r="A181" s="5">
        <v>45521</v>
      </c>
      <c r="B181" s="7">
        <f>Table1[[#This Row],[TotalPrice]] * (1 - Table1[[#This Row],[Discount]])</f>
        <v>5474.04</v>
      </c>
      <c r="C181" s="7">
        <f>Table1[[#This Row],[Net Sales]] * 0.2</f>
        <v>1094.808</v>
      </c>
      <c r="D181" t="s">
        <v>19</v>
      </c>
      <c r="E181" t="s">
        <v>26</v>
      </c>
      <c r="F181">
        <v>13</v>
      </c>
      <c r="G181">
        <v>421.08</v>
      </c>
      <c r="H181" t="s">
        <v>31</v>
      </c>
      <c r="I181" t="s">
        <v>35</v>
      </c>
      <c r="J181" s="3">
        <v>0</v>
      </c>
      <c r="K181" t="s">
        <v>42</v>
      </c>
      <c r="L181">
        <v>5474.04</v>
      </c>
      <c r="M181" t="s">
        <v>47</v>
      </c>
      <c r="O181">
        <v>0</v>
      </c>
      <c r="P181" t="s">
        <v>230</v>
      </c>
      <c r="Q181" t="s">
        <v>1729</v>
      </c>
      <c r="R181">
        <v>24.51</v>
      </c>
      <c r="S181" s="5">
        <v>45521</v>
      </c>
      <c r="T181" s="5">
        <v>45524</v>
      </c>
      <c r="U181" t="s">
        <v>2922</v>
      </c>
    </row>
    <row r="182" spans="1:21" x14ac:dyDescent="0.25">
      <c r="A182" s="5">
        <v>45838</v>
      </c>
      <c r="B182" s="7">
        <f>Table1[[#This Row],[TotalPrice]] * (1 - Table1[[#This Row],[Discount]])</f>
        <v>987.16319999999996</v>
      </c>
      <c r="C182" s="7">
        <f>Table1[[#This Row],[Net Sales]] * 0.2</f>
        <v>197.43263999999999</v>
      </c>
      <c r="D182" t="s">
        <v>21</v>
      </c>
      <c r="E182" t="s">
        <v>24</v>
      </c>
      <c r="F182">
        <v>16</v>
      </c>
      <c r="G182">
        <v>76.17</v>
      </c>
      <c r="H182" t="s">
        <v>34</v>
      </c>
      <c r="I182" t="s">
        <v>35</v>
      </c>
      <c r="J182" s="3">
        <v>0.1</v>
      </c>
      <c r="K182" t="s">
        <v>38</v>
      </c>
      <c r="L182">
        <v>1096.848</v>
      </c>
      <c r="M182" t="s">
        <v>47</v>
      </c>
      <c r="N182" t="s">
        <v>50</v>
      </c>
      <c r="O182">
        <v>0</v>
      </c>
      <c r="P182" t="s">
        <v>231</v>
      </c>
      <c r="Q182" t="s">
        <v>1730</v>
      </c>
      <c r="R182">
        <v>41.88</v>
      </c>
      <c r="S182" s="5">
        <v>45838</v>
      </c>
      <c r="T182" s="5">
        <v>45847</v>
      </c>
      <c r="U182" t="s">
        <v>2924</v>
      </c>
    </row>
    <row r="183" spans="1:21" x14ac:dyDescent="0.25">
      <c r="A183" s="5">
        <v>45602</v>
      </c>
      <c r="B183" s="7">
        <f>Table1[[#This Row],[TotalPrice]] * (1 - Table1[[#This Row],[Discount]])</f>
        <v>1223.6265000000001</v>
      </c>
      <c r="C183" s="7">
        <f>Table1[[#This Row],[Net Sales]] * 0.2</f>
        <v>244.72530000000003</v>
      </c>
      <c r="D183" t="s">
        <v>20</v>
      </c>
      <c r="E183" t="s">
        <v>30</v>
      </c>
      <c r="F183">
        <v>3</v>
      </c>
      <c r="G183">
        <v>503.55</v>
      </c>
      <c r="H183" t="s">
        <v>33</v>
      </c>
      <c r="I183" t="s">
        <v>35</v>
      </c>
      <c r="J183" s="3">
        <v>0.1</v>
      </c>
      <c r="K183" t="s">
        <v>42</v>
      </c>
      <c r="L183">
        <v>1359.585</v>
      </c>
      <c r="M183" t="s">
        <v>45</v>
      </c>
      <c r="N183" t="s">
        <v>50</v>
      </c>
      <c r="O183">
        <v>0</v>
      </c>
      <c r="P183" t="s">
        <v>232</v>
      </c>
      <c r="Q183" t="s">
        <v>1731</v>
      </c>
      <c r="R183">
        <v>37.49</v>
      </c>
      <c r="S183" s="5">
        <v>45602</v>
      </c>
      <c r="T183" s="5">
        <v>45609</v>
      </c>
      <c r="U183" t="s">
        <v>2923</v>
      </c>
    </row>
    <row r="184" spans="1:21" x14ac:dyDescent="0.25">
      <c r="A184" s="5">
        <v>45748</v>
      </c>
      <c r="B184" s="7">
        <f>Table1[[#This Row],[TotalPrice]] * (1 - Table1[[#This Row],[Discount]])</f>
        <v>157.80000000000001</v>
      </c>
      <c r="C184" s="7">
        <f>Table1[[#This Row],[Net Sales]] * 0.2</f>
        <v>31.560000000000002</v>
      </c>
      <c r="D184" t="s">
        <v>19</v>
      </c>
      <c r="E184" t="s">
        <v>29</v>
      </c>
      <c r="F184">
        <v>5</v>
      </c>
      <c r="G184">
        <v>31.56</v>
      </c>
      <c r="H184" t="s">
        <v>34</v>
      </c>
      <c r="I184" t="s">
        <v>36</v>
      </c>
      <c r="J184" s="3">
        <v>0</v>
      </c>
      <c r="K184" t="s">
        <v>41</v>
      </c>
      <c r="L184">
        <v>157.80000000000001</v>
      </c>
      <c r="M184" t="s">
        <v>43</v>
      </c>
      <c r="N184" t="s">
        <v>49</v>
      </c>
      <c r="O184">
        <v>1</v>
      </c>
      <c r="P184" t="s">
        <v>233</v>
      </c>
      <c r="Q184" t="s">
        <v>1732</v>
      </c>
      <c r="R184">
        <v>29.56</v>
      </c>
      <c r="S184" s="5">
        <v>45748</v>
      </c>
      <c r="T184" s="5">
        <v>45751</v>
      </c>
      <c r="U184" t="s">
        <v>2922</v>
      </c>
    </row>
    <row r="185" spans="1:21" x14ac:dyDescent="0.25">
      <c r="A185" s="5">
        <v>45474</v>
      </c>
      <c r="B185" s="7">
        <f>Table1[[#This Row],[TotalPrice]] * (1 - Table1[[#This Row],[Discount]])</f>
        <v>1052.9648</v>
      </c>
      <c r="C185" s="7">
        <f>Table1[[#This Row],[Net Sales]] * 0.2</f>
        <v>210.59296000000001</v>
      </c>
      <c r="D185" t="s">
        <v>23</v>
      </c>
      <c r="E185" t="s">
        <v>24</v>
      </c>
      <c r="F185">
        <v>16</v>
      </c>
      <c r="G185">
        <v>72.92</v>
      </c>
      <c r="H185" t="s">
        <v>33</v>
      </c>
      <c r="I185" t="s">
        <v>35</v>
      </c>
      <c r="J185" s="3">
        <v>0.05</v>
      </c>
      <c r="K185" t="s">
        <v>39</v>
      </c>
      <c r="L185">
        <v>1108.384</v>
      </c>
      <c r="M185" t="s">
        <v>47</v>
      </c>
      <c r="N185" t="s">
        <v>48</v>
      </c>
      <c r="O185">
        <v>0</v>
      </c>
      <c r="P185" t="s">
        <v>234</v>
      </c>
      <c r="Q185" t="s">
        <v>1733</v>
      </c>
      <c r="R185">
        <v>5.7</v>
      </c>
      <c r="S185" s="5">
        <v>45474</v>
      </c>
      <c r="T185" s="5">
        <v>45479</v>
      </c>
      <c r="U185" t="s">
        <v>2926</v>
      </c>
    </row>
    <row r="186" spans="1:21" x14ac:dyDescent="0.25">
      <c r="A186" s="5">
        <v>45269</v>
      </c>
      <c r="B186" s="7">
        <f>Table1[[#This Row],[TotalPrice]] * (1 - Table1[[#This Row],[Discount]])</f>
        <v>6854.2528499999989</v>
      </c>
      <c r="C186" s="7">
        <f>Table1[[#This Row],[Net Sales]] * 0.2</f>
        <v>1370.8505699999998</v>
      </c>
      <c r="D186" t="s">
        <v>23</v>
      </c>
      <c r="E186" t="s">
        <v>30</v>
      </c>
      <c r="F186">
        <v>18</v>
      </c>
      <c r="G186">
        <v>421.93</v>
      </c>
      <c r="H186" t="s">
        <v>34</v>
      </c>
      <c r="I186" t="s">
        <v>36</v>
      </c>
      <c r="J186" s="3">
        <v>0.05</v>
      </c>
      <c r="K186" t="s">
        <v>42</v>
      </c>
      <c r="L186">
        <v>7215.0029999999997</v>
      </c>
      <c r="M186" t="s">
        <v>44</v>
      </c>
      <c r="N186" t="s">
        <v>50</v>
      </c>
      <c r="O186">
        <v>0</v>
      </c>
      <c r="P186" t="s">
        <v>235</v>
      </c>
      <c r="Q186" t="s">
        <v>1734</v>
      </c>
      <c r="R186">
        <v>23.42</v>
      </c>
      <c r="S186" s="5">
        <v>45269</v>
      </c>
      <c r="T186" s="5">
        <v>45278</v>
      </c>
      <c r="U186" t="s">
        <v>2926</v>
      </c>
    </row>
    <row r="187" spans="1:21" x14ac:dyDescent="0.25">
      <c r="A187" s="5">
        <v>45104</v>
      </c>
      <c r="B187" s="7">
        <f>Table1[[#This Row],[TotalPrice]] * (1 - Table1[[#This Row],[Discount]])</f>
        <v>5812.6815000000006</v>
      </c>
      <c r="C187" s="7">
        <f>Table1[[#This Row],[Net Sales]] * 0.2</f>
        <v>1162.5363000000002</v>
      </c>
      <c r="D187" t="s">
        <v>21</v>
      </c>
      <c r="E187" t="s">
        <v>26</v>
      </c>
      <c r="F187">
        <v>15</v>
      </c>
      <c r="G187">
        <v>478.41</v>
      </c>
      <c r="H187" t="s">
        <v>31</v>
      </c>
      <c r="I187" t="s">
        <v>36</v>
      </c>
      <c r="J187" s="3">
        <v>0.1</v>
      </c>
      <c r="K187" t="s">
        <v>40</v>
      </c>
      <c r="L187">
        <v>6458.5350000000008</v>
      </c>
      <c r="M187" t="s">
        <v>46</v>
      </c>
      <c r="N187" t="s">
        <v>48</v>
      </c>
      <c r="O187">
        <v>0</v>
      </c>
      <c r="P187" t="s">
        <v>236</v>
      </c>
      <c r="Q187" t="s">
        <v>1735</v>
      </c>
      <c r="R187">
        <v>35.630000000000003</v>
      </c>
      <c r="S187" s="5">
        <v>45104</v>
      </c>
      <c r="T187" s="5">
        <v>45107</v>
      </c>
      <c r="U187" t="s">
        <v>2924</v>
      </c>
    </row>
    <row r="188" spans="1:21" x14ac:dyDescent="0.25">
      <c r="A188" s="5">
        <v>45121</v>
      </c>
      <c r="B188" s="7">
        <f>Table1[[#This Row],[TotalPrice]] * (1 - Table1[[#This Row],[Discount]])</f>
        <v>4515.66</v>
      </c>
      <c r="C188" s="7">
        <f>Table1[[#This Row],[Net Sales]] * 0.2</f>
        <v>903.13200000000006</v>
      </c>
      <c r="D188" t="s">
        <v>20</v>
      </c>
      <c r="E188" t="s">
        <v>27</v>
      </c>
      <c r="F188">
        <v>9</v>
      </c>
      <c r="G188">
        <v>501.74</v>
      </c>
      <c r="H188" t="s">
        <v>34</v>
      </c>
      <c r="I188" t="s">
        <v>36</v>
      </c>
      <c r="J188" s="3">
        <v>0</v>
      </c>
      <c r="K188" t="s">
        <v>42</v>
      </c>
      <c r="L188">
        <v>4515.66</v>
      </c>
      <c r="M188" t="s">
        <v>43</v>
      </c>
      <c r="N188" t="s">
        <v>49</v>
      </c>
      <c r="O188">
        <v>1</v>
      </c>
      <c r="P188" t="s">
        <v>237</v>
      </c>
      <c r="Q188" t="s">
        <v>1736</v>
      </c>
      <c r="R188">
        <v>39.74</v>
      </c>
      <c r="S188" s="5">
        <v>45121</v>
      </c>
      <c r="T188" s="5">
        <v>45124</v>
      </c>
      <c r="U188" t="s">
        <v>2923</v>
      </c>
    </row>
    <row r="189" spans="1:21" x14ac:dyDescent="0.25">
      <c r="A189" s="5">
        <v>44965</v>
      </c>
      <c r="B189" s="7">
        <f>Table1[[#This Row],[TotalPrice]] * (1 - Table1[[#This Row],[Discount]])</f>
        <v>1251.882975</v>
      </c>
      <c r="C189" s="7">
        <f>Table1[[#This Row],[Net Sales]] * 0.2</f>
        <v>250.37659500000001</v>
      </c>
      <c r="D189" t="s">
        <v>20</v>
      </c>
      <c r="E189" t="s">
        <v>29</v>
      </c>
      <c r="F189">
        <v>7</v>
      </c>
      <c r="G189">
        <v>247.53</v>
      </c>
      <c r="H189" t="s">
        <v>33</v>
      </c>
      <c r="I189" t="s">
        <v>35</v>
      </c>
      <c r="J189" s="3">
        <v>0.15</v>
      </c>
      <c r="K189" t="s">
        <v>38</v>
      </c>
      <c r="L189">
        <v>1472.8035</v>
      </c>
      <c r="M189" t="s">
        <v>44</v>
      </c>
      <c r="N189" t="s">
        <v>48</v>
      </c>
      <c r="O189">
        <v>0</v>
      </c>
      <c r="P189" t="s">
        <v>238</v>
      </c>
      <c r="Q189" t="s">
        <v>1737</v>
      </c>
      <c r="R189">
        <v>13.63</v>
      </c>
      <c r="S189" s="5">
        <v>44965</v>
      </c>
      <c r="T189" s="5">
        <v>44973</v>
      </c>
      <c r="U189" t="s">
        <v>2923</v>
      </c>
    </row>
    <row r="190" spans="1:21" x14ac:dyDescent="0.25">
      <c r="A190" s="5">
        <v>45471</v>
      </c>
      <c r="B190" s="7">
        <f>Table1[[#This Row],[TotalPrice]] * (1 - Table1[[#This Row],[Discount]])</f>
        <v>765.17084999999986</v>
      </c>
      <c r="C190" s="7">
        <f>Table1[[#This Row],[Net Sales]] * 0.2</f>
        <v>153.03416999999999</v>
      </c>
      <c r="D190" t="s">
        <v>23</v>
      </c>
      <c r="E190" t="s">
        <v>29</v>
      </c>
      <c r="F190">
        <v>6</v>
      </c>
      <c r="G190">
        <v>176.51</v>
      </c>
      <c r="H190" t="s">
        <v>33</v>
      </c>
      <c r="I190" t="s">
        <v>35</v>
      </c>
      <c r="J190" s="3">
        <v>0.15</v>
      </c>
      <c r="K190" t="s">
        <v>40</v>
      </c>
      <c r="L190">
        <v>900.20099999999991</v>
      </c>
      <c r="M190" t="s">
        <v>46</v>
      </c>
      <c r="N190" t="s">
        <v>48</v>
      </c>
      <c r="O190">
        <v>1</v>
      </c>
      <c r="P190" t="s">
        <v>239</v>
      </c>
      <c r="Q190" t="s">
        <v>1738</v>
      </c>
      <c r="R190">
        <v>31.02</v>
      </c>
      <c r="S190" s="5">
        <v>45471</v>
      </c>
      <c r="T190" s="5">
        <v>45480</v>
      </c>
      <c r="U190" t="s">
        <v>2926</v>
      </c>
    </row>
    <row r="191" spans="1:21" x14ac:dyDescent="0.25">
      <c r="A191" s="5">
        <v>45397</v>
      </c>
      <c r="B191" s="7">
        <f>Table1[[#This Row],[TotalPrice]] * (1 - Table1[[#This Row],[Discount]])</f>
        <v>286.86</v>
      </c>
      <c r="C191" s="7">
        <f>Table1[[#This Row],[Net Sales]] * 0.2</f>
        <v>57.372000000000007</v>
      </c>
      <c r="D191" t="s">
        <v>23</v>
      </c>
      <c r="E191" t="s">
        <v>24</v>
      </c>
      <c r="F191">
        <v>2</v>
      </c>
      <c r="G191">
        <v>143.43</v>
      </c>
      <c r="H191" t="s">
        <v>34</v>
      </c>
      <c r="I191" t="s">
        <v>35</v>
      </c>
      <c r="J191" s="3">
        <v>0</v>
      </c>
      <c r="K191" t="s">
        <v>42</v>
      </c>
      <c r="L191">
        <v>286.86</v>
      </c>
      <c r="M191" t="s">
        <v>45</v>
      </c>
      <c r="O191">
        <v>0</v>
      </c>
      <c r="P191" t="s">
        <v>240</v>
      </c>
      <c r="Q191" t="s">
        <v>1739</v>
      </c>
      <c r="R191">
        <v>36.94</v>
      </c>
      <c r="S191" s="5">
        <v>45397</v>
      </c>
      <c r="T191" s="5">
        <v>45404</v>
      </c>
      <c r="U191" t="s">
        <v>2926</v>
      </c>
    </row>
    <row r="192" spans="1:21" x14ac:dyDescent="0.25">
      <c r="A192" s="5">
        <v>45257</v>
      </c>
      <c r="B192" s="7">
        <f>Table1[[#This Row],[TotalPrice]] * (1 - Table1[[#This Row],[Discount]])</f>
        <v>5831.954999999999</v>
      </c>
      <c r="C192" s="7">
        <f>Table1[[#This Row],[Net Sales]] * 0.2</f>
        <v>1166.3909999999998</v>
      </c>
      <c r="D192" t="s">
        <v>19</v>
      </c>
      <c r="E192" t="s">
        <v>28</v>
      </c>
      <c r="F192">
        <v>12</v>
      </c>
      <c r="G192">
        <v>538.5</v>
      </c>
      <c r="H192" t="s">
        <v>33</v>
      </c>
      <c r="I192" t="s">
        <v>35</v>
      </c>
      <c r="J192" s="3">
        <v>0.05</v>
      </c>
      <c r="K192" t="s">
        <v>38</v>
      </c>
      <c r="L192">
        <v>6138.9</v>
      </c>
      <c r="M192" t="s">
        <v>47</v>
      </c>
      <c r="N192" t="s">
        <v>49</v>
      </c>
      <c r="O192">
        <v>0</v>
      </c>
      <c r="P192" t="s">
        <v>241</v>
      </c>
      <c r="Q192" t="s">
        <v>1740</v>
      </c>
      <c r="R192">
        <v>18.54</v>
      </c>
      <c r="S192" s="5">
        <v>45257</v>
      </c>
      <c r="T192" s="5">
        <v>45266</v>
      </c>
      <c r="U192" t="s">
        <v>2922</v>
      </c>
    </row>
    <row r="193" spans="1:21" x14ac:dyDescent="0.25">
      <c r="A193" s="5">
        <v>45743</v>
      </c>
      <c r="B193" s="7">
        <f>Table1[[#This Row],[TotalPrice]] * (1 - Table1[[#This Row],[Discount]])</f>
        <v>435.85</v>
      </c>
      <c r="C193" s="7">
        <f>Table1[[#This Row],[Net Sales]] * 0.2</f>
        <v>87.170000000000016</v>
      </c>
      <c r="D193" t="s">
        <v>19</v>
      </c>
      <c r="E193" t="s">
        <v>30</v>
      </c>
      <c r="F193">
        <v>5</v>
      </c>
      <c r="G193">
        <v>87.17</v>
      </c>
      <c r="H193" t="s">
        <v>34</v>
      </c>
      <c r="I193" t="s">
        <v>35</v>
      </c>
      <c r="J193" s="3">
        <v>0</v>
      </c>
      <c r="K193" t="s">
        <v>40</v>
      </c>
      <c r="L193">
        <v>435.85</v>
      </c>
      <c r="M193" t="s">
        <v>46</v>
      </c>
      <c r="O193">
        <v>0</v>
      </c>
      <c r="P193" t="s">
        <v>242</v>
      </c>
      <c r="Q193" t="s">
        <v>1741</v>
      </c>
      <c r="R193">
        <v>13.01</v>
      </c>
      <c r="S193" s="5">
        <v>45743</v>
      </c>
      <c r="T193" s="5">
        <v>45745</v>
      </c>
      <c r="U193" t="s">
        <v>2922</v>
      </c>
    </row>
    <row r="194" spans="1:21" x14ac:dyDescent="0.25">
      <c r="A194" s="5">
        <v>45144</v>
      </c>
      <c r="B194" s="7">
        <f>Table1[[#This Row],[TotalPrice]] * (1 - Table1[[#This Row],[Discount]])</f>
        <v>2825.4744000000001</v>
      </c>
      <c r="C194" s="7">
        <f>Table1[[#This Row],[Net Sales]] * 0.2</f>
        <v>565.09487999999999</v>
      </c>
      <c r="D194" t="s">
        <v>20</v>
      </c>
      <c r="E194" t="s">
        <v>28</v>
      </c>
      <c r="F194">
        <v>7</v>
      </c>
      <c r="G194">
        <v>498.32</v>
      </c>
      <c r="H194" t="s">
        <v>31</v>
      </c>
      <c r="I194" t="s">
        <v>35</v>
      </c>
      <c r="J194" s="3">
        <v>0.1</v>
      </c>
      <c r="K194" t="s">
        <v>38</v>
      </c>
      <c r="L194">
        <v>3139.4160000000002</v>
      </c>
      <c r="M194" t="s">
        <v>45</v>
      </c>
      <c r="N194" t="s">
        <v>50</v>
      </c>
      <c r="O194">
        <v>1</v>
      </c>
      <c r="P194" t="s">
        <v>243</v>
      </c>
      <c r="Q194" t="s">
        <v>1742</v>
      </c>
      <c r="R194">
        <v>27.65</v>
      </c>
      <c r="S194" s="5">
        <v>45144</v>
      </c>
      <c r="T194" s="5">
        <v>45148</v>
      </c>
      <c r="U194" t="s">
        <v>2923</v>
      </c>
    </row>
    <row r="195" spans="1:21" x14ac:dyDescent="0.25">
      <c r="A195" s="5">
        <v>45639</v>
      </c>
      <c r="B195" s="7">
        <f>Table1[[#This Row],[TotalPrice]] * (1 - Table1[[#This Row],[Discount]])</f>
        <v>619.25474999999994</v>
      </c>
      <c r="C195" s="7">
        <f>Table1[[#This Row],[Net Sales]] * 0.2</f>
        <v>123.85095</v>
      </c>
      <c r="D195" t="s">
        <v>20</v>
      </c>
      <c r="E195" t="s">
        <v>30</v>
      </c>
      <c r="F195">
        <v>15</v>
      </c>
      <c r="G195">
        <v>57.14</v>
      </c>
      <c r="H195" t="s">
        <v>31</v>
      </c>
      <c r="I195" t="s">
        <v>35</v>
      </c>
      <c r="J195" s="3">
        <v>0.15</v>
      </c>
      <c r="K195" t="s">
        <v>40</v>
      </c>
      <c r="L195">
        <v>728.53499999999997</v>
      </c>
      <c r="M195" t="s">
        <v>46</v>
      </c>
      <c r="N195" t="s">
        <v>48</v>
      </c>
      <c r="O195">
        <v>0</v>
      </c>
      <c r="P195" t="s">
        <v>244</v>
      </c>
      <c r="Q195" t="s">
        <v>1743</v>
      </c>
      <c r="R195">
        <v>7.02</v>
      </c>
      <c r="S195" s="5">
        <v>45639</v>
      </c>
      <c r="T195" s="5">
        <v>45648</v>
      </c>
      <c r="U195" t="s">
        <v>2923</v>
      </c>
    </row>
    <row r="196" spans="1:21" x14ac:dyDescent="0.25">
      <c r="A196" s="5">
        <v>45674</v>
      </c>
      <c r="B196" s="7">
        <f>Table1[[#This Row],[TotalPrice]] * (1 - Table1[[#This Row],[Discount]])</f>
        <v>1614.9608999999998</v>
      </c>
      <c r="C196" s="7">
        <f>Table1[[#This Row],[Net Sales]] * 0.2</f>
        <v>322.99217999999996</v>
      </c>
      <c r="D196" t="s">
        <v>22</v>
      </c>
      <c r="E196" t="s">
        <v>29</v>
      </c>
      <c r="F196">
        <v>18</v>
      </c>
      <c r="G196">
        <v>124.18</v>
      </c>
      <c r="H196" t="s">
        <v>31</v>
      </c>
      <c r="I196" t="s">
        <v>35</v>
      </c>
      <c r="J196" s="3">
        <v>0.15</v>
      </c>
      <c r="K196" t="s">
        <v>40</v>
      </c>
      <c r="L196">
        <v>1899.954</v>
      </c>
      <c r="M196" t="s">
        <v>46</v>
      </c>
      <c r="N196" t="s">
        <v>49</v>
      </c>
      <c r="O196">
        <v>0</v>
      </c>
      <c r="P196" t="s">
        <v>245</v>
      </c>
      <c r="Q196" t="s">
        <v>1744</v>
      </c>
      <c r="R196">
        <v>45.77</v>
      </c>
      <c r="S196" s="5">
        <v>45674</v>
      </c>
      <c r="T196" s="5">
        <v>45683</v>
      </c>
      <c r="U196" t="s">
        <v>2925</v>
      </c>
    </row>
    <row r="197" spans="1:21" x14ac:dyDescent="0.25">
      <c r="A197" s="5">
        <v>45256</v>
      </c>
      <c r="B197" s="7">
        <f>Table1[[#This Row],[TotalPrice]] * (1 - Table1[[#This Row],[Discount]])</f>
        <v>1044.414</v>
      </c>
      <c r="C197" s="7">
        <f>Table1[[#This Row],[Net Sales]] * 0.2</f>
        <v>208.8828</v>
      </c>
      <c r="D197" t="s">
        <v>23</v>
      </c>
      <c r="E197" t="s">
        <v>26</v>
      </c>
      <c r="F197">
        <v>12</v>
      </c>
      <c r="G197">
        <v>107.45</v>
      </c>
      <c r="H197" t="s">
        <v>33</v>
      </c>
      <c r="I197" t="s">
        <v>36</v>
      </c>
      <c r="J197" s="3">
        <v>0.1</v>
      </c>
      <c r="K197" t="s">
        <v>42</v>
      </c>
      <c r="L197">
        <v>1160.46</v>
      </c>
      <c r="M197" t="s">
        <v>43</v>
      </c>
      <c r="N197" t="s">
        <v>48</v>
      </c>
      <c r="O197">
        <v>0</v>
      </c>
      <c r="P197" t="s">
        <v>246</v>
      </c>
      <c r="Q197" t="s">
        <v>1745</v>
      </c>
      <c r="R197">
        <v>18.170000000000002</v>
      </c>
      <c r="S197" s="5">
        <v>45256</v>
      </c>
      <c r="T197" s="5">
        <v>45262</v>
      </c>
      <c r="U197" t="s">
        <v>2926</v>
      </c>
    </row>
    <row r="198" spans="1:21" x14ac:dyDescent="0.25">
      <c r="A198" s="5">
        <v>44971</v>
      </c>
      <c r="B198" s="7">
        <f>Table1[[#This Row],[TotalPrice]] * (1 - Table1[[#This Row],[Discount]])</f>
        <v>2664.9648000000002</v>
      </c>
      <c r="C198" s="7">
        <f>Table1[[#This Row],[Net Sales]] * 0.2</f>
        <v>532.99296000000004</v>
      </c>
      <c r="D198" t="s">
        <v>19</v>
      </c>
      <c r="E198" t="s">
        <v>27</v>
      </c>
      <c r="F198">
        <v>8</v>
      </c>
      <c r="G198">
        <v>411.26</v>
      </c>
      <c r="H198" t="s">
        <v>32</v>
      </c>
      <c r="I198" t="s">
        <v>36</v>
      </c>
      <c r="J198" s="3">
        <v>0.1</v>
      </c>
      <c r="K198" t="s">
        <v>39</v>
      </c>
      <c r="L198">
        <v>2961.0720000000001</v>
      </c>
      <c r="M198" t="s">
        <v>44</v>
      </c>
      <c r="N198" t="s">
        <v>50</v>
      </c>
      <c r="O198">
        <v>0</v>
      </c>
      <c r="P198" t="s">
        <v>247</v>
      </c>
      <c r="Q198" t="s">
        <v>1746</v>
      </c>
      <c r="R198">
        <v>28.57</v>
      </c>
      <c r="S198" s="5">
        <v>44971</v>
      </c>
      <c r="T198" s="5">
        <v>44975</v>
      </c>
      <c r="U198" t="s">
        <v>2922</v>
      </c>
    </row>
    <row r="199" spans="1:21" x14ac:dyDescent="0.25">
      <c r="A199" s="5">
        <v>45690</v>
      </c>
      <c r="B199" s="7">
        <f>Table1[[#This Row],[TotalPrice]] * (1 - Table1[[#This Row],[Discount]])</f>
        <v>1736.7</v>
      </c>
      <c r="C199" s="7">
        <f>Table1[[#This Row],[Net Sales]] * 0.2</f>
        <v>347.34000000000003</v>
      </c>
      <c r="D199" t="s">
        <v>22</v>
      </c>
      <c r="E199" t="s">
        <v>30</v>
      </c>
      <c r="F199">
        <v>7</v>
      </c>
      <c r="G199">
        <v>248.1</v>
      </c>
      <c r="H199" t="s">
        <v>33</v>
      </c>
      <c r="I199" t="s">
        <v>36</v>
      </c>
      <c r="J199" s="3">
        <v>0</v>
      </c>
      <c r="K199" t="s">
        <v>41</v>
      </c>
      <c r="L199">
        <v>1736.7</v>
      </c>
      <c r="M199" t="s">
        <v>47</v>
      </c>
      <c r="N199" t="s">
        <v>50</v>
      </c>
      <c r="O199">
        <v>0</v>
      </c>
      <c r="P199" t="s">
        <v>248</v>
      </c>
      <c r="Q199" t="s">
        <v>1747</v>
      </c>
      <c r="R199">
        <v>31.8</v>
      </c>
      <c r="S199" s="5">
        <v>45690</v>
      </c>
      <c r="T199" s="5">
        <v>45694</v>
      </c>
      <c r="U199" t="s">
        <v>2925</v>
      </c>
    </row>
    <row r="200" spans="1:21" x14ac:dyDescent="0.25">
      <c r="A200" s="5">
        <v>45027</v>
      </c>
      <c r="B200" s="7">
        <f>Table1[[#This Row],[TotalPrice]] * (1 - Table1[[#This Row],[Discount]])</f>
        <v>1182.2436</v>
      </c>
      <c r="C200" s="7">
        <f>Table1[[#This Row],[Net Sales]] * 0.2</f>
        <v>236.44872000000001</v>
      </c>
      <c r="D200" t="s">
        <v>23</v>
      </c>
      <c r="E200" t="s">
        <v>30</v>
      </c>
      <c r="F200">
        <v>3</v>
      </c>
      <c r="G200">
        <v>486.52</v>
      </c>
      <c r="H200" t="s">
        <v>31</v>
      </c>
      <c r="I200" t="s">
        <v>35</v>
      </c>
      <c r="J200" s="3">
        <v>0.1</v>
      </c>
      <c r="K200" t="s">
        <v>40</v>
      </c>
      <c r="L200">
        <v>1313.604</v>
      </c>
      <c r="M200" t="s">
        <v>44</v>
      </c>
      <c r="O200">
        <v>0</v>
      </c>
      <c r="P200" t="s">
        <v>249</v>
      </c>
      <c r="Q200" t="s">
        <v>1748</v>
      </c>
      <c r="R200">
        <v>16.5</v>
      </c>
      <c r="S200" s="5">
        <v>45027</v>
      </c>
      <c r="T200" s="5">
        <v>45036</v>
      </c>
      <c r="U200" t="s">
        <v>2926</v>
      </c>
    </row>
    <row r="201" spans="1:21" x14ac:dyDescent="0.25">
      <c r="A201" s="5">
        <v>45481</v>
      </c>
      <c r="B201" s="7">
        <f>Table1[[#This Row],[TotalPrice]] * (1 - Table1[[#This Row],[Discount]])</f>
        <v>6051.2831999999999</v>
      </c>
      <c r="C201" s="7">
        <f>Table1[[#This Row],[Net Sales]] * 0.2</f>
        <v>1210.2566400000001</v>
      </c>
      <c r="D201" t="s">
        <v>21</v>
      </c>
      <c r="E201" t="s">
        <v>28</v>
      </c>
      <c r="F201">
        <v>18</v>
      </c>
      <c r="G201">
        <v>415.04</v>
      </c>
      <c r="H201" t="s">
        <v>33</v>
      </c>
      <c r="I201" t="s">
        <v>35</v>
      </c>
      <c r="J201" s="3">
        <v>0.1</v>
      </c>
      <c r="K201" t="s">
        <v>37</v>
      </c>
      <c r="L201">
        <v>6723.6480000000001</v>
      </c>
      <c r="M201" t="s">
        <v>47</v>
      </c>
      <c r="N201" t="s">
        <v>50</v>
      </c>
      <c r="O201">
        <v>0</v>
      </c>
      <c r="P201" t="s">
        <v>250</v>
      </c>
      <c r="Q201" t="s">
        <v>1749</v>
      </c>
      <c r="R201">
        <v>33.58</v>
      </c>
      <c r="S201" s="5">
        <v>45481</v>
      </c>
      <c r="T201" s="5">
        <v>45486</v>
      </c>
      <c r="U201" t="s">
        <v>2924</v>
      </c>
    </row>
    <row r="202" spans="1:21" x14ac:dyDescent="0.25">
      <c r="A202" s="5">
        <v>44965</v>
      </c>
      <c r="B202" s="7">
        <f>Table1[[#This Row],[TotalPrice]] * (1 - Table1[[#This Row],[Discount]])</f>
        <v>2270.2539500000003</v>
      </c>
      <c r="C202" s="7">
        <f>Table1[[#This Row],[Net Sales]] * 0.2</f>
        <v>454.05079000000006</v>
      </c>
      <c r="D202" t="s">
        <v>22</v>
      </c>
      <c r="E202" t="s">
        <v>30</v>
      </c>
      <c r="F202">
        <v>19</v>
      </c>
      <c r="G202">
        <v>165.38</v>
      </c>
      <c r="H202" t="s">
        <v>31</v>
      </c>
      <c r="I202" t="s">
        <v>35</v>
      </c>
      <c r="J202" s="3">
        <v>0.15</v>
      </c>
      <c r="K202" t="s">
        <v>38</v>
      </c>
      <c r="L202">
        <v>2670.8870000000002</v>
      </c>
      <c r="M202" t="s">
        <v>43</v>
      </c>
      <c r="O202">
        <v>0</v>
      </c>
      <c r="P202" t="s">
        <v>251</v>
      </c>
      <c r="Q202" t="s">
        <v>1750</v>
      </c>
      <c r="R202">
        <v>25.2</v>
      </c>
      <c r="S202" s="5">
        <v>44965</v>
      </c>
      <c r="T202" s="5">
        <v>44971</v>
      </c>
      <c r="U202" t="s">
        <v>2925</v>
      </c>
    </row>
    <row r="203" spans="1:21" x14ac:dyDescent="0.25">
      <c r="A203" s="5">
        <v>45391</v>
      </c>
      <c r="B203" s="7">
        <f>Table1[[#This Row],[TotalPrice]] * (1 - Table1[[#This Row],[Discount]])</f>
        <v>234.94</v>
      </c>
      <c r="C203" s="7">
        <f>Table1[[#This Row],[Net Sales]] * 0.2</f>
        <v>46.988</v>
      </c>
      <c r="D203" t="s">
        <v>23</v>
      </c>
      <c r="E203" t="s">
        <v>26</v>
      </c>
      <c r="F203">
        <v>2</v>
      </c>
      <c r="G203">
        <v>117.47</v>
      </c>
      <c r="H203" t="s">
        <v>33</v>
      </c>
      <c r="I203" t="s">
        <v>35</v>
      </c>
      <c r="J203" s="3">
        <v>0</v>
      </c>
      <c r="K203" t="s">
        <v>37</v>
      </c>
      <c r="L203">
        <v>234.94</v>
      </c>
      <c r="M203" t="s">
        <v>45</v>
      </c>
      <c r="N203" t="s">
        <v>48</v>
      </c>
      <c r="O203">
        <v>0</v>
      </c>
      <c r="P203" t="s">
        <v>252</v>
      </c>
      <c r="Q203" t="s">
        <v>1751</v>
      </c>
      <c r="R203">
        <v>6.58</v>
      </c>
      <c r="S203" s="5">
        <v>45391</v>
      </c>
      <c r="T203" s="5">
        <v>45398</v>
      </c>
      <c r="U203" t="s">
        <v>2926</v>
      </c>
    </row>
    <row r="204" spans="1:21" x14ac:dyDescent="0.25">
      <c r="A204" s="5">
        <v>45152</v>
      </c>
      <c r="B204" s="7">
        <f>Table1[[#This Row],[TotalPrice]] * (1 - Table1[[#This Row],[Discount]])</f>
        <v>3002.7894749999996</v>
      </c>
      <c r="C204" s="7">
        <f>Table1[[#This Row],[Net Sales]] * 0.2</f>
        <v>600.55789499999992</v>
      </c>
      <c r="D204" t="s">
        <v>22</v>
      </c>
      <c r="E204" t="s">
        <v>30</v>
      </c>
      <c r="F204">
        <v>9</v>
      </c>
      <c r="G204">
        <v>461.79</v>
      </c>
      <c r="H204" t="s">
        <v>33</v>
      </c>
      <c r="I204" t="s">
        <v>35</v>
      </c>
      <c r="J204" s="3">
        <v>0.15</v>
      </c>
      <c r="K204" t="s">
        <v>39</v>
      </c>
      <c r="L204">
        <v>3532.6934999999999</v>
      </c>
      <c r="M204" t="s">
        <v>44</v>
      </c>
      <c r="O204">
        <v>0</v>
      </c>
      <c r="P204" t="s">
        <v>253</v>
      </c>
      <c r="Q204" t="s">
        <v>1752</v>
      </c>
      <c r="R204">
        <v>47.81</v>
      </c>
      <c r="S204" s="5">
        <v>45152</v>
      </c>
      <c r="T204" s="5">
        <v>45156</v>
      </c>
      <c r="U204" t="s">
        <v>2925</v>
      </c>
    </row>
    <row r="205" spans="1:21" x14ac:dyDescent="0.25">
      <c r="A205" s="5">
        <v>45537</v>
      </c>
      <c r="B205" s="7">
        <f>Table1[[#This Row],[TotalPrice]] * (1 - Table1[[#This Row],[Discount]])</f>
        <v>3579.0261999999998</v>
      </c>
      <c r="C205" s="7">
        <f>Table1[[#This Row],[Net Sales]] * 0.2</f>
        <v>715.80524000000003</v>
      </c>
      <c r="D205" t="s">
        <v>23</v>
      </c>
      <c r="E205" t="s">
        <v>29</v>
      </c>
      <c r="F205">
        <v>19</v>
      </c>
      <c r="G205">
        <v>208.72</v>
      </c>
      <c r="H205" t="s">
        <v>34</v>
      </c>
      <c r="I205" t="s">
        <v>36</v>
      </c>
      <c r="J205" s="3">
        <v>0.05</v>
      </c>
      <c r="K205" t="s">
        <v>39</v>
      </c>
      <c r="L205">
        <v>3767.3960000000002</v>
      </c>
      <c r="M205" t="s">
        <v>45</v>
      </c>
      <c r="N205" t="s">
        <v>48</v>
      </c>
      <c r="O205">
        <v>0</v>
      </c>
      <c r="P205" t="s">
        <v>254</v>
      </c>
      <c r="Q205" t="s">
        <v>1753</v>
      </c>
      <c r="R205">
        <v>38.409999999999997</v>
      </c>
      <c r="S205" s="5">
        <v>45537</v>
      </c>
      <c r="T205" s="5">
        <v>45541</v>
      </c>
      <c r="U205" t="s">
        <v>2926</v>
      </c>
    </row>
    <row r="206" spans="1:21" x14ac:dyDescent="0.25">
      <c r="A206" s="5">
        <v>45837</v>
      </c>
      <c r="B206" s="7">
        <f>Table1[[#This Row],[TotalPrice]] * (1 - Table1[[#This Row],[Discount]])</f>
        <v>3215.1828</v>
      </c>
      <c r="C206" s="7">
        <f>Table1[[#This Row],[Net Sales]] * 0.2</f>
        <v>643.03656000000001</v>
      </c>
      <c r="D206" t="s">
        <v>22</v>
      </c>
      <c r="E206" t="s">
        <v>28</v>
      </c>
      <c r="F206">
        <v>16</v>
      </c>
      <c r="G206">
        <v>278.13</v>
      </c>
      <c r="H206" t="s">
        <v>32</v>
      </c>
      <c r="I206" t="s">
        <v>35</v>
      </c>
      <c r="J206" s="3">
        <v>0.15</v>
      </c>
      <c r="K206" t="s">
        <v>38</v>
      </c>
      <c r="L206">
        <v>3782.5680000000002</v>
      </c>
      <c r="M206" t="s">
        <v>47</v>
      </c>
      <c r="N206" t="s">
        <v>49</v>
      </c>
      <c r="O206">
        <v>0</v>
      </c>
      <c r="P206" t="s">
        <v>255</v>
      </c>
      <c r="Q206" t="s">
        <v>1754</v>
      </c>
      <c r="R206">
        <v>24.29</v>
      </c>
      <c r="S206" s="5">
        <v>45837</v>
      </c>
      <c r="T206" s="5">
        <v>45842</v>
      </c>
      <c r="U206" t="s">
        <v>2925</v>
      </c>
    </row>
    <row r="207" spans="1:21" x14ac:dyDescent="0.25">
      <c r="A207" s="5">
        <v>45749</v>
      </c>
      <c r="B207" s="7">
        <f>Table1[[#This Row],[TotalPrice]] * (1 - Table1[[#This Row],[Discount]])</f>
        <v>1047.2429500000001</v>
      </c>
      <c r="C207" s="7">
        <f>Table1[[#This Row],[Net Sales]] * 0.2</f>
        <v>209.44859000000002</v>
      </c>
      <c r="D207" t="s">
        <v>23</v>
      </c>
      <c r="E207" t="s">
        <v>24</v>
      </c>
      <c r="F207">
        <v>2</v>
      </c>
      <c r="G207">
        <v>580.19000000000005</v>
      </c>
      <c r="H207" t="s">
        <v>31</v>
      </c>
      <c r="I207" t="s">
        <v>35</v>
      </c>
      <c r="J207" s="3">
        <v>0.05</v>
      </c>
      <c r="K207" t="s">
        <v>41</v>
      </c>
      <c r="L207">
        <v>1102.3610000000001</v>
      </c>
      <c r="M207" t="s">
        <v>46</v>
      </c>
      <c r="N207" t="s">
        <v>50</v>
      </c>
      <c r="O207">
        <v>0</v>
      </c>
      <c r="P207" t="s">
        <v>256</v>
      </c>
      <c r="Q207" t="s">
        <v>1755</v>
      </c>
      <c r="R207">
        <v>7.33</v>
      </c>
      <c r="S207" s="5">
        <v>45749</v>
      </c>
      <c r="T207" s="5">
        <v>45755</v>
      </c>
      <c r="U207" t="s">
        <v>2926</v>
      </c>
    </row>
    <row r="208" spans="1:21" x14ac:dyDescent="0.25">
      <c r="A208" s="5">
        <v>45043</v>
      </c>
      <c r="B208" s="7">
        <f>Table1[[#This Row],[TotalPrice]] * (1 - Table1[[#This Row],[Discount]])</f>
        <v>4291.4399999999996</v>
      </c>
      <c r="C208" s="7">
        <f>Table1[[#This Row],[Net Sales]] * 0.2</f>
        <v>858.28800000000001</v>
      </c>
      <c r="D208" t="s">
        <v>22</v>
      </c>
      <c r="E208" t="s">
        <v>29</v>
      </c>
      <c r="F208">
        <v>8</v>
      </c>
      <c r="G208">
        <v>536.42999999999995</v>
      </c>
      <c r="H208" t="s">
        <v>31</v>
      </c>
      <c r="I208" t="s">
        <v>36</v>
      </c>
      <c r="J208" s="3">
        <v>0</v>
      </c>
      <c r="K208" t="s">
        <v>40</v>
      </c>
      <c r="L208">
        <v>4291.4399999999996</v>
      </c>
      <c r="M208" t="s">
        <v>47</v>
      </c>
      <c r="O208">
        <v>1</v>
      </c>
      <c r="P208" t="s">
        <v>257</v>
      </c>
      <c r="Q208" t="s">
        <v>1756</v>
      </c>
      <c r="R208">
        <v>14.58</v>
      </c>
      <c r="S208" s="5">
        <v>45043</v>
      </c>
      <c r="T208" s="5">
        <v>45053</v>
      </c>
      <c r="U208" t="s">
        <v>2925</v>
      </c>
    </row>
    <row r="209" spans="1:21" x14ac:dyDescent="0.25">
      <c r="A209" s="5">
        <v>45511</v>
      </c>
      <c r="B209" s="7">
        <f>Table1[[#This Row],[TotalPrice]] * (1 - Table1[[#This Row],[Discount]])</f>
        <v>94.33</v>
      </c>
      <c r="C209" s="7">
        <f>Table1[[#This Row],[Net Sales]] * 0.2</f>
        <v>18.866</v>
      </c>
      <c r="D209" t="s">
        <v>19</v>
      </c>
      <c r="E209" t="s">
        <v>25</v>
      </c>
      <c r="F209">
        <v>1</v>
      </c>
      <c r="G209">
        <v>94.33</v>
      </c>
      <c r="H209" t="s">
        <v>32</v>
      </c>
      <c r="I209" t="s">
        <v>35</v>
      </c>
      <c r="J209" s="3">
        <v>0</v>
      </c>
      <c r="K209" t="s">
        <v>40</v>
      </c>
      <c r="L209">
        <v>94.33</v>
      </c>
      <c r="M209" t="s">
        <v>43</v>
      </c>
      <c r="O209">
        <v>0</v>
      </c>
      <c r="P209" t="s">
        <v>258</v>
      </c>
      <c r="Q209" t="s">
        <v>1757</v>
      </c>
      <c r="R209">
        <v>49.17</v>
      </c>
      <c r="S209" s="5">
        <v>45511</v>
      </c>
      <c r="T209" s="5">
        <v>45521</v>
      </c>
      <c r="U209" t="s">
        <v>2922</v>
      </c>
    </row>
    <row r="210" spans="1:21" x14ac:dyDescent="0.25">
      <c r="A210" s="5">
        <v>45031</v>
      </c>
      <c r="B210" s="7">
        <f>Table1[[#This Row],[TotalPrice]] * (1 - Table1[[#This Row],[Discount]])</f>
        <v>6349.6224000000002</v>
      </c>
      <c r="C210" s="7">
        <f>Table1[[#This Row],[Net Sales]] * 0.2</f>
        <v>1269.9244800000001</v>
      </c>
      <c r="D210" t="s">
        <v>23</v>
      </c>
      <c r="E210" t="s">
        <v>24</v>
      </c>
      <c r="F210">
        <v>16</v>
      </c>
      <c r="G210">
        <v>489.94</v>
      </c>
      <c r="H210" t="s">
        <v>33</v>
      </c>
      <c r="I210" t="s">
        <v>36</v>
      </c>
      <c r="J210" s="3">
        <v>0.1</v>
      </c>
      <c r="K210" t="s">
        <v>39</v>
      </c>
      <c r="L210">
        <v>7055.1360000000004</v>
      </c>
      <c r="M210" t="s">
        <v>47</v>
      </c>
      <c r="N210" t="s">
        <v>49</v>
      </c>
      <c r="O210">
        <v>0</v>
      </c>
      <c r="P210" t="s">
        <v>259</v>
      </c>
      <c r="Q210" t="s">
        <v>1608</v>
      </c>
      <c r="R210">
        <v>9.69</v>
      </c>
      <c r="S210" s="5">
        <v>45031</v>
      </c>
      <c r="T210" s="5">
        <v>45041</v>
      </c>
      <c r="U210" t="s">
        <v>2926</v>
      </c>
    </row>
    <row r="211" spans="1:21" x14ac:dyDescent="0.25">
      <c r="A211" s="5">
        <v>45150</v>
      </c>
      <c r="B211" s="7">
        <f>Table1[[#This Row],[TotalPrice]] * (1 - Table1[[#This Row],[Discount]])</f>
        <v>1991.6731</v>
      </c>
      <c r="C211" s="7">
        <f>Table1[[#This Row],[Net Sales]] * 0.2</f>
        <v>398.33462000000003</v>
      </c>
      <c r="D211" t="s">
        <v>20</v>
      </c>
      <c r="E211" t="s">
        <v>26</v>
      </c>
      <c r="F211">
        <v>4</v>
      </c>
      <c r="G211">
        <v>551.71</v>
      </c>
      <c r="H211" t="s">
        <v>32</v>
      </c>
      <c r="I211" t="s">
        <v>36</v>
      </c>
      <c r="J211" s="3">
        <v>0.05</v>
      </c>
      <c r="K211" t="s">
        <v>37</v>
      </c>
      <c r="L211">
        <v>2096.498</v>
      </c>
      <c r="M211" t="s">
        <v>44</v>
      </c>
      <c r="O211">
        <v>1</v>
      </c>
      <c r="P211" t="s">
        <v>260</v>
      </c>
      <c r="Q211" t="s">
        <v>1758</v>
      </c>
      <c r="R211">
        <v>26.32</v>
      </c>
      <c r="S211" s="5">
        <v>45150</v>
      </c>
      <c r="T211" s="5">
        <v>45153</v>
      </c>
      <c r="U211" t="s">
        <v>2923</v>
      </c>
    </row>
    <row r="212" spans="1:21" x14ac:dyDescent="0.25">
      <c r="A212" s="5">
        <v>45096</v>
      </c>
      <c r="B212" s="7">
        <f>Table1[[#This Row],[TotalPrice]] * (1 - Table1[[#This Row],[Discount]])</f>
        <v>7315.0885250000001</v>
      </c>
      <c r="C212" s="7">
        <f>Table1[[#This Row],[Net Sales]] * 0.2</f>
        <v>1463.0177050000002</v>
      </c>
      <c r="D212" t="s">
        <v>23</v>
      </c>
      <c r="E212" t="s">
        <v>30</v>
      </c>
      <c r="F212">
        <v>17</v>
      </c>
      <c r="G212">
        <v>595.57000000000005</v>
      </c>
      <c r="H212" t="s">
        <v>34</v>
      </c>
      <c r="I212" t="s">
        <v>36</v>
      </c>
      <c r="J212" s="3">
        <v>0.15</v>
      </c>
      <c r="K212" t="s">
        <v>42</v>
      </c>
      <c r="L212">
        <v>8605.9865000000009</v>
      </c>
      <c r="M212" t="s">
        <v>45</v>
      </c>
      <c r="N212" t="s">
        <v>50</v>
      </c>
      <c r="O212">
        <v>0</v>
      </c>
      <c r="P212" t="s">
        <v>261</v>
      </c>
      <c r="Q212" t="s">
        <v>1759</v>
      </c>
      <c r="R212">
        <v>9.73</v>
      </c>
      <c r="S212" s="5">
        <v>45096</v>
      </c>
      <c r="T212" s="5">
        <v>45105</v>
      </c>
      <c r="U212" t="s">
        <v>2926</v>
      </c>
    </row>
    <row r="213" spans="1:21" x14ac:dyDescent="0.25">
      <c r="A213" s="5">
        <v>45289</v>
      </c>
      <c r="B213" s="7">
        <f>Table1[[#This Row],[TotalPrice]] * (1 - Table1[[#This Row],[Discount]])</f>
        <v>145.8972</v>
      </c>
      <c r="C213" s="7">
        <f>Table1[[#This Row],[Net Sales]] * 0.2</f>
        <v>29.17944</v>
      </c>
      <c r="D213" t="s">
        <v>19</v>
      </c>
      <c r="E213" t="s">
        <v>30</v>
      </c>
      <c r="F213">
        <v>1</v>
      </c>
      <c r="G213">
        <v>180.12</v>
      </c>
      <c r="H213" t="s">
        <v>32</v>
      </c>
      <c r="I213" t="s">
        <v>35</v>
      </c>
      <c r="J213" s="3">
        <v>0.1</v>
      </c>
      <c r="K213" t="s">
        <v>37</v>
      </c>
      <c r="L213">
        <v>162.108</v>
      </c>
      <c r="M213" t="s">
        <v>46</v>
      </c>
      <c r="O213">
        <v>0</v>
      </c>
      <c r="P213" t="s">
        <v>262</v>
      </c>
      <c r="Q213" t="s">
        <v>1760</v>
      </c>
      <c r="R213">
        <v>27.07</v>
      </c>
      <c r="S213" s="5">
        <v>45289</v>
      </c>
      <c r="T213" s="5">
        <v>45298</v>
      </c>
      <c r="U213" t="s">
        <v>2922</v>
      </c>
    </row>
    <row r="214" spans="1:21" x14ac:dyDescent="0.25">
      <c r="A214" s="5">
        <v>45011</v>
      </c>
      <c r="B214" s="7">
        <f>Table1[[#This Row],[TotalPrice]] * (1 - Table1[[#This Row],[Discount]])</f>
        <v>2614.0050000000001</v>
      </c>
      <c r="C214" s="7">
        <f>Table1[[#This Row],[Net Sales]] * 0.2</f>
        <v>522.80100000000004</v>
      </c>
      <c r="D214" t="s">
        <v>19</v>
      </c>
      <c r="E214" t="s">
        <v>26</v>
      </c>
      <c r="F214">
        <v>12</v>
      </c>
      <c r="G214">
        <v>301.5</v>
      </c>
      <c r="H214" t="s">
        <v>34</v>
      </c>
      <c r="I214" t="s">
        <v>36</v>
      </c>
      <c r="J214" s="3">
        <v>0.15</v>
      </c>
      <c r="K214" t="s">
        <v>42</v>
      </c>
      <c r="L214">
        <v>3075.3</v>
      </c>
      <c r="M214" t="s">
        <v>45</v>
      </c>
      <c r="N214" t="s">
        <v>48</v>
      </c>
      <c r="O214">
        <v>1</v>
      </c>
      <c r="P214" t="s">
        <v>263</v>
      </c>
      <c r="Q214" t="s">
        <v>1761</v>
      </c>
      <c r="R214">
        <v>43.67</v>
      </c>
      <c r="S214" s="5">
        <v>45011</v>
      </c>
      <c r="T214" s="5">
        <v>45015</v>
      </c>
      <c r="U214" t="s">
        <v>2922</v>
      </c>
    </row>
    <row r="215" spans="1:21" x14ac:dyDescent="0.25">
      <c r="A215" s="5">
        <v>45170</v>
      </c>
      <c r="B215" s="7">
        <f>Table1[[#This Row],[TotalPrice]] * (1 - Table1[[#This Row],[Discount]])</f>
        <v>3952.7974999999992</v>
      </c>
      <c r="C215" s="7">
        <f>Table1[[#This Row],[Net Sales]] * 0.2</f>
        <v>790.55949999999984</v>
      </c>
      <c r="D215" t="s">
        <v>20</v>
      </c>
      <c r="E215" t="s">
        <v>25</v>
      </c>
      <c r="F215">
        <v>20</v>
      </c>
      <c r="G215">
        <v>273.55</v>
      </c>
      <c r="H215" t="s">
        <v>34</v>
      </c>
      <c r="I215" t="s">
        <v>36</v>
      </c>
      <c r="J215" s="3">
        <v>0.15</v>
      </c>
      <c r="K215" t="s">
        <v>39</v>
      </c>
      <c r="L215">
        <v>4650.3499999999995</v>
      </c>
      <c r="M215" t="s">
        <v>46</v>
      </c>
      <c r="O215">
        <v>0</v>
      </c>
      <c r="P215" t="s">
        <v>264</v>
      </c>
      <c r="Q215" t="s">
        <v>1762</v>
      </c>
      <c r="R215">
        <v>14.76</v>
      </c>
      <c r="S215" s="5">
        <v>45170</v>
      </c>
      <c r="T215" s="5">
        <v>45176</v>
      </c>
      <c r="U215" t="s">
        <v>2923</v>
      </c>
    </row>
    <row r="216" spans="1:21" x14ac:dyDescent="0.25">
      <c r="A216" s="5">
        <v>45509</v>
      </c>
      <c r="B216" s="7">
        <f>Table1[[#This Row],[TotalPrice]] * (1 - Table1[[#This Row],[Discount]])</f>
        <v>909.11160000000007</v>
      </c>
      <c r="C216" s="7">
        <f>Table1[[#This Row],[Net Sales]] * 0.2</f>
        <v>181.82232000000002</v>
      </c>
      <c r="D216" t="s">
        <v>23</v>
      </c>
      <c r="E216" t="s">
        <v>29</v>
      </c>
      <c r="F216">
        <v>6</v>
      </c>
      <c r="G216">
        <v>187.06</v>
      </c>
      <c r="H216" t="s">
        <v>31</v>
      </c>
      <c r="I216" t="s">
        <v>35</v>
      </c>
      <c r="J216" s="3">
        <v>0.1</v>
      </c>
      <c r="K216" t="s">
        <v>39</v>
      </c>
      <c r="L216">
        <v>1010.124</v>
      </c>
      <c r="M216" t="s">
        <v>46</v>
      </c>
      <c r="N216" t="s">
        <v>48</v>
      </c>
      <c r="O216">
        <v>0</v>
      </c>
      <c r="P216" t="s">
        <v>265</v>
      </c>
      <c r="Q216" t="s">
        <v>1763</v>
      </c>
      <c r="R216">
        <v>11.03</v>
      </c>
      <c r="S216" s="5">
        <v>45509</v>
      </c>
      <c r="T216" s="5">
        <v>45517</v>
      </c>
      <c r="U216" t="s">
        <v>2926</v>
      </c>
    </row>
    <row r="217" spans="1:21" x14ac:dyDescent="0.25">
      <c r="A217" s="5">
        <v>45680</v>
      </c>
      <c r="B217" s="7">
        <f>Table1[[#This Row],[TotalPrice]] * (1 - Table1[[#This Row],[Discount]])</f>
        <v>9000.32</v>
      </c>
      <c r="C217" s="7">
        <f>Table1[[#This Row],[Net Sales]] * 0.2</f>
        <v>1800.0640000000001</v>
      </c>
      <c r="D217" t="s">
        <v>21</v>
      </c>
      <c r="E217" t="s">
        <v>27</v>
      </c>
      <c r="F217">
        <v>16</v>
      </c>
      <c r="G217">
        <v>562.52</v>
      </c>
      <c r="H217" t="s">
        <v>34</v>
      </c>
      <c r="I217" t="s">
        <v>36</v>
      </c>
      <c r="J217" s="3">
        <v>0</v>
      </c>
      <c r="K217" t="s">
        <v>39</v>
      </c>
      <c r="L217">
        <v>9000.32</v>
      </c>
      <c r="M217" t="s">
        <v>44</v>
      </c>
      <c r="O217">
        <v>0</v>
      </c>
      <c r="P217" t="s">
        <v>266</v>
      </c>
      <c r="Q217" t="s">
        <v>1764</v>
      </c>
      <c r="R217">
        <v>18.23</v>
      </c>
      <c r="S217" s="5">
        <v>45680</v>
      </c>
      <c r="T217" s="5">
        <v>45684</v>
      </c>
      <c r="U217" t="s">
        <v>2924</v>
      </c>
    </row>
    <row r="218" spans="1:21" x14ac:dyDescent="0.25">
      <c r="A218" s="5">
        <v>45062</v>
      </c>
      <c r="B218" s="7">
        <f>Table1[[#This Row],[TotalPrice]] * (1 - Table1[[#This Row],[Discount]])</f>
        <v>275.91840000000002</v>
      </c>
      <c r="C218" s="7">
        <f>Table1[[#This Row],[Net Sales]] * 0.2</f>
        <v>55.18368000000001</v>
      </c>
      <c r="D218" t="s">
        <v>19</v>
      </c>
      <c r="E218" t="s">
        <v>29</v>
      </c>
      <c r="F218">
        <v>4</v>
      </c>
      <c r="G218">
        <v>85.16</v>
      </c>
      <c r="H218" t="s">
        <v>34</v>
      </c>
      <c r="I218" t="s">
        <v>35</v>
      </c>
      <c r="J218" s="3">
        <v>0.1</v>
      </c>
      <c r="K218" t="s">
        <v>40</v>
      </c>
      <c r="L218">
        <v>306.57600000000002</v>
      </c>
      <c r="M218" t="s">
        <v>45</v>
      </c>
      <c r="O218">
        <v>0</v>
      </c>
      <c r="P218" t="s">
        <v>267</v>
      </c>
      <c r="Q218" t="s">
        <v>1765</v>
      </c>
      <c r="R218">
        <v>38.51</v>
      </c>
      <c r="S218" s="5">
        <v>45062</v>
      </c>
      <c r="T218" s="5">
        <v>45069</v>
      </c>
      <c r="U218" t="s">
        <v>2922</v>
      </c>
    </row>
    <row r="219" spans="1:21" x14ac:dyDescent="0.25">
      <c r="A219" s="5">
        <v>44971</v>
      </c>
      <c r="B219" s="7">
        <f>Table1[[#This Row],[TotalPrice]] * (1 - Table1[[#This Row],[Discount]])</f>
        <v>3914.5916999999999</v>
      </c>
      <c r="C219" s="7">
        <f>Table1[[#This Row],[Net Sales]] * 0.2</f>
        <v>782.91834000000006</v>
      </c>
      <c r="D219" t="s">
        <v>21</v>
      </c>
      <c r="E219" t="s">
        <v>29</v>
      </c>
      <c r="F219">
        <v>12</v>
      </c>
      <c r="G219">
        <v>451.51</v>
      </c>
      <c r="H219" t="s">
        <v>31</v>
      </c>
      <c r="I219" t="s">
        <v>35</v>
      </c>
      <c r="J219" s="3">
        <v>0.15</v>
      </c>
      <c r="K219" t="s">
        <v>40</v>
      </c>
      <c r="L219">
        <v>4605.402</v>
      </c>
      <c r="M219" t="s">
        <v>43</v>
      </c>
      <c r="N219" t="s">
        <v>50</v>
      </c>
      <c r="O219">
        <v>0</v>
      </c>
      <c r="P219" t="s">
        <v>268</v>
      </c>
      <c r="Q219" t="s">
        <v>1766</v>
      </c>
      <c r="R219">
        <v>9.5399999999999991</v>
      </c>
      <c r="S219" s="5">
        <v>44971</v>
      </c>
      <c r="T219" s="5">
        <v>44979</v>
      </c>
      <c r="U219" t="s">
        <v>2924</v>
      </c>
    </row>
    <row r="220" spans="1:21" x14ac:dyDescent="0.25">
      <c r="A220" s="5">
        <v>45446</v>
      </c>
      <c r="B220" s="7">
        <f>Table1[[#This Row],[TotalPrice]] * (1 - Table1[[#This Row],[Discount]])</f>
        <v>187.75607499999998</v>
      </c>
      <c r="C220" s="7">
        <f>Table1[[#This Row],[Net Sales]] * 0.2</f>
        <v>37.551214999999999</v>
      </c>
      <c r="D220" t="s">
        <v>22</v>
      </c>
      <c r="E220" t="s">
        <v>29</v>
      </c>
      <c r="F220">
        <v>1</v>
      </c>
      <c r="G220">
        <v>259.87</v>
      </c>
      <c r="H220" t="s">
        <v>34</v>
      </c>
      <c r="I220" t="s">
        <v>36</v>
      </c>
      <c r="J220" s="3">
        <v>0.15</v>
      </c>
      <c r="K220" t="s">
        <v>37</v>
      </c>
      <c r="L220">
        <v>220.8895</v>
      </c>
      <c r="M220" t="s">
        <v>44</v>
      </c>
      <c r="N220" t="s">
        <v>48</v>
      </c>
      <c r="O220">
        <v>0</v>
      </c>
      <c r="P220" t="s">
        <v>269</v>
      </c>
      <c r="Q220" t="s">
        <v>1767</v>
      </c>
      <c r="R220">
        <v>19.2</v>
      </c>
      <c r="S220" s="5">
        <v>45446</v>
      </c>
      <c r="T220" s="5">
        <v>45455</v>
      </c>
      <c r="U220" t="s">
        <v>2925</v>
      </c>
    </row>
    <row r="221" spans="1:21" x14ac:dyDescent="0.25">
      <c r="A221" s="5">
        <v>45238</v>
      </c>
      <c r="B221" s="7">
        <f>Table1[[#This Row],[TotalPrice]] * (1 - Table1[[#This Row],[Discount]])</f>
        <v>4841.9124999999995</v>
      </c>
      <c r="C221" s="7">
        <f>Table1[[#This Row],[Net Sales]] * 0.2</f>
        <v>968.38249999999994</v>
      </c>
      <c r="D221" t="s">
        <v>22</v>
      </c>
      <c r="E221" t="s">
        <v>29</v>
      </c>
      <c r="F221">
        <v>20</v>
      </c>
      <c r="G221">
        <v>268.25</v>
      </c>
      <c r="H221" t="s">
        <v>34</v>
      </c>
      <c r="I221" t="s">
        <v>36</v>
      </c>
      <c r="J221" s="3">
        <v>0.05</v>
      </c>
      <c r="K221" t="s">
        <v>41</v>
      </c>
      <c r="L221">
        <v>5096.75</v>
      </c>
      <c r="M221" t="s">
        <v>47</v>
      </c>
      <c r="N221" t="s">
        <v>48</v>
      </c>
      <c r="O221">
        <v>0</v>
      </c>
      <c r="P221" t="s">
        <v>270</v>
      </c>
      <c r="Q221" t="s">
        <v>1768</v>
      </c>
      <c r="R221">
        <v>20.96</v>
      </c>
      <c r="S221" s="5">
        <v>45238</v>
      </c>
      <c r="T221" s="5">
        <v>45245</v>
      </c>
      <c r="U221" t="s">
        <v>2925</v>
      </c>
    </row>
    <row r="222" spans="1:21" x14ac:dyDescent="0.25">
      <c r="A222" s="5">
        <v>44950</v>
      </c>
      <c r="B222" s="7">
        <f>Table1[[#This Row],[TotalPrice]] * (1 - Table1[[#This Row],[Discount]])</f>
        <v>2661.3</v>
      </c>
      <c r="C222" s="7">
        <f>Table1[[#This Row],[Net Sales]] * 0.2</f>
        <v>532.2600000000001</v>
      </c>
      <c r="D222" t="s">
        <v>23</v>
      </c>
      <c r="E222" t="s">
        <v>25</v>
      </c>
      <c r="F222">
        <v>10</v>
      </c>
      <c r="G222">
        <v>266.13</v>
      </c>
      <c r="H222" t="s">
        <v>31</v>
      </c>
      <c r="I222" t="s">
        <v>35</v>
      </c>
      <c r="J222" s="3">
        <v>0</v>
      </c>
      <c r="K222" t="s">
        <v>41</v>
      </c>
      <c r="L222">
        <v>2661.3</v>
      </c>
      <c r="M222" t="s">
        <v>44</v>
      </c>
      <c r="N222" t="s">
        <v>50</v>
      </c>
      <c r="O222">
        <v>0</v>
      </c>
      <c r="P222" t="s">
        <v>271</v>
      </c>
      <c r="Q222" t="s">
        <v>1769</v>
      </c>
      <c r="R222">
        <v>21.01</v>
      </c>
      <c r="S222" s="5">
        <v>44950</v>
      </c>
      <c r="T222" s="5">
        <v>44952</v>
      </c>
      <c r="U222" t="s">
        <v>2926</v>
      </c>
    </row>
    <row r="223" spans="1:21" x14ac:dyDescent="0.25">
      <c r="A223" s="5">
        <v>45736</v>
      </c>
      <c r="B223" s="7">
        <f>Table1[[#This Row],[TotalPrice]] * (1 - Table1[[#This Row],[Discount]])</f>
        <v>8009.7596999999987</v>
      </c>
      <c r="C223" s="7">
        <f>Table1[[#This Row],[Net Sales]] * 0.2</f>
        <v>1601.9519399999999</v>
      </c>
      <c r="D223" t="s">
        <v>23</v>
      </c>
      <c r="E223" t="s">
        <v>24</v>
      </c>
      <c r="F223">
        <v>18</v>
      </c>
      <c r="G223">
        <v>493.06</v>
      </c>
      <c r="H223" t="s">
        <v>34</v>
      </c>
      <c r="I223" t="s">
        <v>35</v>
      </c>
      <c r="J223" s="3">
        <v>0.05</v>
      </c>
      <c r="K223" t="s">
        <v>41</v>
      </c>
      <c r="L223">
        <v>8431.3259999999991</v>
      </c>
      <c r="M223" t="s">
        <v>47</v>
      </c>
      <c r="N223" t="s">
        <v>50</v>
      </c>
      <c r="O223">
        <v>1</v>
      </c>
      <c r="P223" t="s">
        <v>272</v>
      </c>
      <c r="Q223" t="s">
        <v>1770</v>
      </c>
      <c r="R223">
        <v>46.87</v>
      </c>
      <c r="S223" s="5">
        <v>45736</v>
      </c>
      <c r="T223" s="5">
        <v>45744</v>
      </c>
      <c r="U223" t="s">
        <v>2926</v>
      </c>
    </row>
    <row r="224" spans="1:21" x14ac:dyDescent="0.25">
      <c r="A224" s="5">
        <v>45344</v>
      </c>
      <c r="B224" s="7">
        <f>Table1[[#This Row],[TotalPrice]] * (1 - Table1[[#This Row],[Discount]])</f>
        <v>132.92019999999999</v>
      </c>
      <c r="C224" s="7">
        <f>Table1[[#This Row],[Net Sales]] * 0.2</f>
        <v>26.584040000000002</v>
      </c>
      <c r="D224" t="s">
        <v>23</v>
      </c>
      <c r="E224" t="s">
        <v>28</v>
      </c>
      <c r="F224">
        <v>4</v>
      </c>
      <c r="G224">
        <v>36.82</v>
      </c>
      <c r="H224" t="s">
        <v>33</v>
      </c>
      <c r="I224" t="s">
        <v>35</v>
      </c>
      <c r="J224" s="3">
        <v>0.05</v>
      </c>
      <c r="K224" t="s">
        <v>39</v>
      </c>
      <c r="L224">
        <v>139.916</v>
      </c>
      <c r="M224" t="s">
        <v>45</v>
      </c>
      <c r="N224" t="s">
        <v>50</v>
      </c>
      <c r="O224">
        <v>1</v>
      </c>
      <c r="P224" t="s">
        <v>273</v>
      </c>
      <c r="Q224" t="s">
        <v>1771</v>
      </c>
      <c r="R224">
        <v>24.86</v>
      </c>
      <c r="S224" s="5">
        <v>45344</v>
      </c>
      <c r="T224" s="5">
        <v>45352</v>
      </c>
      <c r="U224" t="s">
        <v>2926</v>
      </c>
    </row>
    <row r="225" spans="1:21" x14ac:dyDescent="0.25">
      <c r="A225" s="5">
        <v>45749</v>
      </c>
      <c r="B225" s="7">
        <f>Table1[[#This Row],[TotalPrice]] * (1 - Table1[[#This Row],[Discount]])</f>
        <v>3584.6114999999995</v>
      </c>
      <c r="C225" s="7">
        <f>Table1[[#This Row],[Net Sales]] * 0.2</f>
        <v>716.92229999999995</v>
      </c>
      <c r="D225" t="s">
        <v>21</v>
      </c>
      <c r="E225" t="s">
        <v>30</v>
      </c>
      <c r="F225">
        <v>12</v>
      </c>
      <c r="G225">
        <v>413.45</v>
      </c>
      <c r="H225" t="s">
        <v>34</v>
      </c>
      <c r="I225" t="s">
        <v>36</v>
      </c>
      <c r="J225" s="3">
        <v>0.15</v>
      </c>
      <c r="K225" t="s">
        <v>42</v>
      </c>
      <c r="L225">
        <v>4217.1899999999996</v>
      </c>
      <c r="M225" t="s">
        <v>47</v>
      </c>
      <c r="N225" t="s">
        <v>48</v>
      </c>
      <c r="O225">
        <v>0</v>
      </c>
      <c r="P225" t="s">
        <v>274</v>
      </c>
      <c r="Q225" t="s">
        <v>1772</v>
      </c>
      <c r="R225">
        <v>23.25</v>
      </c>
      <c r="S225" s="5">
        <v>45749</v>
      </c>
      <c r="T225" s="5">
        <v>45757</v>
      </c>
      <c r="U225" t="s">
        <v>2924</v>
      </c>
    </row>
    <row r="226" spans="1:21" x14ac:dyDescent="0.25">
      <c r="A226" s="5">
        <v>45820</v>
      </c>
      <c r="B226" s="7">
        <f>Table1[[#This Row],[TotalPrice]] * (1 - Table1[[#This Row],[Discount]])</f>
        <v>6867.7875000000004</v>
      </c>
      <c r="C226" s="7">
        <f>Table1[[#This Row],[Net Sales]] * 0.2</f>
        <v>1373.5575000000001</v>
      </c>
      <c r="D226" t="s">
        <v>21</v>
      </c>
      <c r="E226" t="s">
        <v>27</v>
      </c>
      <c r="F226">
        <v>19</v>
      </c>
      <c r="G226">
        <v>446.25</v>
      </c>
      <c r="H226" t="s">
        <v>31</v>
      </c>
      <c r="I226" t="s">
        <v>36</v>
      </c>
      <c r="J226" s="3">
        <v>0.1</v>
      </c>
      <c r="K226" t="s">
        <v>37</v>
      </c>
      <c r="L226">
        <v>7630.875</v>
      </c>
      <c r="M226" t="s">
        <v>44</v>
      </c>
      <c r="O226">
        <v>0</v>
      </c>
      <c r="P226" t="s">
        <v>275</v>
      </c>
      <c r="Q226" t="s">
        <v>1773</v>
      </c>
      <c r="R226">
        <v>14.88</v>
      </c>
      <c r="S226" s="5">
        <v>45820</v>
      </c>
      <c r="T226" s="5">
        <v>45826</v>
      </c>
      <c r="U226" t="s">
        <v>2924</v>
      </c>
    </row>
    <row r="227" spans="1:21" x14ac:dyDescent="0.25">
      <c r="A227" s="5">
        <v>45059</v>
      </c>
      <c r="B227" s="7">
        <f>Table1[[#This Row],[TotalPrice]] * (1 - Table1[[#This Row],[Discount]])</f>
        <v>418.60927499999997</v>
      </c>
      <c r="C227" s="7">
        <f>Table1[[#This Row],[Net Sales]] * 0.2</f>
        <v>83.721855000000005</v>
      </c>
      <c r="D227" t="s">
        <v>19</v>
      </c>
      <c r="E227" t="s">
        <v>24</v>
      </c>
      <c r="F227">
        <v>7</v>
      </c>
      <c r="G227">
        <v>82.77</v>
      </c>
      <c r="H227" t="s">
        <v>34</v>
      </c>
      <c r="I227" t="s">
        <v>35</v>
      </c>
      <c r="J227" s="3">
        <v>0.15</v>
      </c>
      <c r="K227" t="s">
        <v>39</v>
      </c>
      <c r="L227">
        <v>492.48149999999998</v>
      </c>
      <c r="M227" t="s">
        <v>46</v>
      </c>
      <c r="N227" t="s">
        <v>49</v>
      </c>
      <c r="O227">
        <v>1</v>
      </c>
      <c r="P227" t="s">
        <v>276</v>
      </c>
      <c r="Q227" t="s">
        <v>1774</v>
      </c>
      <c r="R227">
        <v>15.66</v>
      </c>
      <c r="S227" s="5">
        <v>45059</v>
      </c>
      <c r="T227" s="5">
        <v>45063</v>
      </c>
      <c r="U227" t="s">
        <v>2922</v>
      </c>
    </row>
    <row r="228" spans="1:21" x14ac:dyDescent="0.25">
      <c r="A228" s="5">
        <v>45010</v>
      </c>
      <c r="B228" s="7">
        <f>Table1[[#This Row],[TotalPrice]] * (1 - Table1[[#This Row],[Discount]])</f>
        <v>5777.96</v>
      </c>
      <c r="C228" s="7">
        <f>Table1[[#This Row],[Net Sales]] * 0.2</f>
        <v>1155.5920000000001</v>
      </c>
      <c r="D228" t="s">
        <v>20</v>
      </c>
      <c r="E228" t="s">
        <v>26</v>
      </c>
      <c r="F228">
        <v>17</v>
      </c>
      <c r="G228">
        <v>339.88</v>
      </c>
      <c r="H228" t="s">
        <v>32</v>
      </c>
      <c r="I228" t="s">
        <v>36</v>
      </c>
      <c r="J228" s="3">
        <v>0</v>
      </c>
      <c r="K228" t="s">
        <v>38</v>
      </c>
      <c r="L228">
        <v>5777.96</v>
      </c>
      <c r="M228" t="s">
        <v>47</v>
      </c>
      <c r="O228">
        <v>0</v>
      </c>
      <c r="P228" t="s">
        <v>277</v>
      </c>
      <c r="Q228" t="s">
        <v>1775</v>
      </c>
      <c r="R228">
        <v>44.86</v>
      </c>
      <c r="S228" s="5">
        <v>45010</v>
      </c>
      <c r="T228" s="5">
        <v>45013</v>
      </c>
      <c r="U228" t="s">
        <v>2923</v>
      </c>
    </row>
    <row r="229" spans="1:21" x14ac:dyDescent="0.25">
      <c r="A229" s="5">
        <v>45618</v>
      </c>
      <c r="B229" s="7">
        <f>Table1[[#This Row],[TotalPrice]] * (1 - Table1[[#This Row],[Discount]])</f>
        <v>5001.2028</v>
      </c>
      <c r="C229" s="7">
        <f>Table1[[#This Row],[Net Sales]] * 0.2</f>
        <v>1000.2405600000001</v>
      </c>
      <c r="D229" t="s">
        <v>20</v>
      </c>
      <c r="E229" t="s">
        <v>30</v>
      </c>
      <c r="F229">
        <v>19</v>
      </c>
      <c r="G229">
        <v>364.32</v>
      </c>
      <c r="H229" t="s">
        <v>31</v>
      </c>
      <c r="I229" t="s">
        <v>36</v>
      </c>
      <c r="J229" s="3">
        <v>0.15</v>
      </c>
      <c r="K229" t="s">
        <v>39</v>
      </c>
      <c r="L229">
        <v>5883.768</v>
      </c>
      <c r="M229" t="s">
        <v>46</v>
      </c>
      <c r="O229">
        <v>1</v>
      </c>
      <c r="P229" t="s">
        <v>278</v>
      </c>
      <c r="Q229" t="s">
        <v>1776</v>
      </c>
      <c r="R229">
        <v>39.76</v>
      </c>
      <c r="S229" s="5">
        <v>45618</v>
      </c>
      <c r="T229" s="5">
        <v>45621</v>
      </c>
      <c r="U229" t="s">
        <v>2923</v>
      </c>
    </row>
    <row r="230" spans="1:21" x14ac:dyDescent="0.25">
      <c r="A230" s="5">
        <v>45114</v>
      </c>
      <c r="B230" s="7">
        <f>Table1[[#This Row],[TotalPrice]] * (1 - Table1[[#This Row],[Discount]])</f>
        <v>215.73</v>
      </c>
      <c r="C230" s="7">
        <f>Table1[[#This Row],[Net Sales]] * 0.2</f>
        <v>43.146000000000001</v>
      </c>
      <c r="D230" t="s">
        <v>19</v>
      </c>
      <c r="E230" t="s">
        <v>29</v>
      </c>
      <c r="F230">
        <v>3</v>
      </c>
      <c r="G230">
        <v>71.91</v>
      </c>
      <c r="H230" t="s">
        <v>31</v>
      </c>
      <c r="I230" t="s">
        <v>35</v>
      </c>
      <c r="J230" s="3">
        <v>0</v>
      </c>
      <c r="K230" t="s">
        <v>38</v>
      </c>
      <c r="L230">
        <v>215.73</v>
      </c>
      <c r="M230" t="s">
        <v>44</v>
      </c>
      <c r="N230" t="s">
        <v>50</v>
      </c>
      <c r="O230">
        <v>1</v>
      </c>
      <c r="P230" t="s">
        <v>279</v>
      </c>
      <c r="Q230" t="s">
        <v>1777</v>
      </c>
      <c r="R230">
        <v>46.25</v>
      </c>
      <c r="S230" s="5">
        <v>45114</v>
      </c>
      <c r="T230" s="5">
        <v>45124</v>
      </c>
      <c r="U230" t="s">
        <v>2922</v>
      </c>
    </row>
    <row r="231" spans="1:21" x14ac:dyDescent="0.25">
      <c r="A231" s="5">
        <v>45570</v>
      </c>
      <c r="B231" s="7">
        <f>Table1[[#This Row],[TotalPrice]] * (1 - Table1[[#This Row],[Discount]])</f>
        <v>10402.215</v>
      </c>
      <c r="C231" s="7">
        <f>Table1[[#This Row],[Net Sales]] * 0.2</f>
        <v>2080.4430000000002</v>
      </c>
      <c r="D231" t="s">
        <v>19</v>
      </c>
      <c r="E231" t="s">
        <v>29</v>
      </c>
      <c r="F231">
        <v>20</v>
      </c>
      <c r="G231">
        <v>576.29999999999995</v>
      </c>
      <c r="H231" t="s">
        <v>34</v>
      </c>
      <c r="I231" t="s">
        <v>35</v>
      </c>
      <c r="J231" s="3">
        <v>0.05</v>
      </c>
      <c r="K231" t="s">
        <v>37</v>
      </c>
      <c r="L231">
        <v>10949.7</v>
      </c>
      <c r="M231" t="s">
        <v>45</v>
      </c>
      <c r="O231">
        <v>0</v>
      </c>
      <c r="P231" t="s">
        <v>280</v>
      </c>
      <c r="Q231" t="s">
        <v>1778</v>
      </c>
      <c r="R231">
        <v>25.22</v>
      </c>
      <c r="S231" s="5">
        <v>45570</v>
      </c>
      <c r="T231" s="5">
        <v>45574</v>
      </c>
      <c r="U231" t="s">
        <v>2922</v>
      </c>
    </row>
    <row r="232" spans="1:21" x14ac:dyDescent="0.25">
      <c r="A232" s="5">
        <v>45382</v>
      </c>
      <c r="B232" s="7">
        <f>Table1[[#This Row],[TotalPrice]] * (1 - Table1[[#This Row],[Discount]])</f>
        <v>844.19999999999993</v>
      </c>
      <c r="C232" s="7">
        <f>Table1[[#This Row],[Net Sales]] * 0.2</f>
        <v>168.84</v>
      </c>
      <c r="D232" t="s">
        <v>23</v>
      </c>
      <c r="E232" t="s">
        <v>24</v>
      </c>
      <c r="F232">
        <v>7</v>
      </c>
      <c r="G232">
        <v>120.6</v>
      </c>
      <c r="H232" t="s">
        <v>31</v>
      </c>
      <c r="I232" t="s">
        <v>35</v>
      </c>
      <c r="J232" s="3">
        <v>0</v>
      </c>
      <c r="K232" t="s">
        <v>41</v>
      </c>
      <c r="L232">
        <v>844.19999999999993</v>
      </c>
      <c r="M232" t="s">
        <v>43</v>
      </c>
      <c r="N232" t="s">
        <v>50</v>
      </c>
      <c r="O232">
        <v>0</v>
      </c>
      <c r="P232" t="s">
        <v>281</v>
      </c>
      <c r="Q232" t="s">
        <v>1779</v>
      </c>
      <c r="R232">
        <v>43.8</v>
      </c>
      <c r="S232" s="5">
        <v>45382</v>
      </c>
      <c r="T232" s="5">
        <v>45390</v>
      </c>
      <c r="U232" t="s">
        <v>2926</v>
      </c>
    </row>
    <row r="233" spans="1:21" x14ac:dyDescent="0.25">
      <c r="A233" s="5">
        <v>45748</v>
      </c>
      <c r="B233" s="7">
        <f>Table1[[#This Row],[TotalPrice]] * (1 - Table1[[#This Row],[Discount]])</f>
        <v>694.4917999999999</v>
      </c>
      <c r="C233" s="7">
        <f>Table1[[#This Row],[Net Sales]] * 0.2</f>
        <v>138.89836</v>
      </c>
      <c r="D233" t="s">
        <v>23</v>
      </c>
      <c r="E233" t="s">
        <v>30</v>
      </c>
      <c r="F233">
        <v>8</v>
      </c>
      <c r="G233">
        <v>96.19</v>
      </c>
      <c r="H233" t="s">
        <v>32</v>
      </c>
      <c r="I233" t="s">
        <v>35</v>
      </c>
      <c r="J233" s="3">
        <v>0.05</v>
      </c>
      <c r="K233" t="s">
        <v>40</v>
      </c>
      <c r="L233">
        <v>731.04399999999998</v>
      </c>
      <c r="M233" t="s">
        <v>46</v>
      </c>
      <c r="N233" t="s">
        <v>49</v>
      </c>
      <c r="O233">
        <v>0</v>
      </c>
      <c r="P233" t="s">
        <v>282</v>
      </c>
      <c r="Q233" t="s">
        <v>1780</v>
      </c>
      <c r="R233">
        <v>34.07</v>
      </c>
      <c r="S233" s="5">
        <v>45748</v>
      </c>
      <c r="T233" s="5">
        <v>45751</v>
      </c>
      <c r="U233" t="s">
        <v>2926</v>
      </c>
    </row>
    <row r="234" spans="1:21" x14ac:dyDescent="0.25">
      <c r="A234" s="5">
        <v>45161</v>
      </c>
      <c r="B234" s="7">
        <f>Table1[[#This Row],[TotalPrice]] * (1 - Table1[[#This Row],[Discount]])</f>
        <v>5953.2329499999996</v>
      </c>
      <c r="C234" s="7">
        <f>Table1[[#This Row],[Net Sales]] * 0.2</f>
        <v>1190.6465900000001</v>
      </c>
      <c r="D234" t="s">
        <v>23</v>
      </c>
      <c r="E234" t="s">
        <v>30</v>
      </c>
      <c r="F234">
        <v>14</v>
      </c>
      <c r="G234">
        <v>471.17</v>
      </c>
      <c r="H234" t="s">
        <v>32</v>
      </c>
      <c r="I234" t="s">
        <v>35</v>
      </c>
      <c r="J234" s="3">
        <v>0.05</v>
      </c>
      <c r="K234" t="s">
        <v>40</v>
      </c>
      <c r="L234">
        <v>6266.5609999999997</v>
      </c>
      <c r="M234" t="s">
        <v>44</v>
      </c>
      <c r="N234" t="s">
        <v>48</v>
      </c>
      <c r="O234">
        <v>0</v>
      </c>
      <c r="P234" t="s">
        <v>283</v>
      </c>
      <c r="Q234" t="s">
        <v>1781</v>
      </c>
      <c r="R234">
        <v>26.38</v>
      </c>
      <c r="S234" s="5">
        <v>45161</v>
      </c>
      <c r="T234" s="5">
        <v>45164</v>
      </c>
      <c r="U234" t="s">
        <v>2926</v>
      </c>
    </row>
    <row r="235" spans="1:21" x14ac:dyDescent="0.25">
      <c r="A235" s="5">
        <v>45518</v>
      </c>
      <c r="B235" s="7">
        <f>Table1[[#This Row],[TotalPrice]] * (1 - Table1[[#This Row],[Discount]])</f>
        <v>232.1460000000001</v>
      </c>
      <c r="C235" s="7">
        <f>Table1[[#This Row],[Net Sales]] * 0.2</f>
        <v>46.429200000000023</v>
      </c>
      <c r="D235" t="s">
        <v>20</v>
      </c>
      <c r="E235" t="s">
        <v>25</v>
      </c>
      <c r="F235">
        <v>20</v>
      </c>
      <c r="G235">
        <v>14.33</v>
      </c>
      <c r="H235" t="s">
        <v>34</v>
      </c>
      <c r="I235" t="s">
        <v>35</v>
      </c>
      <c r="J235" s="3">
        <v>0.1</v>
      </c>
      <c r="K235" t="s">
        <v>40</v>
      </c>
      <c r="L235">
        <v>257.94000000000011</v>
      </c>
      <c r="M235" t="s">
        <v>46</v>
      </c>
      <c r="O235">
        <v>0</v>
      </c>
      <c r="P235" t="s">
        <v>284</v>
      </c>
      <c r="Q235" t="s">
        <v>1782</v>
      </c>
      <c r="R235">
        <v>6.22</v>
      </c>
      <c r="S235" s="5">
        <v>45518</v>
      </c>
      <c r="T235" s="5">
        <v>45525</v>
      </c>
      <c r="U235" t="s">
        <v>2923</v>
      </c>
    </row>
    <row r="236" spans="1:21" x14ac:dyDescent="0.25">
      <c r="A236" s="5">
        <v>45702</v>
      </c>
      <c r="B236" s="7">
        <f>Table1[[#This Row],[TotalPrice]] * (1 - Table1[[#This Row],[Discount]])</f>
        <v>6497.4280499999995</v>
      </c>
      <c r="C236" s="7">
        <f>Table1[[#This Row],[Net Sales]] * 0.2</f>
        <v>1299.48561</v>
      </c>
      <c r="D236" t="s">
        <v>22</v>
      </c>
      <c r="E236" t="s">
        <v>29</v>
      </c>
      <c r="F236">
        <v>18</v>
      </c>
      <c r="G236">
        <v>499.61</v>
      </c>
      <c r="H236" t="s">
        <v>31</v>
      </c>
      <c r="I236" t="s">
        <v>36</v>
      </c>
      <c r="J236" s="3">
        <v>0.15</v>
      </c>
      <c r="K236" t="s">
        <v>38</v>
      </c>
      <c r="L236">
        <v>7644.0329999999994</v>
      </c>
      <c r="M236" t="s">
        <v>46</v>
      </c>
      <c r="O236">
        <v>0</v>
      </c>
      <c r="P236" t="s">
        <v>285</v>
      </c>
      <c r="Q236" t="s">
        <v>1783</v>
      </c>
      <c r="R236">
        <v>9.64</v>
      </c>
      <c r="S236" s="5">
        <v>45702</v>
      </c>
      <c r="T236" s="5">
        <v>45707</v>
      </c>
      <c r="U236" t="s">
        <v>2925</v>
      </c>
    </row>
    <row r="237" spans="1:21" x14ac:dyDescent="0.25">
      <c r="A237" s="5">
        <v>45241</v>
      </c>
      <c r="B237" s="7">
        <f>Table1[[#This Row],[TotalPrice]] * (1 - Table1[[#This Row],[Discount]])</f>
        <v>185.18220000000002</v>
      </c>
      <c r="C237" s="7">
        <f>Table1[[#This Row],[Net Sales]] * 0.2</f>
        <v>37.036440000000006</v>
      </c>
      <c r="D237" t="s">
        <v>23</v>
      </c>
      <c r="E237" t="s">
        <v>28</v>
      </c>
      <c r="F237">
        <v>14</v>
      </c>
      <c r="G237">
        <v>16.329999999999998</v>
      </c>
      <c r="H237" t="s">
        <v>31</v>
      </c>
      <c r="I237" t="s">
        <v>35</v>
      </c>
      <c r="J237" s="3">
        <v>0.1</v>
      </c>
      <c r="K237" t="s">
        <v>41</v>
      </c>
      <c r="L237">
        <v>205.75800000000001</v>
      </c>
      <c r="M237" t="s">
        <v>46</v>
      </c>
      <c r="N237" t="s">
        <v>50</v>
      </c>
      <c r="O237">
        <v>0</v>
      </c>
      <c r="P237" t="s">
        <v>286</v>
      </c>
      <c r="Q237" t="s">
        <v>1784</v>
      </c>
      <c r="R237">
        <v>22.72</v>
      </c>
      <c r="S237" s="5">
        <v>45241</v>
      </c>
      <c r="T237" s="5">
        <v>45246</v>
      </c>
      <c r="U237" t="s">
        <v>2926</v>
      </c>
    </row>
    <row r="238" spans="1:21" x14ac:dyDescent="0.25">
      <c r="A238" s="5">
        <v>45383</v>
      </c>
      <c r="B238" s="7">
        <f>Table1[[#This Row],[TotalPrice]] * (1 - Table1[[#This Row],[Discount]])</f>
        <v>5903.21515</v>
      </c>
      <c r="C238" s="7">
        <f>Table1[[#This Row],[Net Sales]] * 0.2</f>
        <v>1180.64303</v>
      </c>
      <c r="D238" t="s">
        <v>22</v>
      </c>
      <c r="E238" t="s">
        <v>26</v>
      </c>
      <c r="F238">
        <v>17</v>
      </c>
      <c r="G238">
        <v>480.62</v>
      </c>
      <c r="H238" t="s">
        <v>33</v>
      </c>
      <c r="I238" t="s">
        <v>35</v>
      </c>
      <c r="J238" s="3">
        <v>0.15</v>
      </c>
      <c r="K238" t="s">
        <v>40</v>
      </c>
      <c r="L238">
        <v>6944.9589999999998</v>
      </c>
      <c r="M238" t="s">
        <v>43</v>
      </c>
      <c r="N238" t="s">
        <v>48</v>
      </c>
      <c r="O238">
        <v>0</v>
      </c>
      <c r="P238" t="s">
        <v>287</v>
      </c>
      <c r="Q238" t="s">
        <v>1785</v>
      </c>
      <c r="R238">
        <v>37.090000000000003</v>
      </c>
      <c r="S238" s="5">
        <v>45383</v>
      </c>
      <c r="T238" s="5">
        <v>45391</v>
      </c>
      <c r="U238" t="s">
        <v>2925</v>
      </c>
    </row>
    <row r="239" spans="1:21" x14ac:dyDescent="0.25">
      <c r="A239" s="5">
        <v>45456</v>
      </c>
      <c r="B239" s="7">
        <f>Table1[[#This Row],[TotalPrice]] * (1 - Table1[[#This Row],[Discount]])</f>
        <v>2508.2279999999996</v>
      </c>
      <c r="C239" s="7">
        <f>Table1[[#This Row],[Net Sales]] * 0.2</f>
        <v>501.64559999999994</v>
      </c>
      <c r="D239" t="s">
        <v>20</v>
      </c>
      <c r="E239" t="s">
        <v>27</v>
      </c>
      <c r="F239">
        <v>5</v>
      </c>
      <c r="G239">
        <v>555.84</v>
      </c>
      <c r="H239" t="s">
        <v>33</v>
      </c>
      <c r="I239" t="s">
        <v>36</v>
      </c>
      <c r="J239" s="3">
        <v>0.05</v>
      </c>
      <c r="K239" t="s">
        <v>41</v>
      </c>
      <c r="L239">
        <v>2640.24</v>
      </c>
      <c r="M239" t="s">
        <v>45</v>
      </c>
      <c r="O239">
        <v>0</v>
      </c>
      <c r="P239" t="s">
        <v>288</v>
      </c>
      <c r="Q239" t="s">
        <v>1786</v>
      </c>
      <c r="R239">
        <v>29.4</v>
      </c>
      <c r="S239" s="5">
        <v>45456</v>
      </c>
      <c r="T239" s="5">
        <v>45463</v>
      </c>
      <c r="U239" t="s">
        <v>2923</v>
      </c>
    </row>
    <row r="240" spans="1:21" x14ac:dyDescent="0.25">
      <c r="A240" s="5">
        <v>45258</v>
      </c>
      <c r="B240" s="7">
        <f>Table1[[#This Row],[TotalPrice]] * (1 - Table1[[#This Row],[Discount]])</f>
        <v>2537.3574000000003</v>
      </c>
      <c r="C240" s="7">
        <f>Table1[[#This Row],[Net Sales]] * 0.2</f>
        <v>507.4714800000001</v>
      </c>
      <c r="D240" t="s">
        <v>21</v>
      </c>
      <c r="E240" t="s">
        <v>27</v>
      </c>
      <c r="F240">
        <v>18</v>
      </c>
      <c r="G240">
        <v>174.03</v>
      </c>
      <c r="H240" t="s">
        <v>31</v>
      </c>
      <c r="I240" t="s">
        <v>35</v>
      </c>
      <c r="J240" s="3">
        <v>0.1</v>
      </c>
      <c r="K240" t="s">
        <v>39</v>
      </c>
      <c r="L240">
        <v>2819.2860000000001</v>
      </c>
      <c r="M240" t="s">
        <v>43</v>
      </c>
      <c r="N240" t="s">
        <v>49</v>
      </c>
      <c r="O240">
        <v>0</v>
      </c>
      <c r="P240" t="s">
        <v>289</v>
      </c>
      <c r="Q240" t="s">
        <v>1787</v>
      </c>
      <c r="R240">
        <v>32.19</v>
      </c>
      <c r="S240" s="5">
        <v>45258</v>
      </c>
      <c r="T240" s="5">
        <v>45263</v>
      </c>
      <c r="U240" t="s">
        <v>2924</v>
      </c>
    </row>
    <row r="241" spans="1:21" x14ac:dyDescent="0.25">
      <c r="A241" s="5">
        <v>45607</v>
      </c>
      <c r="B241" s="7">
        <f>Table1[[#This Row],[TotalPrice]] * (1 - Table1[[#This Row],[Discount]])</f>
        <v>2548.7055</v>
      </c>
      <c r="C241" s="7">
        <f>Table1[[#This Row],[Net Sales]] * 0.2</f>
        <v>509.74110000000002</v>
      </c>
      <c r="D241" t="s">
        <v>22</v>
      </c>
      <c r="E241" t="s">
        <v>26</v>
      </c>
      <c r="F241">
        <v>11</v>
      </c>
      <c r="G241">
        <v>286.05</v>
      </c>
      <c r="H241" t="s">
        <v>32</v>
      </c>
      <c r="I241" t="s">
        <v>36</v>
      </c>
      <c r="J241" s="3">
        <v>0.1</v>
      </c>
      <c r="K241" t="s">
        <v>42</v>
      </c>
      <c r="L241">
        <v>2831.895</v>
      </c>
      <c r="M241" t="s">
        <v>46</v>
      </c>
      <c r="O241">
        <v>1</v>
      </c>
      <c r="P241" t="s">
        <v>290</v>
      </c>
      <c r="Q241" t="s">
        <v>1788</v>
      </c>
      <c r="R241">
        <v>8.59</v>
      </c>
      <c r="S241" s="5">
        <v>45607</v>
      </c>
      <c r="T241" s="5">
        <v>45612</v>
      </c>
      <c r="U241" t="s">
        <v>2925</v>
      </c>
    </row>
    <row r="242" spans="1:21" x14ac:dyDescent="0.25">
      <c r="A242" s="5">
        <v>45600</v>
      </c>
      <c r="B242" s="7">
        <f>Table1[[#This Row],[TotalPrice]] * (1 - Table1[[#This Row],[Discount]])</f>
        <v>651.67999999999995</v>
      </c>
      <c r="C242" s="7">
        <f>Table1[[#This Row],[Net Sales]] * 0.2</f>
        <v>130.33599999999998</v>
      </c>
      <c r="D242" t="s">
        <v>21</v>
      </c>
      <c r="E242" t="s">
        <v>26</v>
      </c>
      <c r="F242">
        <v>16</v>
      </c>
      <c r="G242">
        <v>40.729999999999997</v>
      </c>
      <c r="H242" t="s">
        <v>34</v>
      </c>
      <c r="I242" t="s">
        <v>36</v>
      </c>
      <c r="J242" s="3">
        <v>0</v>
      </c>
      <c r="K242" t="s">
        <v>38</v>
      </c>
      <c r="L242">
        <v>651.67999999999995</v>
      </c>
      <c r="M242" t="s">
        <v>45</v>
      </c>
      <c r="O242">
        <v>0</v>
      </c>
      <c r="P242" t="s">
        <v>291</v>
      </c>
      <c r="Q242" t="s">
        <v>1789</v>
      </c>
      <c r="R242">
        <v>24.72</v>
      </c>
      <c r="S242" s="5">
        <v>45600</v>
      </c>
      <c r="T242" s="5">
        <v>45604</v>
      </c>
      <c r="U242" t="s">
        <v>2924</v>
      </c>
    </row>
    <row r="243" spans="1:21" x14ac:dyDescent="0.25">
      <c r="A243" s="5">
        <v>44927</v>
      </c>
      <c r="B243" s="7">
        <f>Table1[[#This Row],[TotalPrice]] * (1 - Table1[[#This Row],[Discount]])</f>
        <v>5150.42</v>
      </c>
      <c r="C243" s="7">
        <f>Table1[[#This Row],[Net Sales]] * 0.2</f>
        <v>1030.0840000000001</v>
      </c>
      <c r="D243" t="s">
        <v>22</v>
      </c>
      <c r="E243" t="s">
        <v>27</v>
      </c>
      <c r="F243">
        <v>11</v>
      </c>
      <c r="G243">
        <v>468.22</v>
      </c>
      <c r="H243" t="s">
        <v>34</v>
      </c>
      <c r="I243" t="s">
        <v>36</v>
      </c>
      <c r="J243" s="3">
        <v>0</v>
      </c>
      <c r="K243" t="s">
        <v>40</v>
      </c>
      <c r="L243">
        <v>5150.42</v>
      </c>
      <c r="M243" t="s">
        <v>46</v>
      </c>
      <c r="N243" t="s">
        <v>50</v>
      </c>
      <c r="O243">
        <v>0</v>
      </c>
      <c r="P243" t="s">
        <v>292</v>
      </c>
      <c r="Q243" t="s">
        <v>1790</v>
      </c>
      <c r="R243">
        <v>19.920000000000002</v>
      </c>
      <c r="S243" s="5">
        <v>44927</v>
      </c>
      <c r="T243" s="5">
        <v>44937</v>
      </c>
      <c r="U243" t="s">
        <v>2925</v>
      </c>
    </row>
    <row r="244" spans="1:21" x14ac:dyDescent="0.25">
      <c r="A244" s="5">
        <v>45675</v>
      </c>
      <c r="B244" s="7">
        <f>Table1[[#This Row],[TotalPrice]] * (1 - Table1[[#This Row],[Discount]])</f>
        <v>333.34740000000005</v>
      </c>
      <c r="C244" s="7">
        <f>Table1[[#This Row],[Net Sales]] * 0.2</f>
        <v>66.669480000000007</v>
      </c>
      <c r="D244" t="s">
        <v>21</v>
      </c>
      <c r="E244" t="s">
        <v>29</v>
      </c>
      <c r="F244">
        <v>1</v>
      </c>
      <c r="G244">
        <v>411.54</v>
      </c>
      <c r="H244" t="s">
        <v>33</v>
      </c>
      <c r="I244" t="s">
        <v>36</v>
      </c>
      <c r="J244" s="3">
        <v>0.1</v>
      </c>
      <c r="K244" t="s">
        <v>37</v>
      </c>
      <c r="L244">
        <v>370.38600000000002</v>
      </c>
      <c r="M244" t="s">
        <v>44</v>
      </c>
      <c r="N244" t="s">
        <v>50</v>
      </c>
      <c r="O244">
        <v>0</v>
      </c>
      <c r="P244" t="s">
        <v>293</v>
      </c>
      <c r="Q244" t="s">
        <v>1791</v>
      </c>
      <c r="R244">
        <v>7.46</v>
      </c>
      <c r="S244" s="5">
        <v>45675</v>
      </c>
      <c r="T244" s="5">
        <v>45677</v>
      </c>
      <c r="U244" t="s">
        <v>2924</v>
      </c>
    </row>
    <row r="245" spans="1:21" x14ac:dyDescent="0.25">
      <c r="A245" s="5">
        <v>45048</v>
      </c>
      <c r="B245" s="7">
        <f>Table1[[#This Row],[TotalPrice]] * (1 - Table1[[#This Row],[Discount]])</f>
        <v>1574.5014999999999</v>
      </c>
      <c r="C245" s="7">
        <f>Table1[[#This Row],[Net Sales]] * 0.2</f>
        <v>314.90030000000002</v>
      </c>
      <c r="D245" t="s">
        <v>22</v>
      </c>
      <c r="E245" t="s">
        <v>30</v>
      </c>
      <c r="F245">
        <v>13</v>
      </c>
      <c r="G245">
        <v>134.19999999999999</v>
      </c>
      <c r="H245" t="s">
        <v>32</v>
      </c>
      <c r="I245" t="s">
        <v>35</v>
      </c>
      <c r="J245" s="3">
        <v>0.05</v>
      </c>
      <c r="K245" t="s">
        <v>37</v>
      </c>
      <c r="L245">
        <v>1657.37</v>
      </c>
      <c r="M245" t="s">
        <v>45</v>
      </c>
      <c r="N245" t="s">
        <v>50</v>
      </c>
      <c r="O245">
        <v>0</v>
      </c>
      <c r="P245" t="s">
        <v>294</v>
      </c>
      <c r="Q245" t="s">
        <v>1792</v>
      </c>
      <c r="R245">
        <v>9.6</v>
      </c>
      <c r="S245" s="5">
        <v>45048</v>
      </c>
      <c r="T245" s="5">
        <v>45056</v>
      </c>
      <c r="U245" t="s">
        <v>2925</v>
      </c>
    </row>
    <row r="246" spans="1:21" x14ac:dyDescent="0.25">
      <c r="A246" s="5">
        <v>45804</v>
      </c>
      <c r="B246" s="7">
        <f>Table1[[#This Row],[TotalPrice]] * (1 - Table1[[#This Row],[Discount]])</f>
        <v>2537.6367499999997</v>
      </c>
      <c r="C246" s="7">
        <f>Table1[[#This Row],[Net Sales]] * 0.2</f>
        <v>507.52734999999996</v>
      </c>
      <c r="D246" t="s">
        <v>23</v>
      </c>
      <c r="E246" t="s">
        <v>30</v>
      </c>
      <c r="F246">
        <v>10</v>
      </c>
      <c r="G246">
        <v>351.23</v>
      </c>
      <c r="H246" t="s">
        <v>31</v>
      </c>
      <c r="I246" t="s">
        <v>36</v>
      </c>
      <c r="J246" s="3">
        <v>0.15</v>
      </c>
      <c r="K246" t="s">
        <v>39</v>
      </c>
      <c r="L246">
        <v>2985.4549999999999</v>
      </c>
      <c r="M246" t="s">
        <v>43</v>
      </c>
      <c r="O246">
        <v>0</v>
      </c>
      <c r="P246" t="s">
        <v>295</v>
      </c>
      <c r="Q246" t="s">
        <v>1793</v>
      </c>
      <c r="R246">
        <v>42.74</v>
      </c>
      <c r="S246" s="5">
        <v>45804</v>
      </c>
      <c r="T246" s="5">
        <v>45810</v>
      </c>
      <c r="U246" t="s">
        <v>2926</v>
      </c>
    </row>
    <row r="247" spans="1:21" x14ac:dyDescent="0.25">
      <c r="A247" s="5">
        <v>45653</v>
      </c>
      <c r="B247" s="7">
        <f>Table1[[#This Row],[TotalPrice]] * (1 - Table1[[#This Row],[Discount]])</f>
        <v>6249.9276</v>
      </c>
      <c r="C247" s="7">
        <f>Table1[[#This Row],[Net Sales]] * 0.2</f>
        <v>1249.9855200000002</v>
      </c>
      <c r="D247" t="s">
        <v>20</v>
      </c>
      <c r="E247" t="s">
        <v>28</v>
      </c>
      <c r="F247">
        <v>14</v>
      </c>
      <c r="G247">
        <v>551.14</v>
      </c>
      <c r="H247" t="s">
        <v>33</v>
      </c>
      <c r="I247" t="s">
        <v>35</v>
      </c>
      <c r="J247" s="3">
        <v>0.1</v>
      </c>
      <c r="K247" t="s">
        <v>41</v>
      </c>
      <c r="L247">
        <v>6944.3639999999996</v>
      </c>
      <c r="M247" t="s">
        <v>43</v>
      </c>
      <c r="N247" t="s">
        <v>48</v>
      </c>
      <c r="O247">
        <v>1</v>
      </c>
      <c r="P247" t="s">
        <v>296</v>
      </c>
      <c r="Q247" t="s">
        <v>1794</v>
      </c>
      <c r="R247">
        <v>12.35</v>
      </c>
      <c r="S247" s="5">
        <v>45653</v>
      </c>
      <c r="T247" s="5">
        <v>45662</v>
      </c>
      <c r="U247" t="s">
        <v>2923</v>
      </c>
    </row>
    <row r="248" spans="1:21" x14ac:dyDescent="0.25">
      <c r="A248" s="5">
        <v>45734</v>
      </c>
      <c r="B248" s="7">
        <f>Table1[[#This Row],[TotalPrice]] * (1 - Table1[[#This Row],[Discount]])</f>
        <v>212.4306</v>
      </c>
      <c r="C248" s="7">
        <f>Table1[[#This Row],[Net Sales]] * 0.2</f>
        <v>42.48612</v>
      </c>
      <c r="D248" t="s">
        <v>23</v>
      </c>
      <c r="E248" t="s">
        <v>27</v>
      </c>
      <c r="F248">
        <v>2</v>
      </c>
      <c r="G248">
        <v>131.13</v>
      </c>
      <c r="H248" t="s">
        <v>31</v>
      </c>
      <c r="I248" t="s">
        <v>36</v>
      </c>
      <c r="J248" s="3">
        <v>0.1</v>
      </c>
      <c r="K248" t="s">
        <v>37</v>
      </c>
      <c r="L248">
        <v>236.03399999999999</v>
      </c>
      <c r="M248" t="s">
        <v>46</v>
      </c>
      <c r="O248">
        <v>0</v>
      </c>
      <c r="P248" t="s">
        <v>297</v>
      </c>
      <c r="Q248" t="s">
        <v>1795</v>
      </c>
      <c r="R248">
        <v>14.74</v>
      </c>
      <c r="S248" s="5">
        <v>45734</v>
      </c>
      <c r="T248" s="5">
        <v>45740</v>
      </c>
      <c r="U248" t="s">
        <v>2926</v>
      </c>
    </row>
    <row r="249" spans="1:21" x14ac:dyDescent="0.25">
      <c r="A249" s="5">
        <v>45375</v>
      </c>
      <c r="B249" s="7">
        <f>Table1[[#This Row],[TotalPrice]] * (1 - Table1[[#This Row],[Discount]])</f>
        <v>3570.66</v>
      </c>
      <c r="C249" s="7">
        <f>Table1[[#This Row],[Net Sales]] * 0.2</f>
        <v>714.13200000000006</v>
      </c>
      <c r="D249" t="s">
        <v>19</v>
      </c>
      <c r="E249" t="s">
        <v>24</v>
      </c>
      <c r="F249">
        <v>6</v>
      </c>
      <c r="G249">
        <v>595.11</v>
      </c>
      <c r="H249" t="s">
        <v>33</v>
      </c>
      <c r="I249" t="s">
        <v>35</v>
      </c>
      <c r="J249" s="3">
        <v>0</v>
      </c>
      <c r="K249" t="s">
        <v>41</v>
      </c>
      <c r="L249">
        <v>3570.66</v>
      </c>
      <c r="M249" t="s">
        <v>47</v>
      </c>
      <c r="N249" t="s">
        <v>49</v>
      </c>
      <c r="O249">
        <v>1</v>
      </c>
      <c r="P249" t="s">
        <v>298</v>
      </c>
      <c r="Q249" t="s">
        <v>1604</v>
      </c>
      <c r="R249">
        <v>28.92</v>
      </c>
      <c r="S249" s="5">
        <v>45375</v>
      </c>
      <c r="T249" s="5">
        <v>45382</v>
      </c>
      <c r="U249" t="s">
        <v>2922</v>
      </c>
    </row>
    <row r="250" spans="1:21" x14ac:dyDescent="0.25">
      <c r="A250" s="5">
        <v>45652</v>
      </c>
      <c r="B250" s="7">
        <f>Table1[[#This Row],[TotalPrice]] * (1 - Table1[[#This Row],[Discount]])</f>
        <v>2797.7138999999997</v>
      </c>
      <c r="C250" s="7">
        <f>Table1[[#This Row],[Net Sales]] * 0.2</f>
        <v>559.54277999999999</v>
      </c>
      <c r="D250" t="s">
        <v>19</v>
      </c>
      <c r="E250" t="s">
        <v>24</v>
      </c>
      <c r="F250">
        <v>6</v>
      </c>
      <c r="G250">
        <v>516.66</v>
      </c>
      <c r="H250" t="s">
        <v>33</v>
      </c>
      <c r="I250" t="s">
        <v>35</v>
      </c>
      <c r="J250" s="3">
        <v>0.05</v>
      </c>
      <c r="K250" t="s">
        <v>42</v>
      </c>
      <c r="L250">
        <v>2944.962</v>
      </c>
      <c r="M250" t="s">
        <v>43</v>
      </c>
      <c r="O250">
        <v>1</v>
      </c>
      <c r="P250" t="s">
        <v>299</v>
      </c>
      <c r="Q250" t="s">
        <v>1695</v>
      </c>
      <c r="R250">
        <v>5.15</v>
      </c>
      <c r="S250" s="5">
        <v>45652</v>
      </c>
      <c r="T250" s="5">
        <v>45660</v>
      </c>
      <c r="U250" t="s">
        <v>2922</v>
      </c>
    </row>
    <row r="251" spans="1:21" x14ac:dyDescent="0.25">
      <c r="A251" s="5">
        <v>44937</v>
      </c>
      <c r="B251" s="7">
        <f>Table1[[#This Row],[TotalPrice]] * (1 - Table1[[#This Row],[Discount]])</f>
        <v>1096.9165499999999</v>
      </c>
      <c r="C251" s="7">
        <f>Table1[[#This Row],[Net Sales]] * 0.2</f>
        <v>219.38330999999999</v>
      </c>
      <c r="D251" t="s">
        <v>21</v>
      </c>
      <c r="E251" t="s">
        <v>26</v>
      </c>
      <c r="F251">
        <v>6</v>
      </c>
      <c r="G251">
        <v>202.57</v>
      </c>
      <c r="H251" t="s">
        <v>34</v>
      </c>
      <c r="I251" t="s">
        <v>36</v>
      </c>
      <c r="J251" s="3">
        <v>0.05</v>
      </c>
      <c r="K251" t="s">
        <v>37</v>
      </c>
      <c r="L251">
        <v>1154.6489999999999</v>
      </c>
      <c r="M251" t="s">
        <v>44</v>
      </c>
      <c r="N251" t="s">
        <v>48</v>
      </c>
      <c r="O251">
        <v>0</v>
      </c>
      <c r="P251" t="s">
        <v>300</v>
      </c>
      <c r="Q251" t="s">
        <v>1796</v>
      </c>
      <c r="R251">
        <v>24.39</v>
      </c>
      <c r="S251" s="5">
        <v>44937</v>
      </c>
      <c r="T251" s="5">
        <v>44940</v>
      </c>
      <c r="U251" t="s">
        <v>2924</v>
      </c>
    </row>
    <row r="252" spans="1:21" x14ac:dyDescent="0.25">
      <c r="A252" s="5">
        <v>45809</v>
      </c>
      <c r="B252" s="7">
        <f>Table1[[#This Row],[TotalPrice]] * (1 - Table1[[#This Row],[Discount]])</f>
        <v>2875.6078000000002</v>
      </c>
      <c r="C252" s="7">
        <f>Table1[[#This Row],[Net Sales]] * 0.2</f>
        <v>575.12156000000004</v>
      </c>
      <c r="D252" t="s">
        <v>20</v>
      </c>
      <c r="E252" t="s">
        <v>24</v>
      </c>
      <c r="F252">
        <v>13</v>
      </c>
      <c r="G252">
        <v>306.16000000000003</v>
      </c>
      <c r="H252" t="s">
        <v>32</v>
      </c>
      <c r="I252" t="s">
        <v>35</v>
      </c>
      <c r="J252" s="3">
        <v>0.15</v>
      </c>
      <c r="K252" t="s">
        <v>39</v>
      </c>
      <c r="L252">
        <v>3383.0680000000002</v>
      </c>
      <c r="M252" t="s">
        <v>47</v>
      </c>
      <c r="N252" t="s">
        <v>49</v>
      </c>
      <c r="O252">
        <v>0</v>
      </c>
      <c r="P252" t="s">
        <v>301</v>
      </c>
      <c r="Q252" t="s">
        <v>1797</v>
      </c>
      <c r="R252">
        <v>25.16</v>
      </c>
      <c r="S252" s="5">
        <v>45809</v>
      </c>
      <c r="T252" s="5">
        <v>45818</v>
      </c>
      <c r="U252" t="s">
        <v>2923</v>
      </c>
    </row>
    <row r="253" spans="1:21" x14ac:dyDescent="0.25">
      <c r="A253" s="5">
        <v>45561</v>
      </c>
      <c r="B253" s="7">
        <f>Table1[[#This Row],[TotalPrice]] * (1 - Table1[[#This Row],[Discount]])</f>
        <v>3757.1011500000004</v>
      </c>
      <c r="C253" s="7">
        <f>Table1[[#This Row],[Net Sales]] * 0.2</f>
        <v>751.42023000000017</v>
      </c>
      <c r="D253" t="s">
        <v>19</v>
      </c>
      <c r="E253" t="s">
        <v>26</v>
      </c>
      <c r="F253">
        <v>11</v>
      </c>
      <c r="G253">
        <v>472.74</v>
      </c>
      <c r="H253" t="s">
        <v>34</v>
      </c>
      <c r="I253" t="s">
        <v>36</v>
      </c>
      <c r="J253" s="3">
        <v>0.15</v>
      </c>
      <c r="K253" t="s">
        <v>40</v>
      </c>
      <c r="L253">
        <v>4420.1190000000006</v>
      </c>
      <c r="M253" t="s">
        <v>45</v>
      </c>
      <c r="O253">
        <v>1</v>
      </c>
      <c r="P253" t="s">
        <v>302</v>
      </c>
      <c r="Q253" t="s">
        <v>1798</v>
      </c>
      <c r="R253">
        <v>16.8</v>
      </c>
      <c r="S253" s="5">
        <v>45561</v>
      </c>
      <c r="T253" s="5">
        <v>45566</v>
      </c>
      <c r="U253" t="s">
        <v>2922</v>
      </c>
    </row>
    <row r="254" spans="1:21" x14ac:dyDescent="0.25">
      <c r="A254" s="5">
        <v>45514</v>
      </c>
      <c r="B254" s="7">
        <f>Table1[[#This Row],[TotalPrice]] * (1 - Table1[[#This Row],[Discount]])</f>
        <v>5465.3940000000002</v>
      </c>
      <c r="C254" s="7">
        <f>Table1[[#This Row],[Net Sales]] * 0.2</f>
        <v>1093.0788</v>
      </c>
      <c r="D254" t="s">
        <v>19</v>
      </c>
      <c r="E254" t="s">
        <v>25</v>
      </c>
      <c r="F254">
        <v>20</v>
      </c>
      <c r="G254">
        <v>337.37</v>
      </c>
      <c r="H254" t="s">
        <v>33</v>
      </c>
      <c r="I254" t="s">
        <v>36</v>
      </c>
      <c r="J254" s="3">
        <v>0.1</v>
      </c>
      <c r="K254" t="s">
        <v>41</v>
      </c>
      <c r="L254">
        <v>6072.66</v>
      </c>
      <c r="M254" t="s">
        <v>44</v>
      </c>
      <c r="O254">
        <v>0</v>
      </c>
      <c r="P254" t="s">
        <v>303</v>
      </c>
      <c r="Q254" t="s">
        <v>1799</v>
      </c>
      <c r="R254">
        <v>43.17</v>
      </c>
      <c r="S254" s="5">
        <v>45514</v>
      </c>
      <c r="T254" s="5">
        <v>45521</v>
      </c>
      <c r="U254" t="s">
        <v>2922</v>
      </c>
    </row>
    <row r="255" spans="1:21" x14ac:dyDescent="0.25">
      <c r="A255" s="5">
        <v>45718</v>
      </c>
      <c r="B255" s="7">
        <f>Table1[[#This Row],[TotalPrice]] * (1 - Table1[[#This Row],[Discount]])</f>
        <v>332.81279999999998</v>
      </c>
      <c r="C255" s="7">
        <f>Table1[[#This Row],[Net Sales]] * 0.2</f>
        <v>66.562560000000005</v>
      </c>
      <c r="D255" t="s">
        <v>20</v>
      </c>
      <c r="E255" t="s">
        <v>25</v>
      </c>
      <c r="F255">
        <v>12</v>
      </c>
      <c r="G255">
        <v>34.24</v>
      </c>
      <c r="H255" t="s">
        <v>33</v>
      </c>
      <c r="I255" t="s">
        <v>36</v>
      </c>
      <c r="J255" s="3">
        <v>0.1</v>
      </c>
      <c r="K255" t="s">
        <v>39</v>
      </c>
      <c r="L255">
        <v>369.79199999999997</v>
      </c>
      <c r="M255" t="s">
        <v>47</v>
      </c>
      <c r="O255">
        <v>0</v>
      </c>
      <c r="P255" t="s">
        <v>304</v>
      </c>
      <c r="Q255" t="s">
        <v>1800</v>
      </c>
      <c r="R255">
        <v>17.64</v>
      </c>
      <c r="S255" s="5">
        <v>45718</v>
      </c>
      <c r="T255" s="5">
        <v>45726</v>
      </c>
      <c r="U255" t="s">
        <v>2923</v>
      </c>
    </row>
    <row r="256" spans="1:21" x14ac:dyDescent="0.25">
      <c r="A256" s="5">
        <v>44978</v>
      </c>
      <c r="B256" s="7">
        <f>Table1[[#This Row],[TotalPrice]] * (1 - Table1[[#This Row],[Discount]])</f>
        <v>1908.2</v>
      </c>
      <c r="C256" s="7">
        <f>Table1[[#This Row],[Net Sales]] * 0.2</f>
        <v>381.64000000000004</v>
      </c>
      <c r="D256" t="s">
        <v>19</v>
      </c>
      <c r="E256" t="s">
        <v>29</v>
      </c>
      <c r="F256">
        <v>4</v>
      </c>
      <c r="G256">
        <v>477.05</v>
      </c>
      <c r="H256" t="s">
        <v>31</v>
      </c>
      <c r="I256" t="s">
        <v>35</v>
      </c>
      <c r="J256" s="3">
        <v>0</v>
      </c>
      <c r="K256" t="s">
        <v>40</v>
      </c>
      <c r="L256">
        <v>1908.2</v>
      </c>
      <c r="M256" t="s">
        <v>45</v>
      </c>
      <c r="N256" t="s">
        <v>50</v>
      </c>
      <c r="O256">
        <v>0</v>
      </c>
      <c r="P256" t="s">
        <v>305</v>
      </c>
      <c r="Q256" t="s">
        <v>1801</v>
      </c>
      <c r="R256">
        <v>45.54</v>
      </c>
      <c r="S256" s="5">
        <v>44978</v>
      </c>
      <c r="T256" s="5">
        <v>44987</v>
      </c>
      <c r="U256" t="s">
        <v>2922</v>
      </c>
    </row>
    <row r="257" spans="1:21" x14ac:dyDescent="0.25">
      <c r="A257" s="5">
        <v>45616</v>
      </c>
      <c r="B257" s="7">
        <f>Table1[[#This Row],[TotalPrice]] * (1 - Table1[[#This Row],[Discount]])</f>
        <v>3377.58</v>
      </c>
      <c r="C257" s="7">
        <f>Table1[[#This Row],[Net Sales]] * 0.2</f>
        <v>675.51600000000008</v>
      </c>
      <c r="D257" t="s">
        <v>19</v>
      </c>
      <c r="E257" t="s">
        <v>24</v>
      </c>
      <c r="F257">
        <v>6</v>
      </c>
      <c r="G257">
        <v>562.92999999999995</v>
      </c>
      <c r="H257" t="s">
        <v>33</v>
      </c>
      <c r="I257" t="s">
        <v>36</v>
      </c>
      <c r="J257" s="3">
        <v>0</v>
      </c>
      <c r="K257" t="s">
        <v>38</v>
      </c>
      <c r="L257">
        <v>3377.58</v>
      </c>
      <c r="M257" t="s">
        <v>45</v>
      </c>
      <c r="N257" t="s">
        <v>50</v>
      </c>
      <c r="O257">
        <v>0</v>
      </c>
      <c r="P257" t="s">
        <v>306</v>
      </c>
      <c r="Q257" t="s">
        <v>1802</v>
      </c>
      <c r="R257">
        <v>43.73</v>
      </c>
      <c r="S257" s="5">
        <v>45616</v>
      </c>
      <c r="T257" s="5">
        <v>45623</v>
      </c>
      <c r="U257" t="s">
        <v>2922</v>
      </c>
    </row>
    <row r="258" spans="1:21" x14ac:dyDescent="0.25">
      <c r="A258" s="5">
        <v>45164</v>
      </c>
      <c r="B258" s="7">
        <f>Table1[[#This Row],[TotalPrice]] * (1 - Table1[[#This Row],[Discount]])</f>
        <v>365.8</v>
      </c>
      <c r="C258" s="7">
        <f>Table1[[#This Row],[Net Sales]] * 0.2</f>
        <v>73.160000000000011</v>
      </c>
      <c r="D258" t="s">
        <v>19</v>
      </c>
      <c r="E258" t="s">
        <v>27</v>
      </c>
      <c r="F258">
        <v>20</v>
      </c>
      <c r="G258">
        <v>18.29</v>
      </c>
      <c r="H258" t="s">
        <v>31</v>
      </c>
      <c r="I258" t="s">
        <v>36</v>
      </c>
      <c r="J258" s="3">
        <v>0</v>
      </c>
      <c r="K258" t="s">
        <v>41</v>
      </c>
      <c r="L258">
        <v>365.8</v>
      </c>
      <c r="M258" t="s">
        <v>46</v>
      </c>
      <c r="N258" t="s">
        <v>48</v>
      </c>
      <c r="O258">
        <v>1</v>
      </c>
      <c r="P258" t="s">
        <v>307</v>
      </c>
      <c r="Q258" t="s">
        <v>1803</v>
      </c>
      <c r="R258">
        <v>35.369999999999997</v>
      </c>
      <c r="S258" s="5">
        <v>45164</v>
      </c>
      <c r="T258" s="5">
        <v>45167</v>
      </c>
      <c r="U258" t="s">
        <v>2922</v>
      </c>
    </row>
    <row r="259" spans="1:21" x14ac:dyDescent="0.25">
      <c r="A259" s="5">
        <v>45292</v>
      </c>
      <c r="B259" s="7">
        <f>Table1[[#This Row],[TotalPrice]] * (1 - Table1[[#This Row],[Discount]])</f>
        <v>1462.02</v>
      </c>
      <c r="C259" s="7">
        <f>Table1[[#This Row],[Net Sales]] * 0.2</f>
        <v>292.404</v>
      </c>
      <c r="D259" t="s">
        <v>20</v>
      </c>
      <c r="E259" t="s">
        <v>28</v>
      </c>
      <c r="F259">
        <v>7</v>
      </c>
      <c r="G259">
        <v>208.86</v>
      </c>
      <c r="H259" t="s">
        <v>31</v>
      </c>
      <c r="I259" t="s">
        <v>36</v>
      </c>
      <c r="J259" s="3">
        <v>0</v>
      </c>
      <c r="K259" t="s">
        <v>39</v>
      </c>
      <c r="L259">
        <v>1462.02</v>
      </c>
      <c r="M259" t="s">
        <v>47</v>
      </c>
      <c r="N259" t="s">
        <v>48</v>
      </c>
      <c r="O259">
        <v>0</v>
      </c>
      <c r="P259" t="s">
        <v>308</v>
      </c>
      <c r="Q259" t="s">
        <v>1804</v>
      </c>
      <c r="R259">
        <v>20.64</v>
      </c>
      <c r="S259" s="5">
        <v>45292</v>
      </c>
      <c r="T259" s="5">
        <v>45299</v>
      </c>
      <c r="U259" t="s">
        <v>2923</v>
      </c>
    </row>
    <row r="260" spans="1:21" x14ac:dyDescent="0.25">
      <c r="A260" s="5">
        <v>45620</v>
      </c>
      <c r="B260" s="7">
        <f>Table1[[#This Row],[TotalPrice]] * (1 - Table1[[#This Row],[Discount]])</f>
        <v>3577.7987999999996</v>
      </c>
      <c r="C260" s="7">
        <f>Table1[[#This Row],[Net Sales]] * 0.2</f>
        <v>715.55975999999998</v>
      </c>
      <c r="D260" t="s">
        <v>20</v>
      </c>
      <c r="E260" t="s">
        <v>30</v>
      </c>
      <c r="F260">
        <v>12</v>
      </c>
      <c r="G260">
        <v>330.36</v>
      </c>
      <c r="H260" t="s">
        <v>34</v>
      </c>
      <c r="I260" t="s">
        <v>36</v>
      </c>
      <c r="J260" s="3">
        <v>0.05</v>
      </c>
      <c r="K260" t="s">
        <v>41</v>
      </c>
      <c r="L260">
        <v>3766.1039999999998</v>
      </c>
      <c r="M260" t="s">
        <v>47</v>
      </c>
      <c r="N260" t="s">
        <v>50</v>
      </c>
      <c r="O260">
        <v>0</v>
      </c>
      <c r="P260" t="s">
        <v>309</v>
      </c>
      <c r="Q260" t="s">
        <v>1805</v>
      </c>
      <c r="R260">
        <v>48.33</v>
      </c>
      <c r="S260" s="5">
        <v>45620</v>
      </c>
      <c r="T260" s="5">
        <v>45626</v>
      </c>
      <c r="U260" t="s">
        <v>2923</v>
      </c>
    </row>
    <row r="261" spans="1:21" x14ac:dyDescent="0.25">
      <c r="A261" s="5">
        <v>45529</v>
      </c>
      <c r="B261" s="7">
        <f>Table1[[#This Row],[TotalPrice]] * (1 - Table1[[#This Row],[Discount]])</f>
        <v>254.18995000000001</v>
      </c>
      <c r="C261" s="7">
        <f>Table1[[#This Row],[Net Sales]] * 0.2</f>
        <v>50.837990000000005</v>
      </c>
      <c r="D261" t="s">
        <v>20</v>
      </c>
      <c r="E261" t="s">
        <v>29</v>
      </c>
      <c r="F261">
        <v>7</v>
      </c>
      <c r="G261">
        <v>50.26</v>
      </c>
      <c r="H261" t="s">
        <v>33</v>
      </c>
      <c r="I261" t="s">
        <v>36</v>
      </c>
      <c r="J261" s="3">
        <v>0.15</v>
      </c>
      <c r="K261" t="s">
        <v>41</v>
      </c>
      <c r="L261">
        <v>299.04700000000003</v>
      </c>
      <c r="M261" t="s">
        <v>47</v>
      </c>
      <c r="O261">
        <v>0</v>
      </c>
      <c r="P261" t="s">
        <v>310</v>
      </c>
      <c r="Q261" t="s">
        <v>1806</v>
      </c>
      <c r="R261">
        <v>17.12</v>
      </c>
      <c r="S261" s="5">
        <v>45529</v>
      </c>
      <c r="T261" s="5">
        <v>45536</v>
      </c>
      <c r="U261" t="s">
        <v>2923</v>
      </c>
    </row>
    <row r="262" spans="1:21" x14ac:dyDescent="0.25">
      <c r="A262" s="5">
        <v>45087</v>
      </c>
      <c r="B262" s="7">
        <f>Table1[[#This Row],[TotalPrice]] * (1 - Table1[[#This Row],[Discount]])</f>
        <v>541.28255000000001</v>
      </c>
      <c r="C262" s="7">
        <f>Table1[[#This Row],[Net Sales]] * 0.2</f>
        <v>108.25651000000001</v>
      </c>
      <c r="D262" t="s">
        <v>20</v>
      </c>
      <c r="E262" t="s">
        <v>24</v>
      </c>
      <c r="F262">
        <v>2</v>
      </c>
      <c r="G262">
        <v>374.59</v>
      </c>
      <c r="H262" t="s">
        <v>33</v>
      </c>
      <c r="I262" t="s">
        <v>35</v>
      </c>
      <c r="J262" s="3">
        <v>0.15</v>
      </c>
      <c r="K262" t="s">
        <v>40</v>
      </c>
      <c r="L262">
        <v>636.803</v>
      </c>
      <c r="M262" t="s">
        <v>43</v>
      </c>
      <c r="N262" t="s">
        <v>49</v>
      </c>
      <c r="O262">
        <v>0</v>
      </c>
      <c r="P262" t="s">
        <v>311</v>
      </c>
      <c r="Q262" t="s">
        <v>1807</v>
      </c>
      <c r="R262">
        <v>34.64</v>
      </c>
      <c r="S262" s="5">
        <v>45087</v>
      </c>
      <c r="T262" s="5">
        <v>45095</v>
      </c>
      <c r="U262" t="s">
        <v>2923</v>
      </c>
    </row>
    <row r="263" spans="1:21" x14ac:dyDescent="0.25">
      <c r="A263" s="5">
        <v>45644</v>
      </c>
      <c r="B263" s="7">
        <f>Table1[[#This Row],[TotalPrice]] * (1 - Table1[[#This Row],[Discount]])</f>
        <v>2651.2920000000004</v>
      </c>
      <c r="C263" s="7">
        <f>Table1[[#This Row],[Net Sales]] * 0.2</f>
        <v>530.25840000000005</v>
      </c>
      <c r="D263" t="s">
        <v>21</v>
      </c>
      <c r="E263" t="s">
        <v>30</v>
      </c>
      <c r="F263">
        <v>7</v>
      </c>
      <c r="G263">
        <v>467.6</v>
      </c>
      <c r="H263" t="s">
        <v>32</v>
      </c>
      <c r="I263" t="s">
        <v>36</v>
      </c>
      <c r="J263" s="3">
        <v>0.1</v>
      </c>
      <c r="K263" t="s">
        <v>40</v>
      </c>
      <c r="L263">
        <v>2945.88</v>
      </c>
      <c r="M263" t="s">
        <v>46</v>
      </c>
      <c r="O263">
        <v>0</v>
      </c>
      <c r="P263" t="s">
        <v>312</v>
      </c>
      <c r="Q263" t="s">
        <v>1808</v>
      </c>
      <c r="R263">
        <v>15.64</v>
      </c>
      <c r="S263" s="5">
        <v>45644</v>
      </c>
      <c r="T263" s="5">
        <v>45652</v>
      </c>
      <c r="U263" t="s">
        <v>2924</v>
      </c>
    </row>
    <row r="264" spans="1:21" x14ac:dyDescent="0.25">
      <c r="A264" s="5">
        <v>45166</v>
      </c>
      <c r="B264" s="7">
        <f>Table1[[#This Row],[TotalPrice]] * (1 - Table1[[#This Row],[Discount]])</f>
        <v>1018.6698</v>
      </c>
      <c r="C264" s="7">
        <f>Table1[[#This Row],[Net Sales]] * 0.2</f>
        <v>203.73396000000002</v>
      </c>
      <c r="D264" t="s">
        <v>19</v>
      </c>
      <c r="E264" t="s">
        <v>27</v>
      </c>
      <c r="F264">
        <v>3</v>
      </c>
      <c r="G264">
        <v>376.24</v>
      </c>
      <c r="H264" t="s">
        <v>32</v>
      </c>
      <c r="I264" t="s">
        <v>36</v>
      </c>
      <c r="J264" s="3">
        <v>0.05</v>
      </c>
      <c r="K264" t="s">
        <v>39</v>
      </c>
      <c r="L264">
        <v>1072.2840000000001</v>
      </c>
      <c r="M264" t="s">
        <v>46</v>
      </c>
      <c r="N264" t="s">
        <v>48</v>
      </c>
      <c r="O264">
        <v>1</v>
      </c>
      <c r="P264" t="s">
        <v>313</v>
      </c>
      <c r="Q264" t="s">
        <v>1809</v>
      </c>
      <c r="R264">
        <v>6.15</v>
      </c>
      <c r="S264" s="5">
        <v>45166</v>
      </c>
      <c r="T264" s="5">
        <v>45170</v>
      </c>
      <c r="U264" t="s">
        <v>2922</v>
      </c>
    </row>
    <row r="265" spans="1:21" x14ac:dyDescent="0.25">
      <c r="A265" s="5">
        <v>44948</v>
      </c>
      <c r="B265" s="7">
        <f>Table1[[#This Row],[TotalPrice]] * (1 - Table1[[#This Row],[Discount]])</f>
        <v>1826.37</v>
      </c>
      <c r="C265" s="7">
        <f>Table1[[#This Row],[Net Sales]] * 0.2</f>
        <v>365.274</v>
      </c>
      <c r="D265" t="s">
        <v>23</v>
      </c>
      <c r="E265" t="s">
        <v>25</v>
      </c>
      <c r="F265">
        <v>13</v>
      </c>
      <c r="G265">
        <v>140.49</v>
      </c>
      <c r="H265" t="s">
        <v>32</v>
      </c>
      <c r="I265" t="s">
        <v>36</v>
      </c>
      <c r="J265" s="3">
        <v>0</v>
      </c>
      <c r="K265" t="s">
        <v>37</v>
      </c>
      <c r="L265">
        <v>1826.37</v>
      </c>
      <c r="M265" t="s">
        <v>46</v>
      </c>
      <c r="N265" t="s">
        <v>49</v>
      </c>
      <c r="O265">
        <v>0</v>
      </c>
      <c r="P265" t="s">
        <v>314</v>
      </c>
      <c r="Q265" t="s">
        <v>1810</v>
      </c>
      <c r="R265">
        <v>17.690000000000001</v>
      </c>
      <c r="S265" s="5">
        <v>44948</v>
      </c>
      <c r="T265" s="5">
        <v>44957</v>
      </c>
      <c r="U265" t="s">
        <v>2926</v>
      </c>
    </row>
    <row r="266" spans="1:21" x14ac:dyDescent="0.25">
      <c r="A266" s="5">
        <v>44964</v>
      </c>
      <c r="B266" s="7">
        <f>Table1[[#This Row],[TotalPrice]] * (1 - Table1[[#This Row],[Discount]])</f>
        <v>1097.4702749999999</v>
      </c>
      <c r="C266" s="7">
        <f>Table1[[#This Row],[Net Sales]] * 0.2</f>
        <v>219.494055</v>
      </c>
      <c r="D266" t="s">
        <v>21</v>
      </c>
      <c r="E266" t="s">
        <v>28</v>
      </c>
      <c r="F266">
        <v>3</v>
      </c>
      <c r="G266">
        <v>506.33</v>
      </c>
      <c r="H266" t="s">
        <v>31</v>
      </c>
      <c r="I266" t="s">
        <v>36</v>
      </c>
      <c r="J266" s="3">
        <v>0.15</v>
      </c>
      <c r="K266" t="s">
        <v>39</v>
      </c>
      <c r="L266">
        <v>1291.1415</v>
      </c>
      <c r="M266" t="s">
        <v>46</v>
      </c>
      <c r="N266" t="s">
        <v>48</v>
      </c>
      <c r="O266">
        <v>0</v>
      </c>
      <c r="P266" t="s">
        <v>315</v>
      </c>
      <c r="Q266" t="s">
        <v>1811</v>
      </c>
      <c r="R266">
        <v>25.71</v>
      </c>
      <c r="S266" s="5">
        <v>44964</v>
      </c>
      <c r="T266" s="5">
        <v>44971</v>
      </c>
      <c r="U266" t="s">
        <v>2924</v>
      </c>
    </row>
    <row r="267" spans="1:21" x14ac:dyDescent="0.25">
      <c r="A267" s="5">
        <v>45252</v>
      </c>
      <c r="B267" s="7">
        <f>Table1[[#This Row],[TotalPrice]] * (1 - Table1[[#This Row],[Discount]])</f>
        <v>1001.6306</v>
      </c>
      <c r="C267" s="7">
        <f>Table1[[#This Row],[Net Sales]] * 0.2</f>
        <v>200.32612</v>
      </c>
      <c r="D267" t="s">
        <v>20</v>
      </c>
      <c r="E267" t="s">
        <v>28</v>
      </c>
      <c r="F267">
        <v>8</v>
      </c>
      <c r="G267">
        <v>138.72999999999999</v>
      </c>
      <c r="H267" t="s">
        <v>32</v>
      </c>
      <c r="I267" t="s">
        <v>35</v>
      </c>
      <c r="J267" s="3">
        <v>0.05</v>
      </c>
      <c r="K267" t="s">
        <v>39</v>
      </c>
      <c r="L267">
        <v>1054.348</v>
      </c>
      <c r="M267" t="s">
        <v>43</v>
      </c>
      <c r="N267" t="s">
        <v>50</v>
      </c>
      <c r="O267">
        <v>1</v>
      </c>
      <c r="P267" t="s">
        <v>316</v>
      </c>
      <c r="Q267" t="s">
        <v>1812</v>
      </c>
      <c r="R267">
        <v>48.51</v>
      </c>
      <c r="S267" s="5">
        <v>45252</v>
      </c>
      <c r="T267" s="5">
        <v>45259</v>
      </c>
      <c r="U267" t="s">
        <v>2923</v>
      </c>
    </row>
    <row r="268" spans="1:21" x14ac:dyDescent="0.25">
      <c r="A268" s="5">
        <v>44951</v>
      </c>
      <c r="B268" s="7">
        <f>Table1[[#This Row],[TotalPrice]] * (1 - Table1[[#This Row],[Discount]])</f>
        <v>583.18754999999999</v>
      </c>
      <c r="C268" s="7">
        <f>Table1[[#This Row],[Net Sales]] * 0.2</f>
        <v>116.63751000000001</v>
      </c>
      <c r="D268" t="s">
        <v>23</v>
      </c>
      <c r="E268" t="s">
        <v>26</v>
      </c>
      <c r="F268">
        <v>6</v>
      </c>
      <c r="G268">
        <v>134.53</v>
      </c>
      <c r="H268" t="s">
        <v>33</v>
      </c>
      <c r="I268" t="s">
        <v>36</v>
      </c>
      <c r="J268" s="3">
        <v>0.15</v>
      </c>
      <c r="K268" t="s">
        <v>40</v>
      </c>
      <c r="L268">
        <v>686.10300000000007</v>
      </c>
      <c r="M268" t="s">
        <v>46</v>
      </c>
      <c r="N268" t="s">
        <v>48</v>
      </c>
      <c r="O268">
        <v>1</v>
      </c>
      <c r="P268" t="s">
        <v>317</v>
      </c>
      <c r="Q268" t="s">
        <v>1813</v>
      </c>
      <c r="R268">
        <v>33.5</v>
      </c>
      <c r="S268" s="5">
        <v>44951</v>
      </c>
      <c r="T268" s="5">
        <v>44955</v>
      </c>
      <c r="U268" t="s">
        <v>2926</v>
      </c>
    </row>
    <row r="269" spans="1:21" x14ac:dyDescent="0.25">
      <c r="A269" s="5">
        <v>45721</v>
      </c>
      <c r="B269" s="7">
        <f>Table1[[#This Row],[TotalPrice]] * (1 - Table1[[#This Row],[Discount]])</f>
        <v>6107.4701999999988</v>
      </c>
      <c r="C269" s="7">
        <f>Table1[[#This Row],[Net Sales]] * 0.2</f>
        <v>1221.4940399999998</v>
      </c>
      <c r="D269" t="s">
        <v>20</v>
      </c>
      <c r="E269" t="s">
        <v>29</v>
      </c>
      <c r="F269">
        <v>18</v>
      </c>
      <c r="G269">
        <v>375.96</v>
      </c>
      <c r="H269" t="s">
        <v>34</v>
      </c>
      <c r="I269" t="s">
        <v>35</v>
      </c>
      <c r="J269" s="3">
        <v>0.05</v>
      </c>
      <c r="K269" t="s">
        <v>41</v>
      </c>
      <c r="L269">
        <v>6428.9159999999993</v>
      </c>
      <c r="M269" t="s">
        <v>46</v>
      </c>
      <c r="N269" t="s">
        <v>49</v>
      </c>
      <c r="O269">
        <v>0</v>
      </c>
      <c r="P269" t="s">
        <v>318</v>
      </c>
      <c r="Q269" t="s">
        <v>1814</v>
      </c>
      <c r="R269">
        <v>26.78</v>
      </c>
      <c r="S269" s="5">
        <v>45721</v>
      </c>
      <c r="T269" s="5">
        <v>45725</v>
      </c>
      <c r="U269" t="s">
        <v>2923</v>
      </c>
    </row>
    <row r="270" spans="1:21" x14ac:dyDescent="0.25">
      <c r="A270" s="5">
        <v>44959</v>
      </c>
      <c r="B270" s="7">
        <f>Table1[[#This Row],[TotalPrice]] * (1 - Table1[[#This Row],[Discount]])</f>
        <v>4361.607</v>
      </c>
      <c r="C270" s="7">
        <f>Table1[[#This Row],[Net Sales]] * 0.2</f>
        <v>872.32140000000004</v>
      </c>
      <c r="D270" t="s">
        <v>21</v>
      </c>
      <c r="E270" t="s">
        <v>30</v>
      </c>
      <c r="F270">
        <v>10</v>
      </c>
      <c r="G270">
        <v>538.47</v>
      </c>
      <c r="H270" t="s">
        <v>34</v>
      </c>
      <c r="I270" t="s">
        <v>36</v>
      </c>
      <c r="J270" s="3">
        <v>0.1</v>
      </c>
      <c r="K270" t="s">
        <v>42</v>
      </c>
      <c r="L270">
        <v>4846.2299999999996</v>
      </c>
      <c r="M270" t="s">
        <v>44</v>
      </c>
      <c r="N270" t="s">
        <v>50</v>
      </c>
      <c r="O270">
        <v>1</v>
      </c>
      <c r="P270" t="s">
        <v>319</v>
      </c>
      <c r="Q270" t="s">
        <v>1815</v>
      </c>
      <c r="R270">
        <v>17.25</v>
      </c>
      <c r="S270" s="5">
        <v>44959</v>
      </c>
      <c r="T270" s="5">
        <v>44969</v>
      </c>
      <c r="U270" t="s">
        <v>2924</v>
      </c>
    </row>
    <row r="271" spans="1:21" x14ac:dyDescent="0.25">
      <c r="A271" s="5">
        <v>45070</v>
      </c>
      <c r="B271" s="7">
        <f>Table1[[#This Row],[TotalPrice]] * (1 - Table1[[#This Row],[Discount]])</f>
        <v>6141.0960000000014</v>
      </c>
      <c r="C271" s="7">
        <f>Table1[[#This Row],[Net Sales]] * 0.2</f>
        <v>1228.2192000000005</v>
      </c>
      <c r="D271" t="s">
        <v>21</v>
      </c>
      <c r="E271" t="s">
        <v>29</v>
      </c>
      <c r="F271">
        <v>15</v>
      </c>
      <c r="G271">
        <v>505.44</v>
      </c>
      <c r="H271" t="s">
        <v>32</v>
      </c>
      <c r="I271" t="s">
        <v>35</v>
      </c>
      <c r="J271" s="3">
        <v>0.1</v>
      </c>
      <c r="K271" t="s">
        <v>38</v>
      </c>
      <c r="L271">
        <v>6823.4400000000014</v>
      </c>
      <c r="M271" t="s">
        <v>43</v>
      </c>
      <c r="N271" t="s">
        <v>49</v>
      </c>
      <c r="O271">
        <v>0</v>
      </c>
      <c r="P271" t="s">
        <v>320</v>
      </c>
      <c r="Q271" t="s">
        <v>1816</v>
      </c>
      <c r="R271">
        <v>37.5</v>
      </c>
      <c r="S271" s="5">
        <v>45070</v>
      </c>
      <c r="T271" s="5">
        <v>45078</v>
      </c>
      <c r="U271" t="s">
        <v>2924</v>
      </c>
    </row>
    <row r="272" spans="1:21" x14ac:dyDescent="0.25">
      <c r="A272" s="5">
        <v>45442</v>
      </c>
      <c r="B272" s="7">
        <f>Table1[[#This Row],[TotalPrice]] * (1 - Table1[[#This Row],[Discount]])</f>
        <v>901.94009999999992</v>
      </c>
      <c r="C272" s="7">
        <f>Table1[[#This Row],[Net Sales]] * 0.2</f>
        <v>180.38801999999998</v>
      </c>
      <c r="D272" t="s">
        <v>20</v>
      </c>
      <c r="E272" t="s">
        <v>30</v>
      </c>
      <c r="F272">
        <v>4</v>
      </c>
      <c r="G272">
        <v>312.08999999999997</v>
      </c>
      <c r="H272" t="s">
        <v>33</v>
      </c>
      <c r="I272" t="s">
        <v>35</v>
      </c>
      <c r="J272" s="3">
        <v>0.15</v>
      </c>
      <c r="K272" t="s">
        <v>41</v>
      </c>
      <c r="L272">
        <v>1061.106</v>
      </c>
      <c r="M272" t="s">
        <v>46</v>
      </c>
      <c r="N272" t="s">
        <v>49</v>
      </c>
      <c r="O272">
        <v>1</v>
      </c>
      <c r="P272" t="s">
        <v>321</v>
      </c>
      <c r="Q272" t="s">
        <v>1590</v>
      </c>
      <c r="R272">
        <v>17.989999999999998</v>
      </c>
      <c r="S272" s="5">
        <v>45442</v>
      </c>
      <c r="T272" s="5">
        <v>45449</v>
      </c>
      <c r="U272" t="s">
        <v>2923</v>
      </c>
    </row>
    <row r="273" spans="1:21" x14ac:dyDescent="0.25">
      <c r="A273" s="5">
        <v>45314</v>
      </c>
      <c r="B273" s="7">
        <f>Table1[[#This Row],[TotalPrice]] * (1 - Table1[[#This Row],[Discount]])</f>
        <v>6281.1982500000004</v>
      </c>
      <c r="C273" s="7">
        <f>Table1[[#This Row],[Net Sales]] * 0.2</f>
        <v>1256.2396500000002</v>
      </c>
      <c r="D273" t="s">
        <v>23</v>
      </c>
      <c r="E273" t="s">
        <v>26</v>
      </c>
      <c r="F273">
        <v>15</v>
      </c>
      <c r="G273">
        <v>579.58000000000004</v>
      </c>
      <c r="H273" t="s">
        <v>33</v>
      </c>
      <c r="I273" t="s">
        <v>36</v>
      </c>
      <c r="J273" s="3">
        <v>0.15</v>
      </c>
      <c r="K273" t="s">
        <v>37</v>
      </c>
      <c r="L273">
        <v>7389.6450000000004</v>
      </c>
      <c r="M273" t="s">
        <v>45</v>
      </c>
      <c r="O273">
        <v>0</v>
      </c>
      <c r="P273" t="s">
        <v>322</v>
      </c>
      <c r="Q273" t="s">
        <v>1817</v>
      </c>
      <c r="R273">
        <v>31.22</v>
      </c>
      <c r="S273" s="5">
        <v>45314</v>
      </c>
      <c r="T273" s="5">
        <v>45322</v>
      </c>
      <c r="U273" t="s">
        <v>2926</v>
      </c>
    </row>
    <row r="274" spans="1:21" x14ac:dyDescent="0.25">
      <c r="A274" s="5">
        <v>44963</v>
      </c>
      <c r="B274" s="7">
        <f>Table1[[#This Row],[TotalPrice]] * (1 - Table1[[#This Row],[Discount]])</f>
        <v>1570.93175</v>
      </c>
      <c r="C274" s="7">
        <f>Table1[[#This Row],[Net Sales]] * 0.2</f>
        <v>314.18635</v>
      </c>
      <c r="D274" t="s">
        <v>21</v>
      </c>
      <c r="E274" t="s">
        <v>27</v>
      </c>
      <c r="F274">
        <v>10</v>
      </c>
      <c r="G274">
        <v>217.43</v>
      </c>
      <c r="H274" t="s">
        <v>32</v>
      </c>
      <c r="I274" t="s">
        <v>36</v>
      </c>
      <c r="J274" s="3">
        <v>0.15</v>
      </c>
      <c r="K274" t="s">
        <v>42</v>
      </c>
      <c r="L274">
        <v>1848.155</v>
      </c>
      <c r="M274" t="s">
        <v>45</v>
      </c>
      <c r="N274" t="s">
        <v>48</v>
      </c>
      <c r="O274">
        <v>0</v>
      </c>
      <c r="P274" t="s">
        <v>323</v>
      </c>
      <c r="Q274" t="s">
        <v>1818</v>
      </c>
      <c r="R274">
        <v>33.14</v>
      </c>
      <c r="S274" s="5">
        <v>44963</v>
      </c>
      <c r="T274" s="5">
        <v>44972</v>
      </c>
      <c r="U274" t="s">
        <v>2924</v>
      </c>
    </row>
    <row r="275" spans="1:21" x14ac:dyDescent="0.25">
      <c r="A275" s="5">
        <v>45488</v>
      </c>
      <c r="B275" s="7">
        <f>Table1[[#This Row],[TotalPrice]] * (1 - Table1[[#This Row],[Discount]])</f>
        <v>6445.8806249999998</v>
      </c>
      <c r="C275" s="7">
        <f>Table1[[#This Row],[Net Sales]] * 0.2</f>
        <v>1289.176125</v>
      </c>
      <c r="D275" t="s">
        <v>23</v>
      </c>
      <c r="E275" t="s">
        <v>25</v>
      </c>
      <c r="F275">
        <v>15</v>
      </c>
      <c r="G275">
        <v>476.15</v>
      </c>
      <c r="H275" t="s">
        <v>31</v>
      </c>
      <c r="I275" t="s">
        <v>35</v>
      </c>
      <c r="J275" s="3">
        <v>0.05</v>
      </c>
      <c r="K275" t="s">
        <v>40</v>
      </c>
      <c r="L275">
        <v>6785.1374999999998</v>
      </c>
      <c r="M275" t="s">
        <v>43</v>
      </c>
      <c r="N275" t="s">
        <v>49</v>
      </c>
      <c r="O275">
        <v>0</v>
      </c>
      <c r="P275" t="s">
        <v>324</v>
      </c>
      <c r="Q275" t="s">
        <v>1819</v>
      </c>
      <c r="R275">
        <v>24.48</v>
      </c>
      <c r="S275" s="5">
        <v>45488</v>
      </c>
      <c r="T275" s="5">
        <v>45492</v>
      </c>
      <c r="U275" t="s">
        <v>2926</v>
      </c>
    </row>
    <row r="276" spans="1:21" x14ac:dyDescent="0.25">
      <c r="A276" s="5">
        <v>45722</v>
      </c>
      <c r="B276" s="7">
        <f>Table1[[#This Row],[TotalPrice]] * (1 - Table1[[#This Row],[Discount]])</f>
        <v>360.57150000000001</v>
      </c>
      <c r="C276" s="7">
        <f>Table1[[#This Row],[Net Sales]] * 0.2</f>
        <v>72.1143</v>
      </c>
      <c r="D276" t="s">
        <v>19</v>
      </c>
      <c r="E276" t="s">
        <v>27</v>
      </c>
      <c r="F276">
        <v>5</v>
      </c>
      <c r="G276">
        <v>89.03</v>
      </c>
      <c r="H276" t="s">
        <v>33</v>
      </c>
      <c r="I276" t="s">
        <v>35</v>
      </c>
      <c r="J276" s="3">
        <v>0.1</v>
      </c>
      <c r="K276" t="s">
        <v>39</v>
      </c>
      <c r="L276">
        <v>400.63499999999999</v>
      </c>
      <c r="M276" t="s">
        <v>46</v>
      </c>
      <c r="N276" t="s">
        <v>50</v>
      </c>
      <c r="O276">
        <v>0</v>
      </c>
      <c r="P276" t="s">
        <v>325</v>
      </c>
      <c r="Q276" t="s">
        <v>1820</v>
      </c>
      <c r="R276">
        <v>22.42</v>
      </c>
      <c r="S276" s="5">
        <v>45722</v>
      </c>
      <c r="T276" s="5">
        <v>45732</v>
      </c>
      <c r="U276" t="s">
        <v>2922</v>
      </c>
    </row>
    <row r="277" spans="1:21" x14ac:dyDescent="0.25">
      <c r="A277" s="5">
        <v>45136</v>
      </c>
      <c r="B277" s="7">
        <f>Table1[[#This Row],[TotalPrice]] * (1 - Table1[[#This Row],[Discount]])</f>
        <v>94.7376</v>
      </c>
      <c r="C277" s="7">
        <f>Table1[[#This Row],[Net Sales]] * 0.2</f>
        <v>18.947520000000001</v>
      </c>
      <c r="D277" t="s">
        <v>22</v>
      </c>
      <c r="E277" t="s">
        <v>25</v>
      </c>
      <c r="F277">
        <v>17</v>
      </c>
      <c r="G277">
        <v>6.88</v>
      </c>
      <c r="H277" t="s">
        <v>32</v>
      </c>
      <c r="I277" t="s">
        <v>36</v>
      </c>
      <c r="J277" s="3">
        <v>0.1</v>
      </c>
      <c r="K277" t="s">
        <v>39</v>
      </c>
      <c r="L277">
        <v>105.264</v>
      </c>
      <c r="M277" t="s">
        <v>44</v>
      </c>
      <c r="O277">
        <v>0</v>
      </c>
      <c r="P277" t="s">
        <v>326</v>
      </c>
      <c r="Q277" t="s">
        <v>1821</v>
      </c>
      <c r="R277">
        <v>42.37</v>
      </c>
      <c r="S277" s="5">
        <v>45136</v>
      </c>
      <c r="T277" s="5">
        <v>45146</v>
      </c>
      <c r="U277" t="s">
        <v>2925</v>
      </c>
    </row>
    <row r="278" spans="1:21" x14ac:dyDescent="0.25">
      <c r="A278" s="5">
        <v>45133</v>
      </c>
      <c r="B278" s="7">
        <f>Table1[[#This Row],[TotalPrice]] * (1 - Table1[[#This Row],[Discount]])</f>
        <v>1726.5636</v>
      </c>
      <c r="C278" s="7">
        <f>Table1[[#This Row],[Net Sales]] * 0.2</f>
        <v>345.31272000000001</v>
      </c>
      <c r="D278" t="s">
        <v>21</v>
      </c>
      <c r="E278" t="s">
        <v>30</v>
      </c>
      <c r="F278">
        <v>6</v>
      </c>
      <c r="G278">
        <v>355.26</v>
      </c>
      <c r="H278" t="s">
        <v>34</v>
      </c>
      <c r="I278" t="s">
        <v>36</v>
      </c>
      <c r="J278" s="3">
        <v>0.1</v>
      </c>
      <c r="K278" t="s">
        <v>42</v>
      </c>
      <c r="L278">
        <v>1918.404</v>
      </c>
      <c r="M278" t="s">
        <v>43</v>
      </c>
      <c r="N278" t="s">
        <v>50</v>
      </c>
      <c r="O278">
        <v>0</v>
      </c>
      <c r="P278" t="s">
        <v>327</v>
      </c>
      <c r="Q278" t="s">
        <v>1822</v>
      </c>
      <c r="R278">
        <v>30.49</v>
      </c>
      <c r="S278" s="5">
        <v>45133</v>
      </c>
      <c r="T278" s="5">
        <v>45136</v>
      </c>
      <c r="U278" t="s">
        <v>2924</v>
      </c>
    </row>
    <row r="279" spans="1:21" x14ac:dyDescent="0.25">
      <c r="A279" s="5">
        <v>45392</v>
      </c>
      <c r="B279" s="7">
        <f>Table1[[#This Row],[TotalPrice]] * (1 - Table1[[#This Row],[Discount]])</f>
        <v>1910.0447999999999</v>
      </c>
      <c r="C279" s="7">
        <f>Table1[[#This Row],[Net Sales]] * 0.2</f>
        <v>382.00896</v>
      </c>
      <c r="D279" t="s">
        <v>23</v>
      </c>
      <c r="E279" t="s">
        <v>29</v>
      </c>
      <c r="F279">
        <v>8</v>
      </c>
      <c r="G279">
        <v>294.76</v>
      </c>
      <c r="H279" t="s">
        <v>33</v>
      </c>
      <c r="I279" t="s">
        <v>36</v>
      </c>
      <c r="J279" s="3">
        <v>0.1</v>
      </c>
      <c r="K279" t="s">
        <v>41</v>
      </c>
      <c r="L279">
        <v>2122.2719999999999</v>
      </c>
      <c r="M279" t="s">
        <v>43</v>
      </c>
      <c r="N279" t="s">
        <v>49</v>
      </c>
      <c r="O279">
        <v>0</v>
      </c>
      <c r="P279" t="s">
        <v>328</v>
      </c>
      <c r="Q279" t="s">
        <v>1823</v>
      </c>
      <c r="R279">
        <v>36.04</v>
      </c>
      <c r="S279" s="5">
        <v>45392</v>
      </c>
      <c r="T279" s="5">
        <v>45395</v>
      </c>
      <c r="U279" t="s">
        <v>2926</v>
      </c>
    </row>
    <row r="280" spans="1:21" x14ac:dyDescent="0.25">
      <c r="A280" s="5">
        <v>45681</v>
      </c>
      <c r="B280" s="7">
        <f>Table1[[#This Row],[TotalPrice]] * (1 - Table1[[#This Row],[Discount]])</f>
        <v>971.04</v>
      </c>
      <c r="C280" s="7">
        <f>Table1[[#This Row],[Net Sales]] * 0.2</f>
        <v>194.208</v>
      </c>
      <c r="D280" t="s">
        <v>21</v>
      </c>
      <c r="E280" t="s">
        <v>26</v>
      </c>
      <c r="F280">
        <v>16</v>
      </c>
      <c r="G280">
        <v>60.69</v>
      </c>
      <c r="H280" t="s">
        <v>32</v>
      </c>
      <c r="I280" t="s">
        <v>35</v>
      </c>
      <c r="J280" s="3">
        <v>0</v>
      </c>
      <c r="K280" t="s">
        <v>40</v>
      </c>
      <c r="L280">
        <v>971.04</v>
      </c>
      <c r="M280" t="s">
        <v>45</v>
      </c>
      <c r="N280" t="s">
        <v>50</v>
      </c>
      <c r="O280">
        <v>0</v>
      </c>
      <c r="P280" t="s">
        <v>329</v>
      </c>
      <c r="Q280" t="s">
        <v>1824</v>
      </c>
      <c r="R280">
        <v>7.03</v>
      </c>
      <c r="S280" s="5">
        <v>45681</v>
      </c>
      <c r="T280" s="5">
        <v>45684</v>
      </c>
      <c r="U280" t="s">
        <v>2924</v>
      </c>
    </row>
    <row r="281" spans="1:21" x14ac:dyDescent="0.25">
      <c r="A281" s="5">
        <v>45774</v>
      </c>
      <c r="B281" s="7">
        <f>Table1[[#This Row],[TotalPrice]] * (1 - Table1[[#This Row],[Discount]])</f>
        <v>906.60059999999999</v>
      </c>
      <c r="C281" s="7">
        <f>Table1[[#This Row],[Net Sales]] * 0.2</f>
        <v>181.32012</v>
      </c>
      <c r="D281" t="s">
        <v>23</v>
      </c>
      <c r="E281" t="s">
        <v>24</v>
      </c>
      <c r="F281">
        <v>2</v>
      </c>
      <c r="G281">
        <v>559.63</v>
      </c>
      <c r="H281" t="s">
        <v>31</v>
      </c>
      <c r="I281" t="s">
        <v>35</v>
      </c>
      <c r="J281" s="3">
        <v>0.1</v>
      </c>
      <c r="K281" t="s">
        <v>41</v>
      </c>
      <c r="L281">
        <v>1007.3339999999999</v>
      </c>
      <c r="M281" t="s">
        <v>45</v>
      </c>
      <c r="N281" t="s">
        <v>50</v>
      </c>
      <c r="O281">
        <v>1</v>
      </c>
      <c r="P281" t="s">
        <v>330</v>
      </c>
      <c r="Q281" t="s">
        <v>1825</v>
      </c>
      <c r="R281">
        <v>42.34</v>
      </c>
      <c r="S281" s="5">
        <v>45774</v>
      </c>
      <c r="T281" s="5">
        <v>45780</v>
      </c>
      <c r="U281" t="s">
        <v>2926</v>
      </c>
    </row>
    <row r="282" spans="1:21" x14ac:dyDescent="0.25">
      <c r="A282" s="5">
        <v>45708</v>
      </c>
      <c r="B282" s="7">
        <f>Table1[[#This Row],[TotalPrice]] * (1 - Table1[[#This Row],[Discount]])</f>
        <v>753.8184</v>
      </c>
      <c r="C282" s="7">
        <f>Table1[[#This Row],[Net Sales]] * 0.2</f>
        <v>150.76367999999999</v>
      </c>
      <c r="D282" t="s">
        <v>19</v>
      </c>
      <c r="E282" t="s">
        <v>25</v>
      </c>
      <c r="F282">
        <v>4</v>
      </c>
      <c r="G282">
        <v>232.66</v>
      </c>
      <c r="H282" t="s">
        <v>31</v>
      </c>
      <c r="I282" t="s">
        <v>35</v>
      </c>
      <c r="J282" s="3">
        <v>0.1</v>
      </c>
      <c r="K282" t="s">
        <v>39</v>
      </c>
      <c r="L282">
        <v>837.57600000000002</v>
      </c>
      <c r="M282" t="s">
        <v>43</v>
      </c>
      <c r="N282" t="s">
        <v>50</v>
      </c>
      <c r="O282">
        <v>0</v>
      </c>
      <c r="P282" t="s">
        <v>331</v>
      </c>
      <c r="Q282" t="s">
        <v>1826</v>
      </c>
      <c r="R282">
        <v>11.88</v>
      </c>
      <c r="S282" s="5">
        <v>45708</v>
      </c>
      <c r="T282" s="5">
        <v>45711</v>
      </c>
      <c r="U282" t="s">
        <v>2922</v>
      </c>
    </row>
    <row r="283" spans="1:21" x14ac:dyDescent="0.25">
      <c r="A283" s="5">
        <v>45183</v>
      </c>
      <c r="B283" s="7">
        <f>Table1[[#This Row],[TotalPrice]] * (1 - Table1[[#This Row],[Discount]])</f>
        <v>1668.03575</v>
      </c>
      <c r="C283" s="7">
        <f>Table1[[#This Row],[Net Sales]] * 0.2</f>
        <v>333.60715000000005</v>
      </c>
      <c r="D283" t="s">
        <v>21</v>
      </c>
      <c r="E283" t="s">
        <v>30</v>
      </c>
      <c r="F283">
        <v>10</v>
      </c>
      <c r="G283">
        <v>230.87</v>
      </c>
      <c r="H283" t="s">
        <v>32</v>
      </c>
      <c r="I283" t="s">
        <v>36</v>
      </c>
      <c r="J283" s="3">
        <v>0.15</v>
      </c>
      <c r="K283" t="s">
        <v>42</v>
      </c>
      <c r="L283">
        <v>1962.395</v>
      </c>
      <c r="M283" t="s">
        <v>46</v>
      </c>
      <c r="N283" t="s">
        <v>49</v>
      </c>
      <c r="O283">
        <v>0</v>
      </c>
      <c r="P283" t="s">
        <v>332</v>
      </c>
      <c r="Q283" t="s">
        <v>1773</v>
      </c>
      <c r="R283">
        <v>28.33</v>
      </c>
      <c r="S283" s="5">
        <v>45183</v>
      </c>
      <c r="T283" s="5">
        <v>45188</v>
      </c>
      <c r="U283" t="s">
        <v>2924</v>
      </c>
    </row>
    <row r="284" spans="1:21" x14ac:dyDescent="0.25">
      <c r="A284" s="5">
        <v>45399</v>
      </c>
      <c r="B284" s="7">
        <f>Table1[[#This Row],[TotalPrice]] * (1 - Table1[[#This Row],[Discount]])</f>
        <v>1789.84925</v>
      </c>
      <c r="C284" s="7">
        <f>Table1[[#This Row],[Net Sales]] * 0.2</f>
        <v>357.96985000000001</v>
      </c>
      <c r="D284" t="s">
        <v>23</v>
      </c>
      <c r="E284" t="s">
        <v>29</v>
      </c>
      <c r="F284">
        <v>7</v>
      </c>
      <c r="G284">
        <v>353.9</v>
      </c>
      <c r="H284" t="s">
        <v>33</v>
      </c>
      <c r="I284" t="s">
        <v>35</v>
      </c>
      <c r="J284" s="3">
        <v>0.15</v>
      </c>
      <c r="K284" t="s">
        <v>38</v>
      </c>
      <c r="L284">
        <v>2105.7049999999999</v>
      </c>
      <c r="M284" t="s">
        <v>46</v>
      </c>
      <c r="N284" t="s">
        <v>49</v>
      </c>
      <c r="O284">
        <v>1</v>
      </c>
      <c r="P284" t="s">
        <v>333</v>
      </c>
      <c r="Q284" t="s">
        <v>1827</v>
      </c>
      <c r="R284">
        <v>15.74</v>
      </c>
      <c r="S284" s="5">
        <v>45399</v>
      </c>
      <c r="T284" s="5">
        <v>45409</v>
      </c>
      <c r="U284" t="s">
        <v>2926</v>
      </c>
    </row>
    <row r="285" spans="1:21" x14ac:dyDescent="0.25">
      <c r="A285" s="5">
        <v>45610</v>
      </c>
      <c r="B285" s="7">
        <f>Table1[[#This Row],[TotalPrice]] * (1 - Table1[[#This Row],[Discount]])</f>
        <v>6732.84</v>
      </c>
      <c r="C285" s="7">
        <f>Table1[[#This Row],[Net Sales]] * 0.2</f>
        <v>1346.5680000000002</v>
      </c>
      <c r="D285" t="s">
        <v>22</v>
      </c>
      <c r="E285" t="s">
        <v>29</v>
      </c>
      <c r="F285">
        <v>12</v>
      </c>
      <c r="G285">
        <v>561.07000000000005</v>
      </c>
      <c r="H285" t="s">
        <v>32</v>
      </c>
      <c r="I285" t="s">
        <v>36</v>
      </c>
      <c r="J285" s="3">
        <v>0</v>
      </c>
      <c r="K285" t="s">
        <v>38</v>
      </c>
      <c r="L285">
        <v>6732.84</v>
      </c>
      <c r="M285" t="s">
        <v>44</v>
      </c>
      <c r="O285">
        <v>0</v>
      </c>
      <c r="P285" t="s">
        <v>334</v>
      </c>
      <c r="Q285" t="s">
        <v>1828</v>
      </c>
      <c r="R285">
        <v>35.020000000000003</v>
      </c>
      <c r="S285" s="5">
        <v>45610</v>
      </c>
      <c r="T285" s="5">
        <v>45614</v>
      </c>
      <c r="U285" t="s">
        <v>2925</v>
      </c>
    </row>
    <row r="286" spans="1:21" x14ac:dyDescent="0.25">
      <c r="A286" s="5">
        <v>45498</v>
      </c>
      <c r="B286" s="7">
        <f>Table1[[#This Row],[TotalPrice]] * (1 - Table1[[#This Row],[Discount]])</f>
        <v>3003.6015000000002</v>
      </c>
      <c r="C286" s="7">
        <f>Table1[[#This Row],[Net Sales]] * 0.2</f>
        <v>600.72030000000007</v>
      </c>
      <c r="D286" t="s">
        <v>21</v>
      </c>
      <c r="E286" t="s">
        <v>27</v>
      </c>
      <c r="F286">
        <v>15</v>
      </c>
      <c r="G286">
        <v>247.21</v>
      </c>
      <c r="H286" t="s">
        <v>34</v>
      </c>
      <c r="I286" t="s">
        <v>35</v>
      </c>
      <c r="J286" s="3">
        <v>0.1</v>
      </c>
      <c r="K286" t="s">
        <v>42</v>
      </c>
      <c r="L286">
        <v>3337.335</v>
      </c>
      <c r="M286" t="s">
        <v>44</v>
      </c>
      <c r="O286">
        <v>0</v>
      </c>
      <c r="P286" t="s">
        <v>335</v>
      </c>
      <c r="Q286" t="s">
        <v>1829</v>
      </c>
      <c r="R286">
        <v>45.42</v>
      </c>
      <c r="S286" s="5">
        <v>45498</v>
      </c>
      <c r="T286" s="5">
        <v>45500</v>
      </c>
      <c r="U286" t="s">
        <v>2924</v>
      </c>
    </row>
    <row r="287" spans="1:21" x14ac:dyDescent="0.25">
      <c r="A287" s="5">
        <v>45509</v>
      </c>
      <c r="B287" s="7">
        <f>Table1[[#This Row],[TotalPrice]] * (1 - Table1[[#This Row],[Discount]])</f>
        <v>4174.0758000000005</v>
      </c>
      <c r="C287" s="7">
        <f>Table1[[#This Row],[Net Sales]] * 0.2</f>
        <v>834.81516000000011</v>
      </c>
      <c r="D287" t="s">
        <v>19</v>
      </c>
      <c r="E287" t="s">
        <v>25</v>
      </c>
      <c r="F287">
        <v>19</v>
      </c>
      <c r="G287">
        <v>271.22000000000003</v>
      </c>
      <c r="H287" t="s">
        <v>32</v>
      </c>
      <c r="I287" t="s">
        <v>35</v>
      </c>
      <c r="J287" s="3">
        <v>0.1</v>
      </c>
      <c r="K287" t="s">
        <v>38</v>
      </c>
      <c r="L287">
        <v>4637.8620000000001</v>
      </c>
      <c r="M287" t="s">
        <v>45</v>
      </c>
      <c r="N287" t="s">
        <v>50</v>
      </c>
      <c r="O287">
        <v>0</v>
      </c>
      <c r="P287" t="s">
        <v>336</v>
      </c>
      <c r="Q287" t="s">
        <v>1830</v>
      </c>
      <c r="R287">
        <v>35.33</v>
      </c>
      <c r="S287" s="5">
        <v>45509</v>
      </c>
      <c r="T287" s="5">
        <v>45519</v>
      </c>
      <c r="U287" t="s">
        <v>2922</v>
      </c>
    </row>
    <row r="288" spans="1:21" x14ac:dyDescent="0.25">
      <c r="A288" s="5">
        <v>45680</v>
      </c>
      <c r="B288" s="7">
        <f>Table1[[#This Row],[TotalPrice]] * (1 - Table1[[#This Row],[Discount]])</f>
        <v>3195.24</v>
      </c>
      <c r="C288" s="7">
        <f>Table1[[#This Row],[Net Sales]] * 0.2</f>
        <v>639.048</v>
      </c>
      <c r="D288" t="s">
        <v>23</v>
      </c>
      <c r="E288" t="s">
        <v>24</v>
      </c>
      <c r="F288">
        <v>6</v>
      </c>
      <c r="G288">
        <v>532.54</v>
      </c>
      <c r="H288" t="s">
        <v>32</v>
      </c>
      <c r="I288" t="s">
        <v>35</v>
      </c>
      <c r="J288" s="3">
        <v>0</v>
      </c>
      <c r="K288" t="s">
        <v>41</v>
      </c>
      <c r="L288">
        <v>3195.24</v>
      </c>
      <c r="M288" t="s">
        <v>46</v>
      </c>
      <c r="O288">
        <v>1</v>
      </c>
      <c r="P288" t="s">
        <v>337</v>
      </c>
      <c r="Q288" t="s">
        <v>1831</v>
      </c>
      <c r="R288">
        <v>25.09</v>
      </c>
      <c r="S288" s="5">
        <v>45680</v>
      </c>
      <c r="T288" s="5">
        <v>45690</v>
      </c>
      <c r="U288" t="s">
        <v>2926</v>
      </c>
    </row>
    <row r="289" spans="1:21" x14ac:dyDescent="0.25">
      <c r="A289" s="5">
        <v>45774</v>
      </c>
      <c r="B289" s="7">
        <f>Table1[[#This Row],[TotalPrice]] * (1 - Table1[[#This Row],[Discount]])</f>
        <v>3809.4824000000003</v>
      </c>
      <c r="C289" s="7">
        <f>Table1[[#This Row],[Net Sales]] * 0.2</f>
        <v>761.89648000000011</v>
      </c>
      <c r="D289" t="s">
        <v>23</v>
      </c>
      <c r="E289" t="s">
        <v>30</v>
      </c>
      <c r="F289">
        <v>16</v>
      </c>
      <c r="G289">
        <v>329.54</v>
      </c>
      <c r="H289" t="s">
        <v>32</v>
      </c>
      <c r="I289" t="s">
        <v>35</v>
      </c>
      <c r="J289" s="3">
        <v>0.15</v>
      </c>
      <c r="K289" t="s">
        <v>42</v>
      </c>
      <c r="L289">
        <v>4481.7440000000006</v>
      </c>
      <c r="M289" t="s">
        <v>46</v>
      </c>
      <c r="N289" t="s">
        <v>48</v>
      </c>
      <c r="O289">
        <v>1</v>
      </c>
      <c r="P289" t="s">
        <v>338</v>
      </c>
      <c r="Q289" t="s">
        <v>1832</v>
      </c>
      <c r="R289">
        <v>39.39</v>
      </c>
      <c r="S289" s="5">
        <v>45774</v>
      </c>
      <c r="T289" s="5">
        <v>45780</v>
      </c>
      <c r="U289" t="s">
        <v>2926</v>
      </c>
    </row>
    <row r="290" spans="1:21" x14ac:dyDescent="0.25">
      <c r="A290" s="5">
        <v>45555</v>
      </c>
      <c r="B290" s="7">
        <f>Table1[[#This Row],[TotalPrice]] * (1 - Table1[[#This Row],[Discount]])</f>
        <v>1020.6</v>
      </c>
      <c r="C290" s="7">
        <f>Table1[[#This Row],[Net Sales]] * 0.2</f>
        <v>204.12</v>
      </c>
      <c r="D290" t="s">
        <v>20</v>
      </c>
      <c r="E290" t="s">
        <v>25</v>
      </c>
      <c r="F290">
        <v>6</v>
      </c>
      <c r="G290">
        <v>170.1</v>
      </c>
      <c r="H290" t="s">
        <v>32</v>
      </c>
      <c r="I290" t="s">
        <v>36</v>
      </c>
      <c r="J290" s="3">
        <v>0</v>
      </c>
      <c r="K290" t="s">
        <v>37</v>
      </c>
      <c r="L290">
        <v>1020.6</v>
      </c>
      <c r="M290" t="s">
        <v>44</v>
      </c>
      <c r="N290" t="s">
        <v>48</v>
      </c>
      <c r="O290">
        <v>0</v>
      </c>
      <c r="P290" t="s">
        <v>339</v>
      </c>
      <c r="Q290" t="s">
        <v>1833</v>
      </c>
      <c r="R290">
        <v>38.61</v>
      </c>
      <c r="S290" s="5">
        <v>45555</v>
      </c>
      <c r="T290" s="5">
        <v>45558</v>
      </c>
      <c r="U290" t="s">
        <v>2923</v>
      </c>
    </row>
    <row r="291" spans="1:21" x14ac:dyDescent="0.25">
      <c r="A291" s="5">
        <v>45177</v>
      </c>
      <c r="B291" s="7">
        <f>Table1[[#This Row],[TotalPrice]] * (1 - Table1[[#This Row],[Discount]])</f>
        <v>2921.6238249999997</v>
      </c>
      <c r="C291" s="7">
        <f>Table1[[#This Row],[Net Sales]] * 0.2</f>
        <v>584.32476499999996</v>
      </c>
      <c r="D291" t="s">
        <v>23</v>
      </c>
      <c r="E291" t="s">
        <v>24</v>
      </c>
      <c r="F291">
        <v>19</v>
      </c>
      <c r="G291">
        <v>212.83</v>
      </c>
      <c r="H291" t="s">
        <v>34</v>
      </c>
      <c r="I291" t="s">
        <v>35</v>
      </c>
      <c r="J291" s="3">
        <v>0.15</v>
      </c>
      <c r="K291" t="s">
        <v>40</v>
      </c>
      <c r="L291">
        <v>3437.2044999999998</v>
      </c>
      <c r="M291" t="s">
        <v>43</v>
      </c>
      <c r="N291" t="s">
        <v>50</v>
      </c>
      <c r="O291">
        <v>0</v>
      </c>
      <c r="P291" t="s">
        <v>340</v>
      </c>
      <c r="Q291" t="s">
        <v>1834</v>
      </c>
      <c r="R291">
        <v>42.88</v>
      </c>
      <c r="S291" s="5">
        <v>45177</v>
      </c>
      <c r="T291" s="5">
        <v>45184</v>
      </c>
      <c r="U291" t="s">
        <v>2926</v>
      </c>
    </row>
    <row r="292" spans="1:21" x14ac:dyDescent="0.25">
      <c r="A292" s="5">
        <v>45767</v>
      </c>
      <c r="B292" s="7">
        <f>Table1[[#This Row],[TotalPrice]] * (1 - Table1[[#This Row],[Discount]])</f>
        <v>2894.6</v>
      </c>
      <c r="C292" s="7">
        <f>Table1[[#This Row],[Net Sales]] * 0.2</f>
        <v>578.91999999999996</v>
      </c>
      <c r="D292" t="s">
        <v>20</v>
      </c>
      <c r="E292" t="s">
        <v>24</v>
      </c>
      <c r="F292">
        <v>5</v>
      </c>
      <c r="G292">
        <v>578.91999999999996</v>
      </c>
      <c r="H292" t="s">
        <v>32</v>
      </c>
      <c r="I292" t="s">
        <v>35</v>
      </c>
      <c r="J292" s="3">
        <v>0</v>
      </c>
      <c r="K292" t="s">
        <v>42</v>
      </c>
      <c r="L292">
        <v>2894.6</v>
      </c>
      <c r="M292" t="s">
        <v>45</v>
      </c>
      <c r="O292">
        <v>1</v>
      </c>
      <c r="P292" t="s">
        <v>341</v>
      </c>
      <c r="Q292" t="s">
        <v>1835</v>
      </c>
      <c r="R292">
        <v>44.09</v>
      </c>
      <c r="S292" s="5">
        <v>45767</v>
      </c>
      <c r="T292" s="5">
        <v>45775</v>
      </c>
      <c r="U292" t="s">
        <v>2923</v>
      </c>
    </row>
    <row r="293" spans="1:21" x14ac:dyDescent="0.25">
      <c r="A293" s="5">
        <v>45463</v>
      </c>
      <c r="B293" s="7">
        <f>Table1[[#This Row],[TotalPrice]] * (1 - Table1[[#This Row],[Discount]])</f>
        <v>1110.3155999999999</v>
      </c>
      <c r="C293" s="7">
        <f>Table1[[#This Row],[Net Sales]] * 0.2</f>
        <v>222.06312</v>
      </c>
      <c r="D293" t="s">
        <v>21</v>
      </c>
      <c r="E293" t="s">
        <v>25</v>
      </c>
      <c r="F293">
        <v>3</v>
      </c>
      <c r="G293">
        <v>456.92</v>
      </c>
      <c r="H293" t="s">
        <v>33</v>
      </c>
      <c r="I293" t="s">
        <v>36</v>
      </c>
      <c r="J293" s="3">
        <v>0.1</v>
      </c>
      <c r="K293" t="s">
        <v>39</v>
      </c>
      <c r="L293">
        <v>1233.684</v>
      </c>
      <c r="M293" t="s">
        <v>44</v>
      </c>
      <c r="N293" t="s">
        <v>48</v>
      </c>
      <c r="O293">
        <v>0</v>
      </c>
      <c r="P293" t="s">
        <v>342</v>
      </c>
      <c r="Q293" t="s">
        <v>1836</v>
      </c>
      <c r="R293">
        <v>17.57</v>
      </c>
      <c r="S293" s="5">
        <v>45463</v>
      </c>
      <c r="T293" s="5">
        <v>45470</v>
      </c>
      <c r="U293" t="s">
        <v>2924</v>
      </c>
    </row>
    <row r="294" spans="1:21" x14ac:dyDescent="0.25">
      <c r="A294" s="5">
        <v>44937</v>
      </c>
      <c r="B294" s="7">
        <f>Table1[[#This Row],[TotalPrice]] * (1 - Table1[[#This Row],[Discount]])</f>
        <v>6258.36</v>
      </c>
      <c r="C294" s="7">
        <f>Table1[[#This Row],[Net Sales]] * 0.2</f>
        <v>1251.672</v>
      </c>
      <c r="D294" t="s">
        <v>19</v>
      </c>
      <c r="E294" t="s">
        <v>29</v>
      </c>
      <c r="F294">
        <v>12</v>
      </c>
      <c r="G294">
        <v>521.53</v>
      </c>
      <c r="H294" t="s">
        <v>34</v>
      </c>
      <c r="I294" t="s">
        <v>36</v>
      </c>
      <c r="J294" s="3">
        <v>0</v>
      </c>
      <c r="K294" t="s">
        <v>37</v>
      </c>
      <c r="L294">
        <v>6258.36</v>
      </c>
      <c r="M294" t="s">
        <v>45</v>
      </c>
      <c r="N294" t="s">
        <v>49</v>
      </c>
      <c r="O294">
        <v>1</v>
      </c>
      <c r="P294" t="s">
        <v>343</v>
      </c>
      <c r="Q294" t="s">
        <v>1837</v>
      </c>
      <c r="R294">
        <v>49.59</v>
      </c>
      <c r="S294" s="5">
        <v>44937</v>
      </c>
      <c r="T294" s="5">
        <v>44946</v>
      </c>
      <c r="U294" t="s">
        <v>2922</v>
      </c>
    </row>
    <row r="295" spans="1:21" x14ac:dyDescent="0.25">
      <c r="A295" s="5">
        <v>45111</v>
      </c>
      <c r="B295" s="7">
        <f>Table1[[#This Row],[TotalPrice]] * (1 - Table1[[#This Row],[Discount]])</f>
        <v>7183.2050749999989</v>
      </c>
      <c r="C295" s="7">
        <f>Table1[[#This Row],[Net Sales]] * 0.2</f>
        <v>1436.6410149999999</v>
      </c>
      <c r="D295" t="s">
        <v>21</v>
      </c>
      <c r="E295" t="s">
        <v>26</v>
      </c>
      <c r="F295">
        <v>17</v>
      </c>
      <c r="G295">
        <v>468.19</v>
      </c>
      <c r="H295" t="s">
        <v>34</v>
      </c>
      <c r="I295" t="s">
        <v>36</v>
      </c>
      <c r="J295" s="3">
        <v>0.05</v>
      </c>
      <c r="K295" t="s">
        <v>41</v>
      </c>
      <c r="L295">
        <v>7561.2684999999992</v>
      </c>
      <c r="M295" t="s">
        <v>47</v>
      </c>
      <c r="O295">
        <v>0</v>
      </c>
      <c r="P295" t="s">
        <v>344</v>
      </c>
      <c r="Q295" t="s">
        <v>1838</v>
      </c>
      <c r="R295">
        <v>13.84</v>
      </c>
      <c r="S295" s="5">
        <v>45111</v>
      </c>
      <c r="T295" s="5">
        <v>45114</v>
      </c>
      <c r="U295" t="s">
        <v>2924</v>
      </c>
    </row>
    <row r="296" spans="1:21" x14ac:dyDescent="0.25">
      <c r="A296" s="5">
        <v>45724</v>
      </c>
      <c r="B296" s="7">
        <f>Table1[[#This Row],[TotalPrice]] * (1 - Table1[[#This Row],[Discount]])</f>
        <v>57.287025</v>
      </c>
      <c r="C296" s="7">
        <f>Table1[[#This Row],[Net Sales]] * 0.2</f>
        <v>11.457405000000001</v>
      </c>
      <c r="D296" t="s">
        <v>22</v>
      </c>
      <c r="E296" t="s">
        <v>28</v>
      </c>
      <c r="F296">
        <v>9</v>
      </c>
      <c r="G296">
        <v>8.81</v>
      </c>
      <c r="H296" t="s">
        <v>34</v>
      </c>
      <c r="I296" t="s">
        <v>36</v>
      </c>
      <c r="J296" s="3">
        <v>0.15</v>
      </c>
      <c r="K296" t="s">
        <v>38</v>
      </c>
      <c r="L296">
        <v>67.396500000000003</v>
      </c>
      <c r="M296" t="s">
        <v>43</v>
      </c>
      <c r="N296" t="s">
        <v>49</v>
      </c>
      <c r="O296">
        <v>0</v>
      </c>
      <c r="P296" t="s">
        <v>345</v>
      </c>
      <c r="Q296" t="s">
        <v>1839</v>
      </c>
      <c r="R296">
        <v>42.7</v>
      </c>
      <c r="S296" s="5">
        <v>45724</v>
      </c>
      <c r="T296" s="5">
        <v>45734</v>
      </c>
      <c r="U296" t="s">
        <v>2925</v>
      </c>
    </row>
    <row r="297" spans="1:21" x14ac:dyDescent="0.25">
      <c r="A297" s="5">
        <v>45698</v>
      </c>
      <c r="B297" s="7">
        <f>Table1[[#This Row],[TotalPrice]] * (1 - Table1[[#This Row],[Discount]])</f>
        <v>2258.9684999999999</v>
      </c>
      <c r="C297" s="7">
        <f>Table1[[#This Row],[Net Sales]] * 0.2</f>
        <v>451.7937</v>
      </c>
      <c r="D297" t="s">
        <v>20</v>
      </c>
      <c r="E297" t="s">
        <v>27</v>
      </c>
      <c r="F297">
        <v>6</v>
      </c>
      <c r="G297">
        <v>521.1</v>
      </c>
      <c r="H297" t="s">
        <v>32</v>
      </c>
      <c r="I297" t="s">
        <v>35</v>
      </c>
      <c r="J297" s="3">
        <v>0.15</v>
      </c>
      <c r="K297" t="s">
        <v>39</v>
      </c>
      <c r="L297">
        <v>2657.61</v>
      </c>
      <c r="M297" t="s">
        <v>47</v>
      </c>
      <c r="O297">
        <v>0</v>
      </c>
      <c r="P297" t="s">
        <v>346</v>
      </c>
      <c r="Q297" t="s">
        <v>1840</v>
      </c>
      <c r="R297">
        <v>31.14</v>
      </c>
      <c r="S297" s="5">
        <v>45698</v>
      </c>
      <c r="T297" s="5">
        <v>45700</v>
      </c>
      <c r="U297" t="s">
        <v>2923</v>
      </c>
    </row>
    <row r="298" spans="1:21" x14ac:dyDescent="0.25">
      <c r="A298" s="5">
        <v>45733</v>
      </c>
      <c r="B298" s="7">
        <f>Table1[[#This Row],[TotalPrice]] * (1 - Table1[[#This Row],[Discount]])</f>
        <v>2348.2710000000011</v>
      </c>
      <c r="C298" s="7">
        <f>Table1[[#This Row],[Net Sales]] * 0.2</f>
        <v>469.65420000000023</v>
      </c>
      <c r="D298" t="s">
        <v>23</v>
      </c>
      <c r="E298" t="s">
        <v>28</v>
      </c>
      <c r="F298">
        <v>10</v>
      </c>
      <c r="G298">
        <v>289.91000000000003</v>
      </c>
      <c r="H298" t="s">
        <v>33</v>
      </c>
      <c r="I298" t="s">
        <v>36</v>
      </c>
      <c r="J298" s="3">
        <v>0.1</v>
      </c>
      <c r="K298" t="s">
        <v>41</v>
      </c>
      <c r="L298">
        <v>2609.190000000001</v>
      </c>
      <c r="M298" t="s">
        <v>47</v>
      </c>
      <c r="N298" t="s">
        <v>49</v>
      </c>
      <c r="O298">
        <v>0</v>
      </c>
      <c r="P298" t="s">
        <v>347</v>
      </c>
      <c r="Q298" t="s">
        <v>1841</v>
      </c>
      <c r="R298">
        <v>32.96</v>
      </c>
      <c r="S298" s="5">
        <v>45733</v>
      </c>
      <c r="T298" s="5">
        <v>45737</v>
      </c>
      <c r="U298" t="s">
        <v>2926</v>
      </c>
    </row>
    <row r="299" spans="1:21" x14ac:dyDescent="0.25">
      <c r="A299" s="5">
        <v>45239</v>
      </c>
      <c r="B299" s="7">
        <f>Table1[[#This Row],[TotalPrice]] * (1 - Table1[[#This Row],[Discount]])</f>
        <v>385.19602499999996</v>
      </c>
      <c r="C299" s="7">
        <f>Table1[[#This Row],[Net Sales]] * 0.2</f>
        <v>77.039204999999995</v>
      </c>
      <c r="D299" t="s">
        <v>19</v>
      </c>
      <c r="E299" t="s">
        <v>30</v>
      </c>
      <c r="F299">
        <v>3</v>
      </c>
      <c r="G299">
        <v>142.27000000000001</v>
      </c>
      <c r="H299" t="s">
        <v>34</v>
      </c>
      <c r="I299" t="s">
        <v>36</v>
      </c>
      <c r="J299" s="3">
        <v>0.05</v>
      </c>
      <c r="K299" t="s">
        <v>42</v>
      </c>
      <c r="L299">
        <v>405.46949999999998</v>
      </c>
      <c r="M299" t="s">
        <v>43</v>
      </c>
      <c r="N299" t="s">
        <v>49</v>
      </c>
      <c r="O299">
        <v>0</v>
      </c>
      <c r="P299" t="s">
        <v>348</v>
      </c>
      <c r="Q299" t="s">
        <v>1842</v>
      </c>
      <c r="R299">
        <v>32.799999999999997</v>
      </c>
      <c r="S299" s="5">
        <v>45239</v>
      </c>
      <c r="T299" s="5">
        <v>45245</v>
      </c>
      <c r="U299" t="s">
        <v>2922</v>
      </c>
    </row>
    <row r="300" spans="1:21" x14ac:dyDescent="0.25">
      <c r="A300" s="5">
        <v>45260</v>
      </c>
      <c r="B300" s="7">
        <f>Table1[[#This Row],[TotalPrice]] * (1 - Table1[[#This Row],[Discount]])</f>
        <v>4793.4933749999991</v>
      </c>
      <c r="C300" s="7">
        <f>Table1[[#This Row],[Net Sales]] * 0.2</f>
        <v>958.69867499999987</v>
      </c>
      <c r="D300" t="s">
        <v>22</v>
      </c>
      <c r="E300" t="s">
        <v>30</v>
      </c>
      <c r="F300">
        <v>15</v>
      </c>
      <c r="G300">
        <v>354.09</v>
      </c>
      <c r="H300" t="s">
        <v>31</v>
      </c>
      <c r="I300" t="s">
        <v>36</v>
      </c>
      <c r="J300" s="3">
        <v>0.05</v>
      </c>
      <c r="K300" t="s">
        <v>40</v>
      </c>
      <c r="L300">
        <v>5045.7824999999993</v>
      </c>
      <c r="M300" t="s">
        <v>43</v>
      </c>
      <c r="O300">
        <v>1</v>
      </c>
      <c r="P300" t="s">
        <v>349</v>
      </c>
      <c r="Q300" t="s">
        <v>1843</v>
      </c>
      <c r="R300">
        <v>25.3</v>
      </c>
      <c r="S300" s="5">
        <v>45260</v>
      </c>
      <c r="T300" s="5">
        <v>45268</v>
      </c>
      <c r="U300" t="s">
        <v>2925</v>
      </c>
    </row>
    <row r="301" spans="1:21" x14ac:dyDescent="0.25">
      <c r="A301" s="5">
        <v>45519</v>
      </c>
      <c r="B301" s="7">
        <f>Table1[[#This Row],[TotalPrice]] * (1 - Table1[[#This Row],[Discount]])</f>
        <v>7171.4</v>
      </c>
      <c r="C301" s="7">
        <f>Table1[[#This Row],[Net Sales]] * 0.2</f>
        <v>1434.28</v>
      </c>
      <c r="D301" t="s">
        <v>20</v>
      </c>
      <c r="E301" t="s">
        <v>29</v>
      </c>
      <c r="F301">
        <v>20</v>
      </c>
      <c r="G301">
        <v>358.57</v>
      </c>
      <c r="H301" t="s">
        <v>31</v>
      </c>
      <c r="I301" t="s">
        <v>35</v>
      </c>
      <c r="J301" s="3">
        <v>0</v>
      </c>
      <c r="K301" t="s">
        <v>38</v>
      </c>
      <c r="L301">
        <v>7171.4</v>
      </c>
      <c r="M301" t="s">
        <v>46</v>
      </c>
      <c r="N301" t="s">
        <v>48</v>
      </c>
      <c r="O301">
        <v>1</v>
      </c>
      <c r="P301" t="s">
        <v>350</v>
      </c>
      <c r="Q301" t="s">
        <v>1844</v>
      </c>
      <c r="R301">
        <v>21.11</v>
      </c>
      <c r="S301" s="5">
        <v>45519</v>
      </c>
      <c r="T301" s="5">
        <v>45524</v>
      </c>
      <c r="U301" t="s">
        <v>2923</v>
      </c>
    </row>
    <row r="302" spans="1:21" x14ac:dyDescent="0.25">
      <c r="A302" s="5">
        <v>45006</v>
      </c>
      <c r="B302" s="7">
        <f>Table1[[#This Row],[TotalPrice]] * (1 - Table1[[#This Row],[Discount]])</f>
        <v>479.11919999999998</v>
      </c>
      <c r="C302" s="7">
        <f>Table1[[#This Row],[Net Sales]] * 0.2</f>
        <v>95.823840000000004</v>
      </c>
      <c r="D302" t="s">
        <v>23</v>
      </c>
      <c r="E302" t="s">
        <v>29</v>
      </c>
      <c r="F302">
        <v>16</v>
      </c>
      <c r="G302">
        <v>33.18</v>
      </c>
      <c r="H302" t="s">
        <v>33</v>
      </c>
      <c r="I302" t="s">
        <v>36</v>
      </c>
      <c r="J302" s="3">
        <v>0.05</v>
      </c>
      <c r="K302" t="s">
        <v>37</v>
      </c>
      <c r="L302">
        <v>504.33600000000001</v>
      </c>
      <c r="M302" t="s">
        <v>43</v>
      </c>
      <c r="N302" t="s">
        <v>49</v>
      </c>
      <c r="O302">
        <v>0</v>
      </c>
      <c r="P302" t="s">
        <v>351</v>
      </c>
      <c r="Q302" t="s">
        <v>1845</v>
      </c>
      <c r="R302">
        <v>22.94</v>
      </c>
      <c r="S302" s="5">
        <v>45006</v>
      </c>
      <c r="T302" s="5">
        <v>45011</v>
      </c>
      <c r="U302" t="s">
        <v>2926</v>
      </c>
    </row>
    <row r="303" spans="1:21" x14ac:dyDescent="0.25">
      <c r="A303" s="5">
        <v>45225</v>
      </c>
      <c r="B303" s="7">
        <f>Table1[[#This Row],[TotalPrice]] * (1 - Table1[[#This Row],[Discount]])</f>
        <v>248.8</v>
      </c>
      <c r="C303" s="7">
        <f>Table1[[#This Row],[Net Sales]] * 0.2</f>
        <v>49.760000000000005</v>
      </c>
      <c r="D303" t="s">
        <v>23</v>
      </c>
      <c r="E303" t="s">
        <v>28</v>
      </c>
      <c r="F303">
        <v>2</v>
      </c>
      <c r="G303">
        <v>124.4</v>
      </c>
      <c r="H303" t="s">
        <v>31</v>
      </c>
      <c r="I303" t="s">
        <v>36</v>
      </c>
      <c r="J303" s="3">
        <v>0</v>
      </c>
      <c r="K303" t="s">
        <v>37</v>
      </c>
      <c r="L303">
        <v>248.8</v>
      </c>
      <c r="M303" t="s">
        <v>43</v>
      </c>
      <c r="O303">
        <v>0</v>
      </c>
      <c r="P303" t="s">
        <v>352</v>
      </c>
      <c r="Q303" t="s">
        <v>1846</v>
      </c>
      <c r="R303">
        <v>37.049999999999997</v>
      </c>
      <c r="S303" s="5">
        <v>45225</v>
      </c>
      <c r="T303" s="5">
        <v>45230</v>
      </c>
      <c r="U303" t="s">
        <v>2926</v>
      </c>
    </row>
    <row r="304" spans="1:21" x14ac:dyDescent="0.25">
      <c r="A304" s="5">
        <v>45233</v>
      </c>
      <c r="B304" s="7">
        <f>Table1[[#This Row],[TotalPrice]] * (1 - Table1[[#This Row],[Discount]])</f>
        <v>172.62719999999999</v>
      </c>
      <c r="C304" s="7">
        <f>Table1[[#This Row],[Net Sales]] * 0.2</f>
        <v>34.525439999999996</v>
      </c>
      <c r="D304" t="s">
        <v>23</v>
      </c>
      <c r="E304" t="s">
        <v>25</v>
      </c>
      <c r="F304">
        <v>12</v>
      </c>
      <c r="G304">
        <v>17.760000000000002</v>
      </c>
      <c r="H304" t="s">
        <v>34</v>
      </c>
      <c r="I304" t="s">
        <v>36</v>
      </c>
      <c r="J304" s="3">
        <v>0.1</v>
      </c>
      <c r="K304" t="s">
        <v>40</v>
      </c>
      <c r="L304">
        <v>191.80799999999999</v>
      </c>
      <c r="M304" t="s">
        <v>43</v>
      </c>
      <c r="N304" t="s">
        <v>48</v>
      </c>
      <c r="O304">
        <v>0</v>
      </c>
      <c r="P304" t="s">
        <v>353</v>
      </c>
      <c r="Q304" t="s">
        <v>1847</v>
      </c>
      <c r="R304">
        <v>12.18</v>
      </c>
      <c r="S304" s="5">
        <v>45233</v>
      </c>
      <c r="T304" s="5">
        <v>45241</v>
      </c>
      <c r="U304" t="s">
        <v>2926</v>
      </c>
    </row>
    <row r="305" spans="1:21" x14ac:dyDescent="0.25">
      <c r="A305" s="5">
        <v>45687</v>
      </c>
      <c r="B305" s="7">
        <f>Table1[[#This Row],[TotalPrice]] * (1 - Table1[[#This Row],[Discount]])</f>
        <v>3994.3267999999994</v>
      </c>
      <c r="C305" s="7">
        <f>Table1[[#This Row],[Net Sales]] * 0.2</f>
        <v>798.8653599999999</v>
      </c>
      <c r="D305" t="s">
        <v>21</v>
      </c>
      <c r="E305" t="s">
        <v>27</v>
      </c>
      <c r="F305">
        <v>16</v>
      </c>
      <c r="G305">
        <v>345.53</v>
      </c>
      <c r="H305" t="s">
        <v>33</v>
      </c>
      <c r="I305" t="s">
        <v>36</v>
      </c>
      <c r="J305" s="3">
        <v>0.15</v>
      </c>
      <c r="K305" t="s">
        <v>39</v>
      </c>
      <c r="L305">
        <v>4699.2079999999996</v>
      </c>
      <c r="M305" t="s">
        <v>44</v>
      </c>
      <c r="N305" t="s">
        <v>49</v>
      </c>
      <c r="O305">
        <v>0</v>
      </c>
      <c r="P305" t="s">
        <v>354</v>
      </c>
      <c r="Q305" t="s">
        <v>1848</v>
      </c>
      <c r="R305">
        <v>13.43</v>
      </c>
      <c r="S305" s="5">
        <v>45687</v>
      </c>
      <c r="T305" s="5">
        <v>45693</v>
      </c>
      <c r="U305" t="s">
        <v>2924</v>
      </c>
    </row>
    <row r="306" spans="1:21" x14ac:dyDescent="0.25">
      <c r="A306" s="5">
        <v>45316</v>
      </c>
      <c r="B306" s="7">
        <f>Table1[[#This Row],[TotalPrice]] * (1 - Table1[[#This Row],[Discount]])</f>
        <v>5320.454099999999</v>
      </c>
      <c r="C306" s="7">
        <f>Table1[[#This Row],[Net Sales]] * 0.2</f>
        <v>1064.0908199999999</v>
      </c>
      <c r="D306" t="s">
        <v>23</v>
      </c>
      <c r="E306" t="s">
        <v>24</v>
      </c>
      <c r="F306">
        <v>13</v>
      </c>
      <c r="G306">
        <v>453.48</v>
      </c>
      <c r="H306" t="s">
        <v>32</v>
      </c>
      <c r="I306" t="s">
        <v>35</v>
      </c>
      <c r="J306" s="3">
        <v>0.05</v>
      </c>
      <c r="K306" t="s">
        <v>38</v>
      </c>
      <c r="L306">
        <v>5600.4779999999992</v>
      </c>
      <c r="M306" t="s">
        <v>44</v>
      </c>
      <c r="N306" t="s">
        <v>49</v>
      </c>
      <c r="O306">
        <v>0</v>
      </c>
      <c r="P306" t="s">
        <v>355</v>
      </c>
      <c r="Q306" t="s">
        <v>1849</v>
      </c>
      <c r="R306">
        <v>46.28</v>
      </c>
      <c r="S306" s="5">
        <v>45316</v>
      </c>
      <c r="T306" s="5">
        <v>45325</v>
      </c>
      <c r="U306" t="s">
        <v>2926</v>
      </c>
    </row>
    <row r="307" spans="1:21" x14ac:dyDescent="0.25">
      <c r="A307" s="5">
        <v>45745</v>
      </c>
      <c r="B307" s="7">
        <f>Table1[[#This Row],[TotalPrice]] * (1 - Table1[[#This Row],[Discount]])</f>
        <v>2006.6714999999999</v>
      </c>
      <c r="C307" s="7">
        <f>Table1[[#This Row],[Net Sales]] * 0.2</f>
        <v>401.33429999999998</v>
      </c>
      <c r="D307" t="s">
        <v>20</v>
      </c>
      <c r="E307" t="s">
        <v>24</v>
      </c>
      <c r="F307">
        <v>10</v>
      </c>
      <c r="G307">
        <v>277.74</v>
      </c>
      <c r="H307" t="s">
        <v>31</v>
      </c>
      <c r="I307" t="s">
        <v>36</v>
      </c>
      <c r="J307" s="3">
        <v>0.15</v>
      </c>
      <c r="K307" t="s">
        <v>40</v>
      </c>
      <c r="L307">
        <v>2360.79</v>
      </c>
      <c r="M307" t="s">
        <v>44</v>
      </c>
      <c r="N307" t="s">
        <v>49</v>
      </c>
      <c r="O307">
        <v>1</v>
      </c>
      <c r="P307" t="s">
        <v>356</v>
      </c>
      <c r="Q307" t="s">
        <v>1850</v>
      </c>
      <c r="R307">
        <v>35.020000000000003</v>
      </c>
      <c r="S307" s="5">
        <v>45745</v>
      </c>
      <c r="T307" s="5">
        <v>45749</v>
      </c>
      <c r="U307" t="s">
        <v>2923</v>
      </c>
    </row>
    <row r="308" spans="1:21" x14ac:dyDescent="0.25">
      <c r="A308" s="5">
        <v>45598</v>
      </c>
      <c r="B308" s="7">
        <f>Table1[[#This Row],[TotalPrice]] * (1 - Table1[[#This Row],[Discount]])</f>
        <v>1436.16</v>
      </c>
      <c r="C308" s="7">
        <f>Table1[[#This Row],[Net Sales]] * 0.2</f>
        <v>287.23200000000003</v>
      </c>
      <c r="D308" t="s">
        <v>22</v>
      </c>
      <c r="E308" t="s">
        <v>27</v>
      </c>
      <c r="F308">
        <v>16</v>
      </c>
      <c r="G308">
        <v>89.76</v>
      </c>
      <c r="H308" t="s">
        <v>32</v>
      </c>
      <c r="I308" t="s">
        <v>35</v>
      </c>
      <c r="J308" s="3">
        <v>0</v>
      </c>
      <c r="K308" t="s">
        <v>38</v>
      </c>
      <c r="L308">
        <v>1436.16</v>
      </c>
      <c r="M308" t="s">
        <v>46</v>
      </c>
      <c r="N308" t="s">
        <v>50</v>
      </c>
      <c r="O308">
        <v>1</v>
      </c>
      <c r="P308" t="s">
        <v>357</v>
      </c>
      <c r="Q308" t="s">
        <v>1851</v>
      </c>
      <c r="R308">
        <v>44.69</v>
      </c>
      <c r="S308" s="5">
        <v>45598</v>
      </c>
      <c r="T308" s="5">
        <v>45605</v>
      </c>
      <c r="U308" t="s">
        <v>2925</v>
      </c>
    </row>
    <row r="309" spans="1:21" x14ac:dyDescent="0.25">
      <c r="A309" s="5">
        <v>45473</v>
      </c>
      <c r="B309" s="7">
        <f>Table1[[#This Row],[TotalPrice]] * (1 - Table1[[#This Row],[Discount]])</f>
        <v>5889.07</v>
      </c>
      <c r="C309" s="7">
        <f>Table1[[#This Row],[Net Sales]] * 0.2</f>
        <v>1177.8140000000001</v>
      </c>
      <c r="D309" t="s">
        <v>22</v>
      </c>
      <c r="E309" t="s">
        <v>27</v>
      </c>
      <c r="F309">
        <v>11</v>
      </c>
      <c r="G309">
        <v>535.37</v>
      </c>
      <c r="H309" t="s">
        <v>34</v>
      </c>
      <c r="I309" t="s">
        <v>35</v>
      </c>
      <c r="J309" s="3">
        <v>0</v>
      </c>
      <c r="K309" t="s">
        <v>39</v>
      </c>
      <c r="L309">
        <v>5889.07</v>
      </c>
      <c r="M309" t="s">
        <v>47</v>
      </c>
      <c r="O309">
        <v>0</v>
      </c>
      <c r="P309" t="s">
        <v>358</v>
      </c>
      <c r="Q309" t="s">
        <v>1852</v>
      </c>
      <c r="R309">
        <v>35.96</v>
      </c>
      <c r="S309" s="5">
        <v>45473</v>
      </c>
      <c r="T309" s="5">
        <v>45482</v>
      </c>
      <c r="U309" t="s">
        <v>2925</v>
      </c>
    </row>
    <row r="310" spans="1:21" x14ac:dyDescent="0.25">
      <c r="A310" s="5">
        <v>44937</v>
      </c>
      <c r="B310" s="7">
        <f>Table1[[#This Row],[TotalPrice]] * (1 - Table1[[#This Row],[Discount]])</f>
        <v>113.5782</v>
      </c>
      <c r="C310" s="7">
        <f>Table1[[#This Row],[Net Sales]] * 0.2</f>
        <v>22.71564</v>
      </c>
      <c r="D310" t="s">
        <v>20</v>
      </c>
      <c r="E310" t="s">
        <v>29</v>
      </c>
      <c r="F310">
        <v>9</v>
      </c>
      <c r="G310">
        <v>15.58</v>
      </c>
      <c r="H310" t="s">
        <v>34</v>
      </c>
      <c r="I310" t="s">
        <v>36</v>
      </c>
      <c r="J310" s="3">
        <v>0.1</v>
      </c>
      <c r="K310" t="s">
        <v>39</v>
      </c>
      <c r="L310">
        <v>126.19799999999999</v>
      </c>
      <c r="M310" t="s">
        <v>44</v>
      </c>
      <c r="N310" t="s">
        <v>48</v>
      </c>
      <c r="O310">
        <v>1</v>
      </c>
      <c r="P310" t="s">
        <v>359</v>
      </c>
      <c r="Q310" t="s">
        <v>1853</v>
      </c>
      <c r="R310">
        <v>27.81</v>
      </c>
      <c r="S310" s="5">
        <v>44937</v>
      </c>
      <c r="T310" s="5">
        <v>44945</v>
      </c>
      <c r="U310" t="s">
        <v>2923</v>
      </c>
    </row>
    <row r="311" spans="1:21" x14ac:dyDescent="0.25">
      <c r="A311" s="5">
        <v>45813</v>
      </c>
      <c r="B311" s="7">
        <f>Table1[[#This Row],[TotalPrice]] * (1 - Table1[[#This Row],[Discount]])</f>
        <v>6065.02</v>
      </c>
      <c r="C311" s="7">
        <f>Table1[[#This Row],[Net Sales]] * 0.2</f>
        <v>1213.0040000000001</v>
      </c>
      <c r="D311" t="s">
        <v>21</v>
      </c>
      <c r="E311" t="s">
        <v>26</v>
      </c>
      <c r="F311">
        <v>13</v>
      </c>
      <c r="G311">
        <v>466.54</v>
      </c>
      <c r="H311" t="s">
        <v>33</v>
      </c>
      <c r="I311" t="s">
        <v>35</v>
      </c>
      <c r="J311" s="3">
        <v>0</v>
      </c>
      <c r="K311" t="s">
        <v>37</v>
      </c>
      <c r="L311">
        <v>6065.02</v>
      </c>
      <c r="M311" t="s">
        <v>47</v>
      </c>
      <c r="N311" t="s">
        <v>48</v>
      </c>
      <c r="O311">
        <v>0</v>
      </c>
      <c r="P311" t="s">
        <v>360</v>
      </c>
      <c r="Q311" t="s">
        <v>1854</v>
      </c>
      <c r="R311">
        <v>18.63</v>
      </c>
      <c r="S311" s="5">
        <v>45813</v>
      </c>
      <c r="T311" s="5">
        <v>45822</v>
      </c>
      <c r="U311" t="s">
        <v>2924</v>
      </c>
    </row>
    <row r="312" spans="1:21" x14ac:dyDescent="0.25">
      <c r="A312" s="5">
        <v>45372</v>
      </c>
      <c r="B312" s="7">
        <f>Table1[[#This Row],[TotalPrice]] * (1 - Table1[[#This Row],[Discount]])</f>
        <v>7685.2800000000007</v>
      </c>
      <c r="C312" s="7">
        <f>Table1[[#This Row],[Net Sales]] * 0.2</f>
        <v>1537.0560000000003</v>
      </c>
      <c r="D312" t="s">
        <v>21</v>
      </c>
      <c r="E312" t="s">
        <v>28</v>
      </c>
      <c r="F312">
        <v>16</v>
      </c>
      <c r="G312">
        <v>593</v>
      </c>
      <c r="H312" t="s">
        <v>34</v>
      </c>
      <c r="I312" t="s">
        <v>36</v>
      </c>
      <c r="J312" s="3">
        <v>0.1</v>
      </c>
      <c r="K312" t="s">
        <v>37</v>
      </c>
      <c r="L312">
        <v>8539.2000000000007</v>
      </c>
      <c r="M312" t="s">
        <v>44</v>
      </c>
      <c r="N312" t="s">
        <v>49</v>
      </c>
      <c r="O312">
        <v>0</v>
      </c>
      <c r="P312" t="s">
        <v>361</v>
      </c>
      <c r="Q312" t="s">
        <v>1855</v>
      </c>
      <c r="R312">
        <v>18.77</v>
      </c>
      <c r="S312" s="5">
        <v>45372</v>
      </c>
      <c r="T312" s="5">
        <v>45375</v>
      </c>
      <c r="U312" t="s">
        <v>2924</v>
      </c>
    </row>
    <row r="313" spans="1:21" x14ac:dyDescent="0.25">
      <c r="A313" s="5">
        <v>45169</v>
      </c>
      <c r="B313" s="7">
        <f>Table1[[#This Row],[TotalPrice]] * (1 - Table1[[#This Row],[Discount]])</f>
        <v>3072.2544000000003</v>
      </c>
      <c r="C313" s="7">
        <f>Table1[[#This Row],[Net Sales]] * 0.2</f>
        <v>614.4508800000001</v>
      </c>
      <c r="D313" t="s">
        <v>20</v>
      </c>
      <c r="E313" t="s">
        <v>26</v>
      </c>
      <c r="F313">
        <v>6</v>
      </c>
      <c r="G313">
        <v>567.36</v>
      </c>
      <c r="H313" t="s">
        <v>33</v>
      </c>
      <c r="I313" t="s">
        <v>35</v>
      </c>
      <c r="J313" s="3">
        <v>0.05</v>
      </c>
      <c r="K313" t="s">
        <v>38</v>
      </c>
      <c r="L313">
        <v>3233.9520000000002</v>
      </c>
      <c r="M313" t="s">
        <v>44</v>
      </c>
      <c r="N313" t="s">
        <v>50</v>
      </c>
      <c r="O313">
        <v>0</v>
      </c>
      <c r="P313" t="s">
        <v>362</v>
      </c>
      <c r="Q313" t="s">
        <v>1856</v>
      </c>
      <c r="R313">
        <v>45.98</v>
      </c>
      <c r="S313" s="5">
        <v>45169</v>
      </c>
      <c r="T313" s="5">
        <v>45177</v>
      </c>
      <c r="U313" t="s">
        <v>2923</v>
      </c>
    </row>
    <row r="314" spans="1:21" x14ac:dyDescent="0.25">
      <c r="A314" s="5">
        <v>45572</v>
      </c>
      <c r="B314" s="7">
        <f>Table1[[#This Row],[TotalPrice]] * (1 - Table1[[#This Row],[Discount]])</f>
        <v>8024.7411999999995</v>
      </c>
      <c r="C314" s="7">
        <f>Table1[[#This Row],[Net Sales]] * 0.2</f>
        <v>1604.9482399999999</v>
      </c>
      <c r="D314" t="s">
        <v>20</v>
      </c>
      <c r="E314" t="s">
        <v>25</v>
      </c>
      <c r="F314">
        <v>17</v>
      </c>
      <c r="G314">
        <v>523.04</v>
      </c>
      <c r="H314" t="s">
        <v>32</v>
      </c>
      <c r="I314" t="s">
        <v>36</v>
      </c>
      <c r="J314" s="3">
        <v>0.05</v>
      </c>
      <c r="K314" t="s">
        <v>37</v>
      </c>
      <c r="L314">
        <v>8447.0959999999995</v>
      </c>
      <c r="M314" t="s">
        <v>46</v>
      </c>
      <c r="N314" t="s">
        <v>48</v>
      </c>
      <c r="O314">
        <v>0</v>
      </c>
      <c r="P314" t="s">
        <v>363</v>
      </c>
      <c r="Q314" t="s">
        <v>1857</v>
      </c>
      <c r="R314">
        <v>37.380000000000003</v>
      </c>
      <c r="S314" s="5">
        <v>45572</v>
      </c>
      <c r="T314" s="5">
        <v>45582</v>
      </c>
      <c r="U314" t="s">
        <v>2923</v>
      </c>
    </row>
    <row r="315" spans="1:21" x14ac:dyDescent="0.25">
      <c r="A315" s="5">
        <v>45028</v>
      </c>
      <c r="B315" s="7">
        <f>Table1[[#This Row],[TotalPrice]] * (1 - Table1[[#This Row],[Discount]])</f>
        <v>6398.7999999999993</v>
      </c>
      <c r="C315" s="7">
        <f>Table1[[#This Row],[Net Sales]] * 0.2</f>
        <v>1279.76</v>
      </c>
      <c r="D315" t="s">
        <v>21</v>
      </c>
      <c r="E315" t="s">
        <v>24</v>
      </c>
      <c r="F315">
        <v>17</v>
      </c>
      <c r="G315">
        <v>376.4</v>
      </c>
      <c r="H315" t="s">
        <v>33</v>
      </c>
      <c r="I315" t="s">
        <v>35</v>
      </c>
      <c r="J315" s="3">
        <v>0</v>
      </c>
      <c r="K315" t="s">
        <v>38</v>
      </c>
      <c r="L315">
        <v>6398.7999999999993</v>
      </c>
      <c r="M315" t="s">
        <v>46</v>
      </c>
      <c r="N315" t="s">
        <v>48</v>
      </c>
      <c r="O315">
        <v>0</v>
      </c>
      <c r="P315" t="s">
        <v>364</v>
      </c>
      <c r="Q315" t="s">
        <v>1858</v>
      </c>
      <c r="R315">
        <v>33.380000000000003</v>
      </c>
      <c r="S315" s="5">
        <v>45028</v>
      </c>
      <c r="T315" s="5">
        <v>45031</v>
      </c>
      <c r="U315" t="s">
        <v>2924</v>
      </c>
    </row>
    <row r="316" spans="1:21" x14ac:dyDescent="0.25">
      <c r="A316" s="5">
        <v>45236</v>
      </c>
      <c r="B316" s="7">
        <f>Table1[[#This Row],[TotalPrice]] * (1 - Table1[[#This Row],[Discount]])</f>
        <v>343.873875</v>
      </c>
      <c r="C316" s="7">
        <f>Table1[[#This Row],[Net Sales]] * 0.2</f>
        <v>68.774775000000005</v>
      </c>
      <c r="D316" t="s">
        <v>20</v>
      </c>
      <c r="E316" t="s">
        <v>30</v>
      </c>
      <c r="F316">
        <v>5</v>
      </c>
      <c r="G316">
        <v>95.19</v>
      </c>
      <c r="H316" t="s">
        <v>32</v>
      </c>
      <c r="I316" t="s">
        <v>36</v>
      </c>
      <c r="J316" s="3">
        <v>0.15</v>
      </c>
      <c r="K316" t="s">
        <v>39</v>
      </c>
      <c r="L316">
        <v>404.5575</v>
      </c>
      <c r="M316" t="s">
        <v>45</v>
      </c>
      <c r="N316" t="s">
        <v>50</v>
      </c>
      <c r="O316">
        <v>0</v>
      </c>
      <c r="P316" t="s">
        <v>365</v>
      </c>
      <c r="Q316" t="s">
        <v>1859</v>
      </c>
      <c r="R316">
        <v>48.55</v>
      </c>
      <c r="S316" s="5">
        <v>45236</v>
      </c>
      <c r="T316" s="5">
        <v>45246</v>
      </c>
      <c r="U316" t="s">
        <v>2923</v>
      </c>
    </row>
    <row r="317" spans="1:21" x14ac:dyDescent="0.25">
      <c r="A317" s="5">
        <v>45044</v>
      </c>
      <c r="B317" s="7">
        <f>Table1[[#This Row],[TotalPrice]] * (1 - Table1[[#This Row],[Discount]])</f>
        <v>304.47595000000001</v>
      </c>
      <c r="C317" s="7">
        <f>Table1[[#This Row],[Net Sales]] * 0.2</f>
        <v>60.895190000000007</v>
      </c>
      <c r="D317" t="s">
        <v>23</v>
      </c>
      <c r="E317" t="s">
        <v>26</v>
      </c>
      <c r="F317">
        <v>2</v>
      </c>
      <c r="G317">
        <v>210.71</v>
      </c>
      <c r="H317" t="s">
        <v>34</v>
      </c>
      <c r="I317" t="s">
        <v>35</v>
      </c>
      <c r="J317" s="3">
        <v>0.15</v>
      </c>
      <c r="K317" t="s">
        <v>41</v>
      </c>
      <c r="L317">
        <v>358.20699999999999</v>
      </c>
      <c r="M317" t="s">
        <v>45</v>
      </c>
      <c r="N317" t="s">
        <v>49</v>
      </c>
      <c r="O317">
        <v>0</v>
      </c>
      <c r="P317" t="s">
        <v>366</v>
      </c>
      <c r="Q317" t="s">
        <v>1860</v>
      </c>
      <c r="R317">
        <v>7.78</v>
      </c>
      <c r="S317" s="5">
        <v>45044</v>
      </c>
      <c r="T317" s="5">
        <v>45054</v>
      </c>
      <c r="U317" t="s">
        <v>2926</v>
      </c>
    </row>
    <row r="318" spans="1:21" x14ac:dyDescent="0.25">
      <c r="A318" s="5">
        <v>45278</v>
      </c>
      <c r="B318" s="7">
        <f>Table1[[#This Row],[TotalPrice]] * (1 - Table1[[#This Row],[Discount]])</f>
        <v>2230.5212999999999</v>
      </c>
      <c r="C318" s="7">
        <f>Table1[[#This Row],[Net Sales]] * 0.2</f>
        <v>446.10426000000001</v>
      </c>
      <c r="D318" t="s">
        <v>23</v>
      </c>
      <c r="E318" t="s">
        <v>30</v>
      </c>
      <c r="F318">
        <v>7</v>
      </c>
      <c r="G318">
        <v>393.39</v>
      </c>
      <c r="H318" t="s">
        <v>31</v>
      </c>
      <c r="I318" t="s">
        <v>36</v>
      </c>
      <c r="J318" s="3">
        <v>0.1</v>
      </c>
      <c r="K318" t="s">
        <v>38</v>
      </c>
      <c r="L318">
        <v>2478.357</v>
      </c>
      <c r="M318" t="s">
        <v>47</v>
      </c>
      <c r="N318" t="s">
        <v>49</v>
      </c>
      <c r="O318">
        <v>0</v>
      </c>
      <c r="P318" t="s">
        <v>367</v>
      </c>
      <c r="Q318" t="s">
        <v>1861</v>
      </c>
      <c r="R318">
        <v>34.35</v>
      </c>
      <c r="S318" s="5">
        <v>45278</v>
      </c>
      <c r="T318" s="5">
        <v>45281</v>
      </c>
      <c r="U318" t="s">
        <v>2926</v>
      </c>
    </row>
    <row r="319" spans="1:21" x14ac:dyDescent="0.25">
      <c r="A319" s="5">
        <v>45575</v>
      </c>
      <c r="B319" s="7">
        <f>Table1[[#This Row],[TotalPrice]] * (1 - Table1[[#This Row],[Discount]])</f>
        <v>1482.39</v>
      </c>
      <c r="C319" s="7">
        <f>Table1[[#This Row],[Net Sales]] * 0.2</f>
        <v>296.47800000000001</v>
      </c>
      <c r="D319" t="s">
        <v>20</v>
      </c>
      <c r="E319" t="s">
        <v>25</v>
      </c>
      <c r="F319">
        <v>13</v>
      </c>
      <c r="G319">
        <v>114.03</v>
      </c>
      <c r="H319" t="s">
        <v>32</v>
      </c>
      <c r="I319" t="s">
        <v>36</v>
      </c>
      <c r="J319" s="3">
        <v>0</v>
      </c>
      <c r="K319" t="s">
        <v>42</v>
      </c>
      <c r="L319">
        <v>1482.39</v>
      </c>
      <c r="M319" t="s">
        <v>47</v>
      </c>
      <c r="O319">
        <v>0</v>
      </c>
      <c r="P319" t="s">
        <v>368</v>
      </c>
      <c r="Q319" t="s">
        <v>1862</v>
      </c>
      <c r="R319">
        <v>43.81</v>
      </c>
      <c r="S319" s="5">
        <v>45575</v>
      </c>
      <c r="T319" s="5">
        <v>45581</v>
      </c>
      <c r="U319" t="s">
        <v>2923</v>
      </c>
    </row>
    <row r="320" spans="1:21" x14ac:dyDescent="0.25">
      <c r="A320" s="5">
        <v>44962</v>
      </c>
      <c r="B320" s="7">
        <f>Table1[[#This Row],[TotalPrice]] * (1 - Table1[[#This Row],[Discount]])</f>
        <v>6056.64</v>
      </c>
      <c r="C320" s="7">
        <f>Table1[[#This Row],[Net Sales]] * 0.2</f>
        <v>1211.3280000000002</v>
      </c>
      <c r="D320" t="s">
        <v>21</v>
      </c>
      <c r="E320" t="s">
        <v>29</v>
      </c>
      <c r="F320">
        <v>18</v>
      </c>
      <c r="G320">
        <v>336.48</v>
      </c>
      <c r="H320" t="s">
        <v>31</v>
      </c>
      <c r="I320" t="s">
        <v>36</v>
      </c>
      <c r="J320" s="3">
        <v>0</v>
      </c>
      <c r="K320" t="s">
        <v>39</v>
      </c>
      <c r="L320">
        <v>6056.64</v>
      </c>
      <c r="M320" t="s">
        <v>43</v>
      </c>
      <c r="N320" t="s">
        <v>50</v>
      </c>
      <c r="O320">
        <v>0</v>
      </c>
      <c r="P320" t="s">
        <v>369</v>
      </c>
      <c r="Q320" t="s">
        <v>1863</v>
      </c>
      <c r="R320">
        <v>18.59</v>
      </c>
      <c r="S320" s="5">
        <v>44962</v>
      </c>
      <c r="T320" s="5">
        <v>44964</v>
      </c>
      <c r="U320" t="s">
        <v>2924</v>
      </c>
    </row>
    <row r="321" spans="1:21" x14ac:dyDescent="0.25">
      <c r="A321" s="5">
        <v>45508</v>
      </c>
      <c r="B321" s="7">
        <f>Table1[[#This Row],[TotalPrice]] * (1 - Table1[[#This Row],[Discount]])</f>
        <v>158.9211</v>
      </c>
      <c r="C321" s="7">
        <f>Table1[[#This Row],[Net Sales]] * 0.2</f>
        <v>31.784220000000001</v>
      </c>
      <c r="D321" t="s">
        <v>22</v>
      </c>
      <c r="E321" t="s">
        <v>28</v>
      </c>
      <c r="F321">
        <v>9</v>
      </c>
      <c r="G321">
        <v>24.44</v>
      </c>
      <c r="H321" t="s">
        <v>33</v>
      </c>
      <c r="I321" t="s">
        <v>35</v>
      </c>
      <c r="J321" s="3">
        <v>0.15</v>
      </c>
      <c r="K321" t="s">
        <v>37</v>
      </c>
      <c r="L321">
        <v>186.96600000000001</v>
      </c>
      <c r="M321" t="s">
        <v>44</v>
      </c>
      <c r="N321" t="s">
        <v>49</v>
      </c>
      <c r="O321">
        <v>1</v>
      </c>
      <c r="P321" t="s">
        <v>370</v>
      </c>
      <c r="Q321" t="s">
        <v>1864</v>
      </c>
      <c r="R321">
        <v>22.06</v>
      </c>
      <c r="S321" s="5">
        <v>45508</v>
      </c>
      <c r="T321" s="5">
        <v>45518</v>
      </c>
      <c r="U321" t="s">
        <v>2925</v>
      </c>
    </row>
    <row r="322" spans="1:21" x14ac:dyDescent="0.25">
      <c r="A322" s="5">
        <v>45588</v>
      </c>
      <c r="B322" s="7">
        <f>Table1[[#This Row],[TotalPrice]] * (1 - Table1[[#This Row],[Discount]])</f>
        <v>3814.3259999999991</v>
      </c>
      <c r="C322" s="7">
        <f>Table1[[#This Row],[Net Sales]] * 0.2</f>
        <v>762.86519999999985</v>
      </c>
      <c r="D322" t="s">
        <v>22</v>
      </c>
      <c r="E322" t="s">
        <v>29</v>
      </c>
      <c r="F322">
        <v>12</v>
      </c>
      <c r="G322">
        <v>352.2</v>
      </c>
      <c r="H322" t="s">
        <v>32</v>
      </c>
      <c r="I322" t="s">
        <v>36</v>
      </c>
      <c r="J322" s="3">
        <v>0.05</v>
      </c>
      <c r="K322" t="s">
        <v>37</v>
      </c>
      <c r="L322">
        <v>4015.079999999999</v>
      </c>
      <c r="M322" t="s">
        <v>45</v>
      </c>
      <c r="N322" t="s">
        <v>50</v>
      </c>
      <c r="O322">
        <v>0</v>
      </c>
      <c r="P322" t="s">
        <v>371</v>
      </c>
      <c r="Q322" t="s">
        <v>1865</v>
      </c>
      <c r="R322">
        <v>18.39</v>
      </c>
      <c r="S322" s="5">
        <v>45588</v>
      </c>
      <c r="T322" s="5">
        <v>45597</v>
      </c>
      <c r="U322" t="s">
        <v>2925</v>
      </c>
    </row>
    <row r="323" spans="1:21" x14ac:dyDescent="0.25">
      <c r="A323" s="5">
        <v>45335</v>
      </c>
      <c r="B323" s="7">
        <f>Table1[[#This Row],[TotalPrice]] * (1 - Table1[[#This Row],[Discount]])</f>
        <v>2236.3318249999998</v>
      </c>
      <c r="C323" s="7">
        <f>Table1[[#This Row],[Net Sales]] * 0.2</f>
        <v>447.26636499999995</v>
      </c>
      <c r="D323" t="s">
        <v>23</v>
      </c>
      <c r="E323" t="s">
        <v>28</v>
      </c>
      <c r="F323">
        <v>7</v>
      </c>
      <c r="G323">
        <v>353.99</v>
      </c>
      <c r="H323" t="s">
        <v>33</v>
      </c>
      <c r="I323" t="s">
        <v>35</v>
      </c>
      <c r="J323" s="3">
        <v>0.05</v>
      </c>
      <c r="K323" t="s">
        <v>40</v>
      </c>
      <c r="L323">
        <v>2354.0335</v>
      </c>
      <c r="M323" t="s">
        <v>44</v>
      </c>
      <c r="N323" t="s">
        <v>48</v>
      </c>
      <c r="O323">
        <v>0</v>
      </c>
      <c r="P323" t="s">
        <v>372</v>
      </c>
      <c r="Q323" t="s">
        <v>1866</v>
      </c>
      <c r="R323">
        <v>5.93</v>
      </c>
      <c r="S323" s="5">
        <v>45335</v>
      </c>
      <c r="T323" s="5">
        <v>45342</v>
      </c>
      <c r="U323" t="s">
        <v>2926</v>
      </c>
    </row>
    <row r="324" spans="1:21" x14ac:dyDescent="0.25">
      <c r="A324" s="5">
        <v>45446</v>
      </c>
      <c r="B324" s="7">
        <f>Table1[[#This Row],[TotalPrice]] * (1 - Table1[[#This Row],[Discount]])</f>
        <v>153.30000000000001</v>
      </c>
      <c r="C324" s="7">
        <f>Table1[[#This Row],[Net Sales]] * 0.2</f>
        <v>30.660000000000004</v>
      </c>
      <c r="D324" t="s">
        <v>20</v>
      </c>
      <c r="E324" t="s">
        <v>29</v>
      </c>
      <c r="F324">
        <v>15</v>
      </c>
      <c r="G324">
        <v>10.220000000000001</v>
      </c>
      <c r="H324" t="s">
        <v>33</v>
      </c>
      <c r="I324" t="s">
        <v>36</v>
      </c>
      <c r="J324" s="3">
        <v>0</v>
      </c>
      <c r="K324" t="s">
        <v>38</v>
      </c>
      <c r="L324">
        <v>153.30000000000001</v>
      </c>
      <c r="M324" t="s">
        <v>44</v>
      </c>
      <c r="N324" t="s">
        <v>48</v>
      </c>
      <c r="O324">
        <v>0</v>
      </c>
      <c r="P324" t="s">
        <v>373</v>
      </c>
      <c r="Q324" t="s">
        <v>1867</v>
      </c>
      <c r="R324">
        <v>36.270000000000003</v>
      </c>
      <c r="S324" s="5">
        <v>45446</v>
      </c>
      <c r="T324" s="5">
        <v>45450</v>
      </c>
      <c r="U324" t="s">
        <v>2923</v>
      </c>
    </row>
    <row r="325" spans="1:21" x14ac:dyDescent="0.25">
      <c r="A325" s="5">
        <v>45030</v>
      </c>
      <c r="B325" s="7">
        <f>Table1[[#This Row],[TotalPrice]] * (1 - Table1[[#This Row],[Discount]])</f>
        <v>5701.0451999999996</v>
      </c>
      <c r="C325" s="7">
        <f>Table1[[#This Row],[Net Sales]] * 0.2</f>
        <v>1140.20904</v>
      </c>
      <c r="D325" t="s">
        <v>20</v>
      </c>
      <c r="E325" t="s">
        <v>30</v>
      </c>
      <c r="F325">
        <v>17</v>
      </c>
      <c r="G325">
        <v>464.16</v>
      </c>
      <c r="H325" t="s">
        <v>32</v>
      </c>
      <c r="I325" t="s">
        <v>36</v>
      </c>
      <c r="J325" s="3">
        <v>0.15</v>
      </c>
      <c r="K325" t="s">
        <v>40</v>
      </c>
      <c r="L325">
        <v>6707.1120000000001</v>
      </c>
      <c r="M325" t="s">
        <v>46</v>
      </c>
      <c r="N325" t="s">
        <v>48</v>
      </c>
      <c r="O325">
        <v>1</v>
      </c>
      <c r="P325" t="s">
        <v>374</v>
      </c>
      <c r="Q325" t="s">
        <v>1868</v>
      </c>
      <c r="R325">
        <v>46.83</v>
      </c>
      <c r="S325" s="5">
        <v>45030</v>
      </c>
      <c r="T325" s="5">
        <v>45034</v>
      </c>
      <c r="U325" t="s">
        <v>2923</v>
      </c>
    </row>
    <row r="326" spans="1:21" x14ac:dyDescent="0.25">
      <c r="A326" s="5">
        <v>45584</v>
      </c>
      <c r="B326" s="7">
        <f>Table1[[#This Row],[TotalPrice]] * (1 - Table1[[#This Row],[Discount]])</f>
        <v>6300.3163999999988</v>
      </c>
      <c r="C326" s="7">
        <f>Table1[[#This Row],[Net Sales]] * 0.2</f>
        <v>1260.0632799999998</v>
      </c>
      <c r="D326" t="s">
        <v>22</v>
      </c>
      <c r="E326" t="s">
        <v>24</v>
      </c>
      <c r="F326">
        <v>16</v>
      </c>
      <c r="G326">
        <v>436.31</v>
      </c>
      <c r="H326" t="s">
        <v>33</v>
      </c>
      <c r="I326" t="s">
        <v>36</v>
      </c>
      <c r="J326" s="3">
        <v>0.05</v>
      </c>
      <c r="K326" t="s">
        <v>41</v>
      </c>
      <c r="L326">
        <v>6631.9119999999994</v>
      </c>
      <c r="M326" t="s">
        <v>43</v>
      </c>
      <c r="O326">
        <v>0</v>
      </c>
      <c r="P326" t="s">
        <v>375</v>
      </c>
      <c r="Q326" t="s">
        <v>1869</v>
      </c>
      <c r="R326">
        <v>47.61</v>
      </c>
      <c r="S326" s="5">
        <v>45584</v>
      </c>
      <c r="T326" s="5">
        <v>45588</v>
      </c>
      <c r="U326" t="s">
        <v>2925</v>
      </c>
    </row>
    <row r="327" spans="1:21" x14ac:dyDescent="0.25">
      <c r="A327" s="5">
        <v>45278</v>
      </c>
      <c r="B327" s="7">
        <f>Table1[[#This Row],[TotalPrice]] * (1 - Table1[[#This Row],[Discount]])</f>
        <v>1786.3814249999998</v>
      </c>
      <c r="C327" s="7">
        <f>Table1[[#This Row],[Net Sales]] * 0.2</f>
        <v>357.27628499999997</v>
      </c>
      <c r="D327" t="s">
        <v>20</v>
      </c>
      <c r="E327" t="s">
        <v>24</v>
      </c>
      <c r="F327">
        <v>9</v>
      </c>
      <c r="G327">
        <v>219.93</v>
      </c>
      <c r="H327" t="s">
        <v>31</v>
      </c>
      <c r="I327" t="s">
        <v>35</v>
      </c>
      <c r="J327" s="3">
        <v>0.05</v>
      </c>
      <c r="K327" t="s">
        <v>42</v>
      </c>
      <c r="L327">
        <v>1880.4014999999999</v>
      </c>
      <c r="M327" t="s">
        <v>44</v>
      </c>
      <c r="N327" t="s">
        <v>48</v>
      </c>
      <c r="O327">
        <v>0</v>
      </c>
      <c r="P327" t="s">
        <v>376</v>
      </c>
      <c r="Q327" t="s">
        <v>1870</v>
      </c>
      <c r="R327">
        <v>44.78</v>
      </c>
      <c r="S327" s="5">
        <v>45278</v>
      </c>
      <c r="T327" s="5">
        <v>45282</v>
      </c>
      <c r="U327" t="s">
        <v>2923</v>
      </c>
    </row>
    <row r="328" spans="1:21" x14ac:dyDescent="0.25">
      <c r="A328" s="5">
        <v>45169</v>
      </c>
      <c r="B328" s="7">
        <f>Table1[[#This Row],[TotalPrice]] * (1 - Table1[[#This Row],[Discount]])</f>
        <v>1124.28225</v>
      </c>
      <c r="C328" s="7">
        <f>Table1[[#This Row],[Net Sales]] * 0.2</f>
        <v>224.85645</v>
      </c>
      <c r="D328" t="s">
        <v>21</v>
      </c>
      <c r="E328" t="s">
        <v>24</v>
      </c>
      <c r="F328">
        <v>5</v>
      </c>
      <c r="G328">
        <v>311.22000000000003</v>
      </c>
      <c r="H328" t="s">
        <v>32</v>
      </c>
      <c r="I328" t="s">
        <v>35</v>
      </c>
      <c r="J328" s="3">
        <v>0.15</v>
      </c>
      <c r="K328" t="s">
        <v>41</v>
      </c>
      <c r="L328">
        <v>1322.6849999999999</v>
      </c>
      <c r="M328" t="s">
        <v>47</v>
      </c>
      <c r="N328" t="s">
        <v>48</v>
      </c>
      <c r="O328">
        <v>0</v>
      </c>
      <c r="P328" t="s">
        <v>377</v>
      </c>
      <c r="Q328" t="s">
        <v>1871</v>
      </c>
      <c r="R328">
        <v>36.979999999999997</v>
      </c>
      <c r="S328" s="5">
        <v>45169</v>
      </c>
      <c r="T328" s="5">
        <v>45175</v>
      </c>
      <c r="U328" t="s">
        <v>2924</v>
      </c>
    </row>
    <row r="329" spans="1:21" x14ac:dyDescent="0.25">
      <c r="A329" s="5">
        <v>45188</v>
      </c>
      <c r="B329" s="7">
        <f>Table1[[#This Row],[TotalPrice]] * (1 - Table1[[#This Row],[Discount]])</f>
        <v>1582.4484</v>
      </c>
      <c r="C329" s="7">
        <f>Table1[[#This Row],[Net Sales]] * 0.2</f>
        <v>316.48968000000002</v>
      </c>
      <c r="D329" t="s">
        <v>20</v>
      </c>
      <c r="E329" t="s">
        <v>24</v>
      </c>
      <c r="F329">
        <v>4</v>
      </c>
      <c r="G329">
        <v>547.55999999999995</v>
      </c>
      <c r="H329" t="s">
        <v>34</v>
      </c>
      <c r="I329" t="s">
        <v>36</v>
      </c>
      <c r="J329" s="3">
        <v>0.15</v>
      </c>
      <c r="K329" t="s">
        <v>39</v>
      </c>
      <c r="L329">
        <v>1861.704</v>
      </c>
      <c r="M329" t="s">
        <v>44</v>
      </c>
      <c r="O329">
        <v>0</v>
      </c>
      <c r="P329" t="s">
        <v>378</v>
      </c>
      <c r="Q329" t="s">
        <v>1872</v>
      </c>
      <c r="R329">
        <v>25.88</v>
      </c>
      <c r="S329" s="5">
        <v>45188</v>
      </c>
      <c r="T329" s="5">
        <v>45195</v>
      </c>
      <c r="U329" t="s">
        <v>2923</v>
      </c>
    </row>
    <row r="330" spans="1:21" x14ac:dyDescent="0.25">
      <c r="A330" s="5">
        <v>44984</v>
      </c>
      <c r="B330" s="7">
        <f>Table1[[#This Row],[TotalPrice]] * (1 - Table1[[#This Row],[Discount]])</f>
        <v>342.61672500000003</v>
      </c>
      <c r="C330" s="7">
        <f>Table1[[#This Row],[Net Sales]] * 0.2</f>
        <v>68.523345000000006</v>
      </c>
      <c r="D330" t="s">
        <v>22</v>
      </c>
      <c r="E330" t="s">
        <v>24</v>
      </c>
      <c r="F330">
        <v>9</v>
      </c>
      <c r="G330">
        <v>52.69</v>
      </c>
      <c r="H330" t="s">
        <v>34</v>
      </c>
      <c r="I330" t="s">
        <v>36</v>
      </c>
      <c r="J330" s="3">
        <v>0.15</v>
      </c>
      <c r="K330" t="s">
        <v>41</v>
      </c>
      <c r="L330">
        <v>403.07850000000002</v>
      </c>
      <c r="M330" t="s">
        <v>43</v>
      </c>
      <c r="N330" t="s">
        <v>49</v>
      </c>
      <c r="O330">
        <v>0</v>
      </c>
      <c r="P330" t="s">
        <v>379</v>
      </c>
      <c r="Q330" t="s">
        <v>1873</v>
      </c>
      <c r="R330">
        <v>14.59</v>
      </c>
      <c r="S330" s="5">
        <v>44984</v>
      </c>
      <c r="T330" s="5">
        <v>44989</v>
      </c>
      <c r="U330" t="s">
        <v>2925</v>
      </c>
    </row>
    <row r="331" spans="1:21" x14ac:dyDescent="0.25">
      <c r="A331" s="5">
        <v>45319</v>
      </c>
      <c r="B331" s="7">
        <f>Table1[[#This Row],[TotalPrice]] * (1 - Table1[[#This Row],[Discount]])</f>
        <v>3169.2545999999998</v>
      </c>
      <c r="C331" s="7">
        <f>Table1[[#This Row],[Net Sales]] * 0.2</f>
        <v>633.85091999999997</v>
      </c>
      <c r="D331" t="s">
        <v>20</v>
      </c>
      <c r="E331" t="s">
        <v>29</v>
      </c>
      <c r="F331">
        <v>9</v>
      </c>
      <c r="G331">
        <v>434.74</v>
      </c>
      <c r="H331" t="s">
        <v>34</v>
      </c>
      <c r="I331" t="s">
        <v>35</v>
      </c>
      <c r="J331" s="3">
        <v>0.1</v>
      </c>
      <c r="K331" t="s">
        <v>42</v>
      </c>
      <c r="L331">
        <v>3521.3939999999998</v>
      </c>
      <c r="M331" t="s">
        <v>43</v>
      </c>
      <c r="N331" t="s">
        <v>49</v>
      </c>
      <c r="O331">
        <v>0</v>
      </c>
      <c r="P331" t="s">
        <v>380</v>
      </c>
      <c r="Q331" t="s">
        <v>1874</v>
      </c>
      <c r="R331">
        <v>20.11</v>
      </c>
      <c r="S331" s="5">
        <v>45319</v>
      </c>
      <c r="T331" s="5">
        <v>45322</v>
      </c>
      <c r="U331" t="s">
        <v>2923</v>
      </c>
    </row>
    <row r="332" spans="1:21" x14ac:dyDescent="0.25">
      <c r="A332" s="5">
        <v>45783</v>
      </c>
      <c r="B332" s="7">
        <f>Table1[[#This Row],[TotalPrice]] * (1 - Table1[[#This Row],[Discount]])</f>
        <v>1117.53</v>
      </c>
      <c r="C332" s="7">
        <f>Table1[[#This Row],[Net Sales]] * 0.2</f>
        <v>223.506</v>
      </c>
      <c r="D332" t="s">
        <v>20</v>
      </c>
      <c r="E332" t="s">
        <v>28</v>
      </c>
      <c r="F332">
        <v>9</v>
      </c>
      <c r="G332">
        <v>124.17</v>
      </c>
      <c r="H332" t="s">
        <v>33</v>
      </c>
      <c r="I332" t="s">
        <v>35</v>
      </c>
      <c r="J332" s="3">
        <v>0</v>
      </c>
      <c r="K332" t="s">
        <v>37</v>
      </c>
      <c r="L332">
        <v>1117.53</v>
      </c>
      <c r="M332" t="s">
        <v>46</v>
      </c>
      <c r="N332" t="s">
        <v>50</v>
      </c>
      <c r="O332">
        <v>0</v>
      </c>
      <c r="P332" t="s">
        <v>381</v>
      </c>
      <c r="Q332" t="s">
        <v>1875</v>
      </c>
      <c r="R332">
        <v>13.31</v>
      </c>
      <c r="S332" s="5">
        <v>45783</v>
      </c>
      <c r="T332" s="5">
        <v>45787</v>
      </c>
      <c r="U332" t="s">
        <v>2923</v>
      </c>
    </row>
    <row r="333" spans="1:21" x14ac:dyDescent="0.25">
      <c r="A333" s="5">
        <v>45548</v>
      </c>
      <c r="B333" s="7">
        <f>Table1[[#This Row],[TotalPrice]] * (1 - Table1[[#This Row],[Discount]])</f>
        <v>677.7414</v>
      </c>
      <c r="C333" s="7">
        <f>Table1[[#This Row],[Net Sales]] * 0.2</f>
        <v>135.54828000000001</v>
      </c>
      <c r="D333" t="s">
        <v>19</v>
      </c>
      <c r="E333" t="s">
        <v>28</v>
      </c>
      <c r="F333">
        <v>2</v>
      </c>
      <c r="G333">
        <v>375.48</v>
      </c>
      <c r="H333" t="s">
        <v>34</v>
      </c>
      <c r="I333" t="s">
        <v>36</v>
      </c>
      <c r="J333" s="3">
        <v>0.05</v>
      </c>
      <c r="K333" t="s">
        <v>41</v>
      </c>
      <c r="L333">
        <v>713.41200000000003</v>
      </c>
      <c r="M333" t="s">
        <v>45</v>
      </c>
      <c r="N333" t="s">
        <v>48</v>
      </c>
      <c r="O333">
        <v>0</v>
      </c>
      <c r="P333" t="s">
        <v>382</v>
      </c>
      <c r="Q333" t="s">
        <v>1876</v>
      </c>
      <c r="R333">
        <v>26.39</v>
      </c>
      <c r="S333" s="5">
        <v>45548</v>
      </c>
      <c r="T333" s="5">
        <v>45550</v>
      </c>
      <c r="U333" t="s">
        <v>2922</v>
      </c>
    </row>
    <row r="334" spans="1:21" x14ac:dyDescent="0.25">
      <c r="A334" s="5">
        <v>45071</v>
      </c>
      <c r="B334" s="7">
        <f>Table1[[#This Row],[TotalPrice]] * (1 - Table1[[#This Row],[Discount]])</f>
        <v>2222.4618</v>
      </c>
      <c r="C334" s="7">
        <f>Table1[[#This Row],[Net Sales]] * 0.2</f>
        <v>444.49236000000002</v>
      </c>
      <c r="D334" t="s">
        <v>19</v>
      </c>
      <c r="E334" t="s">
        <v>30</v>
      </c>
      <c r="F334">
        <v>13</v>
      </c>
      <c r="G334">
        <v>211.06</v>
      </c>
      <c r="H334" t="s">
        <v>31</v>
      </c>
      <c r="I334" t="s">
        <v>36</v>
      </c>
      <c r="J334" s="3">
        <v>0.1</v>
      </c>
      <c r="K334" t="s">
        <v>42</v>
      </c>
      <c r="L334">
        <v>2469.402</v>
      </c>
      <c r="M334" t="s">
        <v>44</v>
      </c>
      <c r="O334">
        <v>1</v>
      </c>
      <c r="P334" t="s">
        <v>383</v>
      </c>
      <c r="Q334" t="s">
        <v>1877</v>
      </c>
      <c r="R334">
        <v>19.579999999999998</v>
      </c>
      <c r="S334" s="5">
        <v>45071</v>
      </c>
      <c r="T334" s="5">
        <v>45075</v>
      </c>
      <c r="U334" t="s">
        <v>2922</v>
      </c>
    </row>
    <row r="335" spans="1:21" x14ac:dyDescent="0.25">
      <c r="A335" s="5">
        <v>45561</v>
      </c>
      <c r="B335" s="7">
        <f>Table1[[#This Row],[TotalPrice]] * (1 - Table1[[#This Row],[Discount]])</f>
        <v>622.09</v>
      </c>
      <c r="C335" s="7">
        <f>Table1[[#This Row],[Net Sales]] * 0.2</f>
        <v>124.41800000000001</v>
      </c>
      <c r="D335" t="s">
        <v>20</v>
      </c>
      <c r="E335" t="s">
        <v>29</v>
      </c>
      <c r="F335">
        <v>7</v>
      </c>
      <c r="G335">
        <v>88.87</v>
      </c>
      <c r="H335" t="s">
        <v>33</v>
      </c>
      <c r="I335" t="s">
        <v>36</v>
      </c>
      <c r="J335" s="3">
        <v>0</v>
      </c>
      <c r="K335" t="s">
        <v>38</v>
      </c>
      <c r="L335">
        <v>622.09</v>
      </c>
      <c r="M335" t="s">
        <v>43</v>
      </c>
      <c r="N335" t="s">
        <v>49</v>
      </c>
      <c r="O335">
        <v>0</v>
      </c>
      <c r="P335" t="s">
        <v>384</v>
      </c>
      <c r="Q335" t="s">
        <v>1878</v>
      </c>
      <c r="R335">
        <v>8.36</v>
      </c>
      <c r="S335" s="5">
        <v>45561</v>
      </c>
      <c r="T335" s="5">
        <v>45566</v>
      </c>
      <c r="U335" t="s">
        <v>2923</v>
      </c>
    </row>
    <row r="336" spans="1:21" x14ac:dyDescent="0.25">
      <c r="A336" s="5">
        <v>44970</v>
      </c>
      <c r="B336" s="7">
        <f>Table1[[#This Row],[TotalPrice]] * (1 - Table1[[#This Row],[Discount]])</f>
        <v>1147.258</v>
      </c>
      <c r="C336" s="7">
        <f>Table1[[#This Row],[Net Sales]] * 0.2</f>
        <v>229.45160000000001</v>
      </c>
      <c r="D336" t="s">
        <v>20</v>
      </c>
      <c r="E336" t="s">
        <v>25</v>
      </c>
      <c r="F336">
        <v>5</v>
      </c>
      <c r="G336">
        <v>254.24</v>
      </c>
      <c r="H336" t="s">
        <v>31</v>
      </c>
      <c r="I336" t="s">
        <v>35</v>
      </c>
      <c r="J336" s="3">
        <v>0.05</v>
      </c>
      <c r="K336" t="s">
        <v>42</v>
      </c>
      <c r="L336">
        <v>1207.6400000000001</v>
      </c>
      <c r="M336" t="s">
        <v>43</v>
      </c>
      <c r="O336">
        <v>0</v>
      </c>
      <c r="P336" t="s">
        <v>385</v>
      </c>
      <c r="Q336" t="s">
        <v>1879</v>
      </c>
      <c r="R336">
        <v>9.9700000000000006</v>
      </c>
      <c r="S336" s="5">
        <v>44970</v>
      </c>
      <c r="T336" s="5">
        <v>44975</v>
      </c>
      <c r="U336" t="s">
        <v>2923</v>
      </c>
    </row>
    <row r="337" spans="1:21" x14ac:dyDescent="0.25">
      <c r="A337" s="5">
        <v>45463</v>
      </c>
      <c r="B337" s="7">
        <f>Table1[[#This Row],[TotalPrice]] * (1 - Table1[[#This Row],[Discount]])</f>
        <v>1751.0175000000002</v>
      </c>
      <c r="C337" s="7">
        <f>Table1[[#This Row],[Net Sales]] * 0.2</f>
        <v>350.20350000000008</v>
      </c>
      <c r="D337" t="s">
        <v>22</v>
      </c>
      <c r="E337" t="s">
        <v>27</v>
      </c>
      <c r="F337">
        <v>5</v>
      </c>
      <c r="G337">
        <v>432.35</v>
      </c>
      <c r="H337" t="s">
        <v>33</v>
      </c>
      <c r="I337" t="s">
        <v>35</v>
      </c>
      <c r="J337" s="3">
        <v>0.1</v>
      </c>
      <c r="K337" t="s">
        <v>42</v>
      </c>
      <c r="L337">
        <v>1945.575</v>
      </c>
      <c r="M337" t="s">
        <v>44</v>
      </c>
      <c r="O337">
        <v>1</v>
      </c>
      <c r="P337" t="s">
        <v>386</v>
      </c>
      <c r="Q337" t="s">
        <v>1880</v>
      </c>
      <c r="R337">
        <v>41.48</v>
      </c>
      <c r="S337" s="5">
        <v>45463</v>
      </c>
      <c r="T337" s="5">
        <v>45470</v>
      </c>
      <c r="U337" t="s">
        <v>2925</v>
      </c>
    </row>
    <row r="338" spans="1:21" x14ac:dyDescent="0.25">
      <c r="A338" s="5">
        <v>45373</v>
      </c>
      <c r="B338" s="7">
        <f>Table1[[#This Row],[TotalPrice]] * (1 - Table1[[#This Row],[Discount]])</f>
        <v>10117.025</v>
      </c>
      <c r="C338" s="7">
        <f>Table1[[#This Row],[Net Sales]] * 0.2</f>
        <v>2023.405</v>
      </c>
      <c r="D338" t="s">
        <v>23</v>
      </c>
      <c r="E338" t="s">
        <v>24</v>
      </c>
      <c r="F338">
        <v>19</v>
      </c>
      <c r="G338">
        <v>590</v>
      </c>
      <c r="H338" t="s">
        <v>34</v>
      </c>
      <c r="I338" t="s">
        <v>36</v>
      </c>
      <c r="J338" s="3">
        <v>0.05</v>
      </c>
      <c r="K338" t="s">
        <v>38</v>
      </c>
      <c r="L338">
        <v>10649.5</v>
      </c>
      <c r="M338" t="s">
        <v>43</v>
      </c>
      <c r="N338" t="s">
        <v>48</v>
      </c>
      <c r="O338">
        <v>0</v>
      </c>
      <c r="P338" t="s">
        <v>387</v>
      </c>
      <c r="Q338" t="s">
        <v>1881</v>
      </c>
      <c r="R338">
        <v>5.91</v>
      </c>
      <c r="S338" s="5">
        <v>45373</v>
      </c>
      <c r="T338" s="5">
        <v>45376</v>
      </c>
      <c r="U338" t="s">
        <v>2926</v>
      </c>
    </row>
    <row r="339" spans="1:21" x14ac:dyDescent="0.25">
      <c r="A339" s="5">
        <v>45330</v>
      </c>
      <c r="B339" s="7">
        <f>Table1[[#This Row],[TotalPrice]] * (1 - Table1[[#This Row],[Discount]])</f>
        <v>1347.6375</v>
      </c>
      <c r="C339" s="7">
        <f>Table1[[#This Row],[Net Sales]] * 0.2</f>
        <v>269.52750000000003</v>
      </c>
      <c r="D339" t="s">
        <v>23</v>
      </c>
      <c r="E339" t="s">
        <v>28</v>
      </c>
      <c r="F339">
        <v>11</v>
      </c>
      <c r="G339">
        <v>151.25</v>
      </c>
      <c r="H339" t="s">
        <v>31</v>
      </c>
      <c r="I339" t="s">
        <v>35</v>
      </c>
      <c r="J339" s="3">
        <v>0.1</v>
      </c>
      <c r="K339" t="s">
        <v>39</v>
      </c>
      <c r="L339">
        <v>1497.375</v>
      </c>
      <c r="M339" t="s">
        <v>45</v>
      </c>
      <c r="O339">
        <v>1</v>
      </c>
      <c r="P339" t="s">
        <v>388</v>
      </c>
      <c r="Q339" t="s">
        <v>1882</v>
      </c>
      <c r="R339">
        <v>22.65</v>
      </c>
      <c r="S339" s="5">
        <v>45330</v>
      </c>
      <c r="T339" s="5">
        <v>45333</v>
      </c>
      <c r="U339" t="s">
        <v>2926</v>
      </c>
    </row>
    <row r="340" spans="1:21" x14ac:dyDescent="0.25">
      <c r="A340" s="5">
        <v>45444</v>
      </c>
      <c r="B340" s="7">
        <f>Table1[[#This Row],[TotalPrice]] * (1 - Table1[[#This Row],[Discount]])</f>
        <v>497.6397</v>
      </c>
      <c r="C340" s="7">
        <f>Table1[[#This Row],[Net Sales]] * 0.2</f>
        <v>99.527940000000001</v>
      </c>
      <c r="D340" t="s">
        <v>19</v>
      </c>
      <c r="E340" t="s">
        <v>26</v>
      </c>
      <c r="F340">
        <v>3</v>
      </c>
      <c r="G340">
        <v>204.79</v>
      </c>
      <c r="H340" t="s">
        <v>31</v>
      </c>
      <c r="I340" t="s">
        <v>36</v>
      </c>
      <c r="J340" s="3">
        <v>0.1</v>
      </c>
      <c r="K340" t="s">
        <v>39</v>
      </c>
      <c r="L340">
        <v>552.93299999999999</v>
      </c>
      <c r="M340" t="s">
        <v>43</v>
      </c>
      <c r="N340" t="s">
        <v>48</v>
      </c>
      <c r="O340">
        <v>1</v>
      </c>
      <c r="P340" t="s">
        <v>389</v>
      </c>
      <c r="Q340" t="s">
        <v>1883</v>
      </c>
      <c r="R340">
        <v>7.72</v>
      </c>
      <c r="S340" s="5">
        <v>45444</v>
      </c>
      <c r="T340" s="5">
        <v>45447</v>
      </c>
      <c r="U340" t="s">
        <v>2922</v>
      </c>
    </row>
    <row r="341" spans="1:21" x14ac:dyDescent="0.25">
      <c r="A341" s="5">
        <v>45438</v>
      </c>
      <c r="B341" s="7">
        <f>Table1[[#This Row],[TotalPrice]] * (1 - Table1[[#This Row],[Discount]])</f>
        <v>9384.32</v>
      </c>
      <c r="C341" s="7">
        <f>Table1[[#This Row],[Net Sales]] * 0.2</f>
        <v>1876.864</v>
      </c>
      <c r="D341" t="s">
        <v>21</v>
      </c>
      <c r="E341" t="s">
        <v>24</v>
      </c>
      <c r="F341">
        <v>16</v>
      </c>
      <c r="G341">
        <v>586.52</v>
      </c>
      <c r="H341" t="s">
        <v>33</v>
      </c>
      <c r="I341" t="s">
        <v>35</v>
      </c>
      <c r="J341" s="3">
        <v>0</v>
      </c>
      <c r="K341" t="s">
        <v>41</v>
      </c>
      <c r="L341">
        <v>9384.32</v>
      </c>
      <c r="M341" t="s">
        <v>45</v>
      </c>
      <c r="N341" t="s">
        <v>50</v>
      </c>
      <c r="O341">
        <v>1</v>
      </c>
      <c r="P341" t="s">
        <v>390</v>
      </c>
      <c r="Q341" t="s">
        <v>1884</v>
      </c>
      <c r="R341">
        <v>17.059999999999999</v>
      </c>
      <c r="S341" s="5">
        <v>45438</v>
      </c>
      <c r="T341" s="5">
        <v>45444</v>
      </c>
      <c r="U341" t="s">
        <v>2924</v>
      </c>
    </row>
    <row r="342" spans="1:21" x14ac:dyDescent="0.25">
      <c r="A342" s="5">
        <v>45468</v>
      </c>
      <c r="B342" s="7">
        <f>Table1[[#This Row],[TotalPrice]] * (1 - Table1[[#This Row],[Discount]])</f>
        <v>1677.28</v>
      </c>
      <c r="C342" s="7">
        <f>Table1[[#This Row],[Net Sales]] * 0.2</f>
        <v>335.45600000000002</v>
      </c>
      <c r="D342" t="s">
        <v>19</v>
      </c>
      <c r="E342" t="s">
        <v>30</v>
      </c>
      <c r="F342">
        <v>16</v>
      </c>
      <c r="G342">
        <v>104.83</v>
      </c>
      <c r="H342" t="s">
        <v>32</v>
      </c>
      <c r="I342" t="s">
        <v>35</v>
      </c>
      <c r="J342" s="3">
        <v>0</v>
      </c>
      <c r="K342" t="s">
        <v>40</v>
      </c>
      <c r="L342">
        <v>1677.28</v>
      </c>
      <c r="M342" t="s">
        <v>44</v>
      </c>
      <c r="N342" t="s">
        <v>48</v>
      </c>
      <c r="O342">
        <v>0</v>
      </c>
      <c r="P342" t="s">
        <v>391</v>
      </c>
      <c r="Q342" t="s">
        <v>1812</v>
      </c>
      <c r="R342">
        <v>33.99</v>
      </c>
      <c r="S342" s="5">
        <v>45468</v>
      </c>
      <c r="T342" s="5">
        <v>45473</v>
      </c>
      <c r="U342" t="s">
        <v>2922</v>
      </c>
    </row>
    <row r="343" spans="1:21" x14ac:dyDescent="0.25">
      <c r="A343" s="5">
        <v>45320</v>
      </c>
      <c r="B343" s="7">
        <f>Table1[[#This Row],[TotalPrice]] * (1 - Table1[[#This Row],[Discount]])</f>
        <v>7756.3008000000009</v>
      </c>
      <c r="C343" s="7">
        <f>Table1[[#This Row],[Net Sales]] * 0.2</f>
        <v>1551.2601600000003</v>
      </c>
      <c r="D343" t="s">
        <v>22</v>
      </c>
      <c r="E343" t="s">
        <v>30</v>
      </c>
      <c r="F343">
        <v>16</v>
      </c>
      <c r="G343">
        <v>598.48</v>
      </c>
      <c r="H343" t="s">
        <v>32</v>
      </c>
      <c r="I343" t="s">
        <v>36</v>
      </c>
      <c r="J343" s="3">
        <v>0.1</v>
      </c>
      <c r="K343" t="s">
        <v>39</v>
      </c>
      <c r="L343">
        <v>8618.112000000001</v>
      </c>
      <c r="M343" t="s">
        <v>47</v>
      </c>
      <c r="O343">
        <v>0</v>
      </c>
      <c r="P343" t="s">
        <v>392</v>
      </c>
      <c r="Q343" t="s">
        <v>1885</v>
      </c>
      <c r="R343">
        <v>47.86</v>
      </c>
      <c r="S343" s="5">
        <v>45320</v>
      </c>
      <c r="T343" s="5">
        <v>45329</v>
      </c>
      <c r="U343" t="s">
        <v>2925</v>
      </c>
    </row>
    <row r="344" spans="1:21" x14ac:dyDescent="0.25">
      <c r="A344" s="5">
        <v>45633</v>
      </c>
      <c r="B344" s="7">
        <f>Table1[[#This Row],[TotalPrice]] * (1 - Table1[[#This Row],[Discount]])</f>
        <v>2656.1657999999998</v>
      </c>
      <c r="C344" s="7">
        <f>Table1[[#This Row],[Net Sales]] * 0.2</f>
        <v>531.23316</v>
      </c>
      <c r="D344" t="s">
        <v>20</v>
      </c>
      <c r="E344" t="s">
        <v>27</v>
      </c>
      <c r="F344">
        <v>8</v>
      </c>
      <c r="G344">
        <v>367.89</v>
      </c>
      <c r="H344" t="s">
        <v>31</v>
      </c>
      <c r="I344" t="s">
        <v>36</v>
      </c>
      <c r="J344" s="3">
        <v>0.05</v>
      </c>
      <c r="K344" t="s">
        <v>38</v>
      </c>
      <c r="L344">
        <v>2795.9639999999999</v>
      </c>
      <c r="M344" t="s">
        <v>47</v>
      </c>
      <c r="N344" t="s">
        <v>48</v>
      </c>
      <c r="O344">
        <v>0</v>
      </c>
      <c r="P344" t="s">
        <v>393</v>
      </c>
      <c r="Q344" t="s">
        <v>1886</v>
      </c>
      <c r="R344">
        <v>18.100000000000001</v>
      </c>
      <c r="S344" s="5">
        <v>45633</v>
      </c>
      <c r="T344" s="5">
        <v>45635</v>
      </c>
      <c r="U344" t="s">
        <v>2923</v>
      </c>
    </row>
    <row r="345" spans="1:21" x14ac:dyDescent="0.25">
      <c r="A345" s="5">
        <v>45251</v>
      </c>
      <c r="B345" s="7">
        <f>Table1[[#This Row],[TotalPrice]] * (1 - Table1[[#This Row],[Discount]])</f>
        <v>2408.4537499999997</v>
      </c>
      <c r="C345" s="7">
        <f>Table1[[#This Row],[Net Sales]] * 0.2</f>
        <v>481.69074999999998</v>
      </c>
      <c r="D345" t="s">
        <v>23</v>
      </c>
      <c r="E345" t="s">
        <v>27</v>
      </c>
      <c r="F345">
        <v>10</v>
      </c>
      <c r="G345">
        <v>333.35</v>
      </c>
      <c r="H345" t="s">
        <v>32</v>
      </c>
      <c r="I345" t="s">
        <v>36</v>
      </c>
      <c r="J345" s="3">
        <v>0.15</v>
      </c>
      <c r="K345" t="s">
        <v>38</v>
      </c>
      <c r="L345">
        <v>2833.4749999999999</v>
      </c>
      <c r="M345" t="s">
        <v>46</v>
      </c>
      <c r="N345" t="s">
        <v>48</v>
      </c>
      <c r="O345">
        <v>0</v>
      </c>
      <c r="P345" t="s">
        <v>394</v>
      </c>
      <c r="Q345" t="s">
        <v>1887</v>
      </c>
      <c r="R345">
        <v>39.35</v>
      </c>
      <c r="S345" s="5">
        <v>45251</v>
      </c>
      <c r="T345" s="5">
        <v>45256</v>
      </c>
      <c r="U345" t="s">
        <v>2926</v>
      </c>
    </row>
    <row r="346" spans="1:21" x14ac:dyDescent="0.25">
      <c r="A346" s="5">
        <v>45642</v>
      </c>
      <c r="B346" s="7">
        <f>Table1[[#This Row],[TotalPrice]] * (1 - Table1[[#This Row],[Discount]])</f>
        <v>2455.1424000000002</v>
      </c>
      <c r="C346" s="7">
        <f>Table1[[#This Row],[Net Sales]] * 0.2</f>
        <v>491.02848000000006</v>
      </c>
      <c r="D346" t="s">
        <v>21</v>
      </c>
      <c r="E346" t="s">
        <v>27</v>
      </c>
      <c r="F346">
        <v>8</v>
      </c>
      <c r="G346">
        <v>378.88</v>
      </c>
      <c r="H346" t="s">
        <v>32</v>
      </c>
      <c r="I346" t="s">
        <v>35</v>
      </c>
      <c r="J346" s="3">
        <v>0.1</v>
      </c>
      <c r="K346" t="s">
        <v>39</v>
      </c>
      <c r="L346">
        <v>2727.9360000000001</v>
      </c>
      <c r="M346" t="s">
        <v>46</v>
      </c>
      <c r="N346" t="s">
        <v>50</v>
      </c>
      <c r="O346">
        <v>1</v>
      </c>
      <c r="P346" t="s">
        <v>395</v>
      </c>
      <c r="Q346" t="s">
        <v>1888</v>
      </c>
      <c r="R346">
        <v>5.22</v>
      </c>
      <c r="S346" s="5">
        <v>45642</v>
      </c>
      <c r="T346" s="5">
        <v>45650</v>
      </c>
      <c r="U346" t="s">
        <v>2924</v>
      </c>
    </row>
    <row r="347" spans="1:21" x14ac:dyDescent="0.25">
      <c r="A347" s="5">
        <v>45143</v>
      </c>
      <c r="B347" s="7">
        <f>Table1[[#This Row],[TotalPrice]] * (1 - Table1[[#This Row],[Discount]])</f>
        <v>1832.4359999999999</v>
      </c>
      <c r="C347" s="7">
        <f>Table1[[#This Row],[Net Sales]] * 0.2</f>
        <v>366.48720000000003</v>
      </c>
      <c r="D347" t="s">
        <v>22</v>
      </c>
      <c r="E347" t="s">
        <v>28</v>
      </c>
      <c r="F347">
        <v>12</v>
      </c>
      <c r="G347">
        <v>169.2</v>
      </c>
      <c r="H347" t="s">
        <v>33</v>
      </c>
      <c r="I347" t="s">
        <v>36</v>
      </c>
      <c r="J347" s="3">
        <v>0.05</v>
      </c>
      <c r="K347" t="s">
        <v>41</v>
      </c>
      <c r="L347">
        <v>1928.88</v>
      </c>
      <c r="M347" t="s">
        <v>44</v>
      </c>
      <c r="N347" t="s">
        <v>49</v>
      </c>
      <c r="O347">
        <v>0</v>
      </c>
      <c r="P347" t="s">
        <v>396</v>
      </c>
      <c r="Q347" t="s">
        <v>1889</v>
      </c>
      <c r="R347">
        <v>28.65</v>
      </c>
      <c r="S347" s="5">
        <v>45143</v>
      </c>
      <c r="T347" s="5">
        <v>45153</v>
      </c>
      <c r="U347" t="s">
        <v>2925</v>
      </c>
    </row>
    <row r="348" spans="1:21" x14ac:dyDescent="0.25">
      <c r="A348" s="5">
        <v>45168</v>
      </c>
      <c r="B348" s="7">
        <f>Table1[[#This Row],[TotalPrice]] * (1 - Table1[[#This Row],[Discount]])</f>
        <v>584.18010000000004</v>
      </c>
      <c r="C348" s="7">
        <f>Table1[[#This Row],[Net Sales]] * 0.2</f>
        <v>116.83602000000002</v>
      </c>
      <c r="D348" t="s">
        <v>22</v>
      </c>
      <c r="E348" t="s">
        <v>27</v>
      </c>
      <c r="F348">
        <v>7</v>
      </c>
      <c r="G348">
        <v>103.03</v>
      </c>
      <c r="H348" t="s">
        <v>34</v>
      </c>
      <c r="I348" t="s">
        <v>36</v>
      </c>
      <c r="J348" s="3">
        <v>0.1</v>
      </c>
      <c r="K348" t="s">
        <v>42</v>
      </c>
      <c r="L348">
        <v>649.08900000000006</v>
      </c>
      <c r="M348" t="s">
        <v>43</v>
      </c>
      <c r="N348" t="s">
        <v>48</v>
      </c>
      <c r="O348">
        <v>1</v>
      </c>
      <c r="P348" t="s">
        <v>397</v>
      </c>
      <c r="Q348" t="s">
        <v>1890</v>
      </c>
      <c r="R348">
        <v>5.29</v>
      </c>
      <c r="S348" s="5">
        <v>45168</v>
      </c>
      <c r="T348" s="5">
        <v>45175</v>
      </c>
      <c r="U348" t="s">
        <v>2925</v>
      </c>
    </row>
    <row r="349" spans="1:21" x14ac:dyDescent="0.25">
      <c r="A349" s="5">
        <v>45741</v>
      </c>
      <c r="B349" s="7">
        <f>Table1[[#This Row],[TotalPrice]] * (1 - Table1[[#This Row],[Discount]])</f>
        <v>820.91895</v>
      </c>
      <c r="C349" s="7">
        <f>Table1[[#This Row],[Net Sales]] * 0.2</f>
        <v>164.18379000000002</v>
      </c>
      <c r="D349" t="s">
        <v>19</v>
      </c>
      <c r="E349" t="s">
        <v>30</v>
      </c>
      <c r="F349">
        <v>3</v>
      </c>
      <c r="G349">
        <v>378.74</v>
      </c>
      <c r="H349" t="s">
        <v>34</v>
      </c>
      <c r="I349" t="s">
        <v>35</v>
      </c>
      <c r="J349" s="3">
        <v>0.15</v>
      </c>
      <c r="K349" t="s">
        <v>39</v>
      </c>
      <c r="L349">
        <v>965.78700000000003</v>
      </c>
      <c r="M349" t="s">
        <v>43</v>
      </c>
      <c r="N349" t="s">
        <v>49</v>
      </c>
      <c r="O349">
        <v>0</v>
      </c>
      <c r="P349" t="s">
        <v>398</v>
      </c>
      <c r="Q349" t="s">
        <v>1891</v>
      </c>
      <c r="R349">
        <v>8.2200000000000006</v>
      </c>
      <c r="S349" s="5">
        <v>45741</v>
      </c>
      <c r="T349" s="5">
        <v>45743</v>
      </c>
      <c r="U349" t="s">
        <v>2922</v>
      </c>
    </row>
    <row r="350" spans="1:21" x14ac:dyDescent="0.25">
      <c r="A350" s="5">
        <v>45639</v>
      </c>
      <c r="B350" s="7">
        <f>Table1[[#This Row],[TotalPrice]] * (1 - Table1[[#This Row],[Discount]])</f>
        <v>408.15</v>
      </c>
      <c r="C350" s="7">
        <f>Table1[[#This Row],[Net Sales]] * 0.2</f>
        <v>81.63</v>
      </c>
      <c r="D350" t="s">
        <v>21</v>
      </c>
      <c r="E350" t="s">
        <v>25</v>
      </c>
      <c r="F350">
        <v>15</v>
      </c>
      <c r="G350">
        <v>27.21</v>
      </c>
      <c r="H350" t="s">
        <v>33</v>
      </c>
      <c r="I350" t="s">
        <v>35</v>
      </c>
      <c r="J350" s="3">
        <v>0</v>
      </c>
      <c r="K350" t="s">
        <v>38</v>
      </c>
      <c r="L350">
        <v>408.15</v>
      </c>
      <c r="M350" t="s">
        <v>43</v>
      </c>
      <c r="N350" t="s">
        <v>50</v>
      </c>
      <c r="O350">
        <v>0</v>
      </c>
      <c r="P350" t="s">
        <v>399</v>
      </c>
      <c r="Q350" t="s">
        <v>1892</v>
      </c>
      <c r="R350">
        <v>43.69</v>
      </c>
      <c r="S350" s="5">
        <v>45639</v>
      </c>
      <c r="T350" s="5">
        <v>45648</v>
      </c>
      <c r="U350" t="s">
        <v>2924</v>
      </c>
    </row>
    <row r="351" spans="1:21" x14ac:dyDescent="0.25">
      <c r="A351" s="5">
        <v>45176</v>
      </c>
      <c r="B351" s="7">
        <f>Table1[[#This Row],[TotalPrice]] * (1 - Table1[[#This Row],[Discount]])</f>
        <v>729.26</v>
      </c>
      <c r="C351" s="7">
        <f>Table1[[#This Row],[Net Sales]] * 0.2</f>
        <v>145.852</v>
      </c>
      <c r="D351" t="s">
        <v>22</v>
      </c>
      <c r="E351" t="s">
        <v>25</v>
      </c>
      <c r="F351">
        <v>14</v>
      </c>
      <c r="G351">
        <v>52.09</v>
      </c>
      <c r="H351" t="s">
        <v>32</v>
      </c>
      <c r="I351" t="s">
        <v>36</v>
      </c>
      <c r="J351" s="3">
        <v>0</v>
      </c>
      <c r="K351" t="s">
        <v>42</v>
      </c>
      <c r="L351">
        <v>729.26</v>
      </c>
      <c r="M351" t="s">
        <v>44</v>
      </c>
      <c r="O351">
        <v>1</v>
      </c>
      <c r="P351" t="s">
        <v>400</v>
      </c>
      <c r="Q351" t="s">
        <v>1893</v>
      </c>
      <c r="R351">
        <v>48.02</v>
      </c>
      <c r="S351" s="5">
        <v>45176</v>
      </c>
      <c r="T351" s="5">
        <v>45183</v>
      </c>
      <c r="U351" t="s">
        <v>2925</v>
      </c>
    </row>
    <row r="352" spans="1:21" x14ac:dyDescent="0.25">
      <c r="A352" s="5">
        <v>45272</v>
      </c>
      <c r="B352" s="7">
        <f>Table1[[#This Row],[TotalPrice]] * (1 - Table1[[#This Row],[Discount]])</f>
        <v>3990.07</v>
      </c>
      <c r="C352" s="7">
        <f>Table1[[#This Row],[Net Sales]] * 0.2</f>
        <v>798.01400000000012</v>
      </c>
      <c r="D352" t="s">
        <v>21</v>
      </c>
      <c r="E352" t="s">
        <v>28</v>
      </c>
      <c r="F352">
        <v>7</v>
      </c>
      <c r="G352">
        <v>570.01</v>
      </c>
      <c r="H352" t="s">
        <v>33</v>
      </c>
      <c r="I352" t="s">
        <v>35</v>
      </c>
      <c r="J352" s="3">
        <v>0</v>
      </c>
      <c r="K352" t="s">
        <v>40</v>
      </c>
      <c r="L352">
        <v>3990.07</v>
      </c>
      <c r="M352" t="s">
        <v>45</v>
      </c>
      <c r="N352" t="s">
        <v>50</v>
      </c>
      <c r="O352">
        <v>0</v>
      </c>
      <c r="P352" t="s">
        <v>401</v>
      </c>
      <c r="Q352" t="s">
        <v>1894</v>
      </c>
      <c r="R352">
        <v>42.33</v>
      </c>
      <c r="S352" s="5">
        <v>45272</v>
      </c>
      <c r="T352" s="5">
        <v>45281</v>
      </c>
      <c r="U352" t="s">
        <v>2924</v>
      </c>
    </row>
    <row r="353" spans="1:21" x14ac:dyDescent="0.25">
      <c r="A353" s="5">
        <v>45407</v>
      </c>
      <c r="B353" s="7">
        <f>Table1[[#This Row],[TotalPrice]] * (1 - Table1[[#This Row],[Discount]])</f>
        <v>9998.3700000000008</v>
      </c>
      <c r="C353" s="7">
        <f>Table1[[#This Row],[Net Sales]] * 0.2</f>
        <v>1999.6740000000002</v>
      </c>
      <c r="D353" t="s">
        <v>19</v>
      </c>
      <c r="E353" t="s">
        <v>28</v>
      </c>
      <c r="F353">
        <v>19</v>
      </c>
      <c r="G353">
        <v>526.23</v>
      </c>
      <c r="H353" t="s">
        <v>31</v>
      </c>
      <c r="I353" t="s">
        <v>36</v>
      </c>
      <c r="J353" s="3">
        <v>0</v>
      </c>
      <c r="K353" t="s">
        <v>42</v>
      </c>
      <c r="L353">
        <v>9998.3700000000008</v>
      </c>
      <c r="M353" t="s">
        <v>45</v>
      </c>
      <c r="N353" t="s">
        <v>50</v>
      </c>
      <c r="O353">
        <v>0</v>
      </c>
      <c r="P353" t="s">
        <v>402</v>
      </c>
      <c r="Q353" t="s">
        <v>1895</v>
      </c>
      <c r="R353">
        <v>32.770000000000003</v>
      </c>
      <c r="S353" s="5">
        <v>45407</v>
      </c>
      <c r="T353" s="5">
        <v>45417</v>
      </c>
      <c r="U353" t="s">
        <v>2922</v>
      </c>
    </row>
    <row r="354" spans="1:21" x14ac:dyDescent="0.25">
      <c r="A354" s="5">
        <v>45781</v>
      </c>
      <c r="B354" s="7">
        <f>Table1[[#This Row],[TotalPrice]] * (1 - Table1[[#This Row],[Discount]])</f>
        <v>1702.2677999999999</v>
      </c>
      <c r="C354" s="7">
        <f>Table1[[#This Row],[Net Sales]] * 0.2</f>
        <v>340.45355999999998</v>
      </c>
      <c r="D354" t="s">
        <v>21</v>
      </c>
      <c r="E354" t="s">
        <v>24</v>
      </c>
      <c r="F354">
        <v>8</v>
      </c>
      <c r="G354">
        <v>294.51</v>
      </c>
      <c r="H354" t="s">
        <v>32</v>
      </c>
      <c r="I354" t="s">
        <v>35</v>
      </c>
      <c r="J354" s="3">
        <v>0.15</v>
      </c>
      <c r="K354" t="s">
        <v>41</v>
      </c>
      <c r="L354">
        <v>2002.6679999999999</v>
      </c>
      <c r="M354" t="s">
        <v>44</v>
      </c>
      <c r="O354">
        <v>0</v>
      </c>
      <c r="P354" t="s">
        <v>403</v>
      </c>
      <c r="Q354" t="s">
        <v>1896</v>
      </c>
      <c r="R354">
        <v>10.46</v>
      </c>
      <c r="S354" s="5">
        <v>45781</v>
      </c>
      <c r="T354" s="5">
        <v>45784</v>
      </c>
      <c r="U354" t="s">
        <v>2924</v>
      </c>
    </row>
    <row r="355" spans="1:21" x14ac:dyDescent="0.25">
      <c r="A355" s="5">
        <v>45185</v>
      </c>
      <c r="B355" s="7">
        <f>Table1[[#This Row],[TotalPrice]] * (1 - Table1[[#This Row],[Discount]])</f>
        <v>7282.1461499999987</v>
      </c>
      <c r="C355" s="7">
        <f>Table1[[#This Row],[Net Sales]] * 0.2</f>
        <v>1456.4292299999997</v>
      </c>
      <c r="D355" t="s">
        <v>20</v>
      </c>
      <c r="E355" t="s">
        <v>28</v>
      </c>
      <c r="F355">
        <v>18</v>
      </c>
      <c r="G355">
        <v>448.27</v>
      </c>
      <c r="H355" t="s">
        <v>33</v>
      </c>
      <c r="I355" t="s">
        <v>35</v>
      </c>
      <c r="J355" s="3">
        <v>0.05</v>
      </c>
      <c r="K355" t="s">
        <v>41</v>
      </c>
      <c r="L355">
        <v>7665.4169999999986</v>
      </c>
      <c r="M355" t="s">
        <v>45</v>
      </c>
      <c r="N355" t="s">
        <v>49</v>
      </c>
      <c r="O355">
        <v>0</v>
      </c>
      <c r="P355" t="s">
        <v>404</v>
      </c>
      <c r="Q355" t="s">
        <v>1897</v>
      </c>
      <c r="R355">
        <v>47.56</v>
      </c>
      <c r="S355" s="5">
        <v>45185</v>
      </c>
      <c r="T355" s="5">
        <v>45189</v>
      </c>
      <c r="U355" t="s">
        <v>2923</v>
      </c>
    </row>
    <row r="356" spans="1:21" x14ac:dyDescent="0.25">
      <c r="A356" s="5">
        <v>45588</v>
      </c>
      <c r="B356" s="7">
        <f>Table1[[#This Row],[TotalPrice]] * (1 - Table1[[#This Row],[Discount]])</f>
        <v>8040.0275999999994</v>
      </c>
      <c r="C356" s="7">
        <f>Table1[[#This Row],[Net Sales]] * 0.2</f>
        <v>1608.0055199999999</v>
      </c>
      <c r="D356" t="s">
        <v>23</v>
      </c>
      <c r="E356" t="s">
        <v>26</v>
      </c>
      <c r="F356">
        <v>17</v>
      </c>
      <c r="G356">
        <v>583.88</v>
      </c>
      <c r="H356" t="s">
        <v>34</v>
      </c>
      <c r="I356" t="s">
        <v>36</v>
      </c>
      <c r="J356" s="3">
        <v>0.1</v>
      </c>
      <c r="K356" t="s">
        <v>38</v>
      </c>
      <c r="L356">
        <v>8933.3639999999996</v>
      </c>
      <c r="M356" t="s">
        <v>45</v>
      </c>
      <c r="N356" t="s">
        <v>50</v>
      </c>
      <c r="O356">
        <v>0</v>
      </c>
      <c r="P356" t="s">
        <v>405</v>
      </c>
      <c r="Q356" t="s">
        <v>1898</v>
      </c>
      <c r="R356">
        <v>37.53</v>
      </c>
      <c r="S356" s="5">
        <v>45588</v>
      </c>
      <c r="T356" s="5">
        <v>45591</v>
      </c>
      <c r="U356" t="s">
        <v>2926</v>
      </c>
    </row>
    <row r="357" spans="1:21" x14ac:dyDescent="0.25">
      <c r="A357" s="5">
        <v>45049</v>
      </c>
      <c r="B357" s="7">
        <f>Table1[[#This Row],[TotalPrice]] * (1 - Table1[[#This Row],[Discount]])</f>
        <v>157.95000000000002</v>
      </c>
      <c r="C357" s="7">
        <f>Table1[[#This Row],[Net Sales]] * 0.2</f>
        <v>31.590000000000003</v>
      </c>
      <c r="D357" t="s">
        <v>21</v>
      </c>
      <c r="E357" t="s">
        <v>26</v>
      </c>
      <c r="F357">
        <v>2</v>
      </c>
      <c r="G357">
        <v>97.5</v>
      </c>
      <c r="H357" t="s">
        <v>34</v>
      </c>
      <c r="I357" t="s">
        <v>36</v>
      </c>
      <c r="J357" s="3">
        <v>0.1</v>
      </c>
      <c r="K357" t="s">
        <v>38</v>
      </c>
      <c r="L357">
        <v>175.5</v>
      </c>
      <c r="M357" t="s">
        <v>47</v>
      </c>
      <c r="O357">
        <v>1</v>
      </c>
      <c r="P357" t="s">
        <v>406</v>
      </c>
      <c r="Q357" t="s">
        <v>1899</v>
      </c>
      <c r="R357">
        <v>46.37</v>
      </c>
      <c r="S357" s="5">
        <v>45049</v>
      </c>
      <c r="T357" s="5">
        <v>45052</v>
      </c>
      <c r="U357" t="s">
        <v>2924</v>
      </c>
    </row>
    <row r="358" spans="1:21" x14ac:dyDescent="0.25">
      <c r="A358" s="5">
        <v>45734</v>
      </c>
      <c r="B358" s="7">
        <f>Table1[[#This Row],[TotalPrice]] * (1 - Table1[[#This Row],[Discount]])</f>
        <v>4864.3323999999993</v>
      </c>
      <c r="C358" s="7">
        <f>Table1[[#This Row],[Net Sales]] * 0.2</f>
        <v>972.86647999999991</v>
      </c>
      <c r="D358" t="s">
        <v>21</v>
      </c>
      <c r="E358" t="s">
        <v>30</v>
      </c>
      <c r="F358">
        <v>16</v>
      </c>
      <c r="G358">
        <v>420.79</v>
      </c>
      <c r="H358" t="s">
        <v>31</v>
      </c>
      <c r="I358" t="s">
        <v>35</v>
      </c>
      <c r="J358" s="3">
        <v>0.15</v>
      </c>
      <c r="K358" t="s">
        <v>40</v>
      </c>
      <c r="L358">
        <v>5722.7439999999997</v>
      </c>
      <c r="M358" t="s">
        <v>47</v>
      </c>
      <c r="N358" t="s">
        <v>48</v>
      </c>
      <c r="O358">
        <v>1</v>
      </c>
      <c r="P358" t="s">
        <v>407</v>
      </c>
      <c r="Q358" t="s">
        <v>1597</v>
      </c>
      <c r="R358">
        <v>22.13</v>
      </c>
      <c r="S358" s="5">
        <v>45734</v>
      </c>
      <c r="T358" s="5">
        <v>45741</v>
      </c>
      <c r="U358" t="s">
        <v>2924</v>
      </c>
    </row>
    <row r="359" spans="1:21" x14ac:dyDescent="0.25">
      <c r="A359" s="5">
        <v>45163</v>
      </c>
      <c r="B359" s="7">
        <f>Table1[[#This Row],[TotalPrice]] * (1 - Table1[[#This Row],[Discount]])</f>
        <v>6671.3399999999992</v>
      </c>
      <c r="C359" s="7">
        <f>Table1[[#This Row],[Net Sales]] * 0.2</f>
        <v>1334.268</v>
      </c>
      <c r="D359" t="s">
        <v>23</v>
      </c>
      <c r="E359" t="s">
        <v>27</v>
      </c>
      <c r="F359">
        <v>13</v>
      </c>
      <c r="G359">
        <v>513.17999999999995</v>
      </c>
      <c r="H359" t="s">
        <v>31</v>
      </c>
      <c r="I359" t="s">
        <v>36</v>
      </c>
      <c r="J359" s="3">
        <v>0</v>
      </c>
      <c r="K359" t="s">
        <v>37</v>
      </c>
      <c r="L359">
        <v>6671.3399999999992</v>
      </c>
      <c r="M359" t="s">
        <v>45</v>
      </c>
      <c r="N359" t="s">
        <v>48</v>
      </c>
      <c r="O359">
        <v>0</v>
      </c>
      <c r="P359" t="s">
        <v>408</v>
      </c>
      <c r="Q359" t="s">
        <v>1900</v>
      </c>
      <c r="R359">
        <v>10.57</v>
      </c>
      <c r="S359" s="5">
        <v>45163</v>
      </c>
      <c r="T359" s="5">
        <v>45165</v>
      </c>
      <c r="U359" t="s">
        <v>2926</v>
      </c>
    </row>
    <row r="360" spans="1:21" x14ac:dyDescent="0.25">
      <c r="A360" s="5">
        <v>45120</v>
      </c>
      <c r="B360" s="7">
        <f>Table1[[#This Row],[TotalPrice]] * (1 - Table1[[#This Row],[Discount]])</f>
        <v>7320.0996000000005</v>
      </c>
      <c r="C360" s="7">
        <f>Table1[[#This Row],[Net Sales]] * 0.2</f>
        <v>1464.0199200000002</v>
      </c>
      <c r="D360" t="s">
        <v>21</v>
      </c>
      <c r="E360" t="s">
        <v>28</v>
      </c>
      <c r="F360">
        <v>19</v>
      </c>
      <c r="G360">
        <v>475.64</v>
      </c>
      <c r="H360" t="s">
        <v>33</v>
      </c>
      <c r="I360" t="s">
        <v>36</v>
      </c>
      <c r="J360" s="3">
        <v>0.1</v>
      </c>
      <c r="K360" t="s">
        <v>39</v>
      </c>
      <c r="L360">
        <v>8133.4440000000004</v>
      </c>
      <c r="M360" t="s">
        <v>47</v>
      </c>
      <c r="N360" t="s">
        <v>50</v>
      </c>
      <c r="O360">
        <v>1</v>
      </c>
      <c r="P360" t="s">
        <v>409</v>
      </c>
      <c r="Q360" t="s">
        <v>1901</v>
      </c>
      <c r="R360">
        <v>11.17</v>
      </c>
      <c r="S360" s="5">
        <v>45120</v>
      </c>
      <c r="T360" s="5">
        <v>45124</v>
      </c>
      <c r="U360" t="s">
        <v>2924</v>
      </c>
    </row>
    <row r="361" spans="1:21" x14ac:dyDescent="0.25">
      <c r="A361" s="5">
        <v>45713</v>
      </c>
      <c r="B361" s="7">
        <f>Table1[[#This Row],[TotalPrice]] * (1 - Table1[[#This Row],[Discount]])</f>
        <v>2509.7202000000002</v>
      </c>
      <c r="C361" s="7">
        <f>Table1[[#This Row],[Net Sales]] * 0.2</f>
        <v>501.94404000000009</v>
      </c>
      <c r="D361" t="s">
        <v>21</v>
      </c>
      <c r="E361" t="s">
        <v>29</v>
      </c>
      <c r="F361">
        <v>13</v>
      </c>
      <c r="G361">
        <v>238.34</v>
      </c>
      <c r="H361" t="s">
        <v>33</v>
      </c>
      <c r="I361" t="s">
        <v>36</v>
      </c>
      <c r="J361" s="3">
        <v>0.1</v>
      </c>
      <c r="K361" t="s">
        <v>40</v>
      </c>
      <c r="L361">
        <v>2788.578</v>
      </c>
      <c r="M361" t="s">
        <v>45</v>
      </c>
      <c r="N361" t="s">
        <v>49</v>
      </c>
      <c r="O361">
        <v>1</v>
      </c>
      <c r="P361" t="s">
        <v>410</v>
      </c>
      <c r="Q361" t="s">
        <v>1902</v>
      </c>
      <c r="R361">
        <v>7.9</v>
      </c>
      <c r="S361" s="5">
        <v>45713</v>
      </c>
      <c r="T361" s="5">
        <v>45722</v>
      </c>
      <c r="U361" t="s">
        <v>2924</v>
      </c>
    </row>
    <row r="362" spans="1:21" x14ac:dyDescent="0.25">
      <c r="A362" s="5">
        <v>45761</v>
      </c>
      <c r="B362" s="7">
        <f>Table1[[#This Row],[TotalPrice]] * (1 - Table1[[#This Row],[Discount]])</f>
        <v>3232.2402000000002</v>
      </c>
      <c r="C362" s="7">
        <f>Table1[[#This Row],[Net Sales]] * 0.2</f>
        <v>646.44804000000011</v>
      </c>
      <c r="D362" t="s">
        <v>22</v>
      </c>
      <c r="E362" t="s">
        <v>24</v>
      </c>
      <c r="F362">
        <v>14</v>
      </c>
      <c r="G362">
        <v>285.02999999999997</v>
      </c>
      <c r="H362" t="s">
        <v>31</v>
      </c>
      <c r="I362" t="s">
        <v>35</v>
      </c>
      <c r="J362" s="3">
        <v>0.1</v>
      </c>
      <c r="K362" t="s">
        <v>37</v>
      </c>
      <c r="L362">
        <v>3591.3780000000002</v>
      </c>
      <c r="M362" t="s">
        <v>45</v>
      </c>
      <c r="N362" t="s">
        <v>49</v>
      </c>
      <c r="O362">
        <v>0</v>
      </c>
      <c r="P362" t="s">
        <v>411</v>
      </c>
      <c r="Q362" t="s">
        <v>1903</v>
      </c>
      <c r="R362">
        <v>41.5</v>
      </c>
      <c r="S362" s="5">
        <v>45761</v>
      </c>
      <c r="T362" s="5">
        <v>45764</v>
      </c>
      <c r="U362" t="s">
        <v>2925</v>
      </c>
    </row>
    <row r="363" spans="1:21" x14ac:dyDescent="0.25">
      <c r="A363" s="5">
        <v>45823</v>
      </c>
      <c r="B363" s="7">
        <f>Table1[[#This Row],[TotalPrice]] * (1 - Table1[[#This Row],[Discount]])</f>
        <v>24.908999999999999</v>
      </c>
      <c r="C363" s="7">
        <f>Table1[[#This Row],[Net Sales]] * 0.2</f>
        <v>4.9817999999999998</v>
      </c>
      <c r="D363" t="s">
        <v>22</v>
      </c>
      <c r="E363" t="s">
        <v>26</v>
      </c>
      <c r="F363">
        <v>5</v>
      </c>
      <c r="G363">
        <v>5.52</v>
      </c>
      <c r="H363" t="s">
        <v>33</v>
      </c>
      <c r="I363" t="s">
        <v>36</v>
      </c>
      <c r="J363" s="3">
        <v>0.05</v>
      </c>
      <c r="K363" t="s">
        <v>38</v>
      </c>
      <c r="L363">
        <v>26.22</v>
      </c>
      <c r="M363" t="s">
        <v>45</v>
      </c>
      <c r="N363" t="s">
        <v>48</v>
      </c>
      <c r="O363">
        <v>0</v>
      </c>
      <c r="P363" t="s">
        <v>412</v>
      </c>
      <c r="Q363" t="s">
        <v>1904</v>
      </c>
      <c r="R363">
        <v>10.58</v>
      </c>
      <c r="S363" s="5">
        <v>45823</v>
      </c>
      <c r="T363" s="5">
        <v>45826</v>
      </c>
      <c r="U363" t="s">
        <v>2925</v>
      </c>
    </row>
    <row r="364" spans="1:21" x14ac:dyDescent="0.25">
      <c r="A364" s="5">
        <v>45587</v>
      </c>
      <c r="B364" s="7">
        <f>Table1[[#This Row],[TotalPrice]] * (1 - Table1[[#This Row],[Discount]])</f>
        <v>5777.3249999999998</v>
      </c>
      <c r="C364" s="7">
        <f>Table1[[#This Row],[Net Sales]] * 0.2</f>
        <v>1155.4649999999999</v>
      </c>
      <c r="D364" t="s">
        <v>21</v>
      </c>
      <c r="E364" t="s">
        <v>28</v>
      </c>
      <c r="F364">
        <v>18</v>
      </c>
      <c r="G364">
        <v>396.25</v>
      </c>
      <c r="H364" t="s">
        <v>34</v>
      </c>
      <c r="I364" t="s">
        <v>36</v>
      </c>
      <c r="J364" s="3">
        <v>0.1</v>
      </c>
      <c r="K364" t="s">
        <v>39</v>
      </c>
      <c r="L364">
        <v>6419.25</v>
      </c>
      <c r="M364" t="s">
        <v>45</v>
      </c>
      <c r="N364" t="s">
        <v>48</v>
      </c>
      <c r="O364">
        <v>0</v>
      </c>
      <c r="P364" t="s">
        <v>413</v>
      </c>
      <c r="Q364" t="s">
        <v>1905</v>
      </c>
      <c r="R364">
        <v>20.39</v>
      </c>
      <c r="S364" s="5">
        <v>45587</v>
      </c>
      <c r="T364" s="5">
        <v>45592</v>
      </c>
      <c r="U364" t="s">
        <v>2924</v>
      </c>
    </row>
    <row r="365" spans="1:21" x14ac:dyDescent="0.25">
      <c r="A365" s="5">
        <v>45097</v>
      </c>
      <c r="B365" s="7">
        <f>Table1[[#This Row],[TotalPrice]] * (1 - Table1[[#This Row],[Discount]])</f>
        <v>2297.0430000000001</v>
      </c>
      <c r="C365" s="7">
        <f>Table1[[#This Row],[Net Sales]] * 0.2</f>
        <v>459.40860000000004</v>
      </c>
      <c r="D365" t="s">
        <v>20</v>
      </c>
      <c r="E365" t="s">
        <v>24</v>
      </c>
      <c r="F365">
        <v>9</v>
      </c>
      <c r="G365">
        <v>282.8</v>
      </c>
      <c r="H365" t="s">
        <v>34</v>
      </c>
      <c r="I365" t="s">
        <v>35</v>
      </c>
      <c r="J365" s="3">
        <v>0.05</v>
      </c>
      <c r="K365" t="s">
        <v>37</v>
      </c>
      <c r="L365">
        <v>2417.94</v>
      </c>
      <c r="M365" t="s">
        <v>43</v>
      </c>
      <c r="O365">
        <v>0</v>
      </c>
      <c r="P365" t="s">
        <v>414</v>
      </c>
      <c r="Q365" t="s">
        <v>1906</v>
      </c>
      <c r="R365">
        <v>49.79</v>
      </c>
      <c r="S365" s="5">
        <v>45097</v>
      </c>
      <c r="T365" s="5">
        <v>45102</v>
      </c>
      <c r="U365" t="s">
        <v>2923</v>
      </c>
    </row>
    <row r="366" spans="1:21" x14ac:dyDescent="0.25">
      <c r="A366" s="5">
        <v>45721</v>
      </c>
      <c r="B366" s="7">
        <f>Table1[[#This Row],[TotalPrice]] * (1 - Table1[[#This Row],[Discount]])</f>
        <v>2845.20345</v>
      </c>
      <c r="C366" s="7">
        <f>Table1[[#This Row],[Net Sales]] * 0.2</f>
        <v>569.04069000000004</v>
      </c>
      <c r="D366" t="s">
        <v>20</v>
      </c>
      <c r="E366" t="s">
        <v>25</v>
      </c>
      <c r="F366">
        <v>6</v>
      </c>
      <c r="G366">
        <v>525.42999999999995</v>
      </c>
      <c r="H366" t="s">
        <v>33</v>
      </c>
      <c r="I366" t="s">
        <v>35</v>
      </c>
      <c r="J366" s="3">
        <v>0.05</v>
      </c>
      <c r="K366" t="s">
        <v>38</v>
      </c>
      <c r="L366">
        <v>2994.951</v>
      </c>
      <c r="M366" t="s">
        <v>45</v>
      </c>
      <c r="O366">
        <v>0</v>
      </c>
      <c r="P366" t="s">
        <v>415</v>
      </c>
      <c r="Q366" t="s">
        <v>1907</v>
      </c>
      <c r="R366">
        <v>39.28</v>
      </c>
      <c r="S366" s="5">
        <v>45721</v>
      </c>
      <c r="T366" s="5">
        <v>45727</v>
      </c>
      <c r="U366" t="s">
        <v>2923</v>
      </c>
    </row>
    <row r="367" spans="1:21" x14ac:dyDescent="0.25">
      <c r="A367" s="5">
        <v>45227</v>
      </c>
      <c r="B367" s="7">
        <f>Table1[[#This Row],[TotalPrice]] * (1 - Table1[[#This Row],[Discount]])</f>
        <v>1551.1905000000002</v>
      </c>
      <c r="C367" s="7">
        <f>Table1[[#This Row],[Net Sales]] * 0.2</f>
        <v>310.23810000000003</v>
      </c>
      <c r="D367" t="s">
        <v>23</v>
      </c>
      <c r="E367" t="s">
        <v>29</v>
      </c>
      <c r="F367">
        <v>15</v>
      </c>
      <c r="G367">
        <v>127.67</v>
      </c>
      <c r="H367" t="s">
        <v>34</v>
      </c>
      <c r="I367" t="s">
        <v>36</v>
      </c>
      <c r="J367" s="3">
        <v>0.1</v>
      </c>
      <c r="K367" t="s">
        <v>38</v>
      </c>
      <c r="L367">
        <v>1723.5450000000001</v>
      </c>
      <c r="M367" t="s">
        <v>46</v>
      </c>
      <c r="O367">
        <v>0</v>
      </c>
      <c r="P367" t="s">
        <v>416</v>
      </c>
      <c r="Q367" t="s">
        <v>1908</v>
      </c>
      <c r="R367">
        <v>48.77</v>
      </c>
      <c r="S367" s="5">
        <v>45227</v>
      </c>
      <c r="T367" s="5">
        <v>45229</v>
      </c>
      <c r="U367" t="s">
        <v>2926</v>
      </c>
    </row>
    <row r="368" spans="1:21" x14ac:dyDescent="0.25">
      <c r="A368" s="5">
        <v>45735</v>
      </c>
      <c r="B368" s="7">
        <f>Table1[[#This Row],[TotalPrice]] * (1 - Table1[[#This Row],[Discount]])</f>
        <v>7852.2914999999994</v>
      </c>
      <c r="C368" s="7">
        <f>Table1[[#This Row],[Net Sales]] * 0.2</f>
        <v>1570.4583</v>
      </c>
      <c r="D368" t="s">
        <v>22</v>
      </c>
      <c r="E368" t="s">
        <v>24</v>
      </c>
      <c r="F368">
        <v>17</v>
      </c>
      <c r="G368">
        <v>511.8</v>
      </c>
      <c r="H368" t="s">
        <v>31</v>
      </c>
      <c r="I368" t="s">
        <v>36</v>
      </c>
      <c r="J368" s="3">
        <v>0.05</v>
      </c>
      <c r="K368" t="s">
        <v>40</v>
      </c>
      <c r="L368">
        <v>8265.57</v>
      </c>
      <c r="M368" t="s">
        <v>45</v>
      </c>
      <c r="N368" t="s">
        <v>50</v>
      </c>
      <c r="O368">
        <v>1</v>
      </c>
      <c r="P368" t="s">
        <v>417</v>
      </c>
      <c r="Q368" t="s">
        <v>1909</v>
      </c>
      <c r="R368">
        <v>13.33</v>
      </c>
      <c r="S368" s="5">
        <v>45735</v>
      </c>
      <c r="T368" s="5">
        <v>45742</v>
      </c>
      <c r="U368" t="s">
        <v>2925</v>
      </c>
    </row>
    <row r="369" spans="1:21" x14ac:dyDescent="0.25">
      <c r="A369" s="5">
        <v>45144</v>
      </c>
      <c r="B369" s="7">
        <f>Table1[[#This Row],[TotalPrice]] * (1 - Table1[[#This Row],[Discount]])</f>
        <v>2006.6545999999998</v>
      </c>
      <c r="C369" s="7">
        <f>Table1[[#This Row],[Net Sales]] * 0.2</f>
        <v>401.33091999999999</v>
      </c>
      <c r="D369" t="s">
        <v>23</v>
      </c>
      <c r="E369" t="s">
        <v>29</v>
      </c>
      <c r="F369">
        <v>4</v>
      </c>
      <c r="G369">
        <v>555.86</v>
      </c>
      <c r="H369" t="s">
        <v>33</v>
      </c>
      <c r="I369" t="s">
        <v>36</v>
      </c>
      <c r="J369" s="3">
        <v>0.05</v>
      </c>
      <c r="K369" t="s">
        <v>42</v>
      </c>
      <c r="L369">
        <v>2112.268</v>
      </c>
      <c r="M369" t="s">
        <v>47</v>
      </c>
      <c r="N369" t="s">
        <v>48</v>
      </c>
      <c r="O369">
        <v>0</v>
      </c>
      <c r="P369" t="s">
        <v>418</v>
      </c>
      <c r="Q369" t="s">
        <v>1910</v>
      </c>
      <c r="R369">
        <v>28.92</v>
      </c>
      <c r="S369" s="5">
        <v>45144</v>
      </c>
      <c r="T369" s="5">
        <v>45146</v>
      </c>
      <c r="U369" t="s">
        <v>2926</v>
      </c>
    </row>
    <row r="370" spans="1:21" x14ac:dyDescent="0.25">
      <c r="A370" s="5">
        <v>45546</v>
      </c>
      <c r="B370" s="7">
        <f>Table1[[#This Row],[TotalPrice]] * (1 - Table1[[#This Row],[Discount]])</f>
        <v>2744.3220000000001</v>
      </c>
      <c r="C370" s="7">
        <f>Table1[[#This Row],[Net Sales]] * 0.2</f>
        <v>548.86440000000005</v>
      </c>
      <c r="D370" t="s">
        <v>22</v>
      </c>
      <c r="E370" t="s">
        <v>28</v>
      </c>
      <c r="F370">
        <v>15</v>
      </c>
      <c r="G370">
        <v>202.72</v>
      </c>
      <c r="H370" t="s">
        <v>34</v>
      </c>
      <c r="I370" t="s">
        <v>36</v>
      </c>
      <c r="J370" s="3">
        <v>0.05</v>
      </c>
      <c r="K370" t="s">
        <v>37</v>
      </c>
      <c r="L370">
        <v>2888.76</v>
      </c>
      <c r="M370" t="s">
        <v>46</v>
      </c>
      <c r="N370" t="s">
        <v>50</v>
      </c>
      <c r="O370">
        <v>1</v>
      </c>
      <c r="P370" t="s">
        <v>419</v>
      </c>
      <c r="Q370" t="s">
        <v>1911</v>
      </c>
      <c r="R370">
        <v>41.61</v>
      </c>
      <c r="S370" s="5">
        <v>45546</v>
      </c>
      <c r="T370" s="5">
        <v>45554</v>
      </c>
      <c r="U370" t="s">
        <v>2925</v>
      </c>
    </row>
    <row r="371" spans="1:21" x14ac:dyDescent="0.25">
      <c r="A371" s="5">
        <v>45665</v>
      </c>
      <c r="B371" s="7">
        <f>Table1[[#This Row],[TotalPrice]] * (1 - Table1[[#This Row],[Discount]])</f>
        <v>1414.8</v>
      </c>
      <c r="C371" s="7">
        <f>Table1[[#This Row],[Net Sales]] * 0.2</f>
        <v>282.95999999999998</v>
      </c>
      <c r="D371" t="s">
        <v>22</v>
      </c>
      <c r="E371" t="s">
        <v>27</v>
      </c>
      <c r="F371">
        <v>4</v>
      </c>
      <c r="G371">
        <v>353.7</v>
      </c>
      <c r="H371" t="s">
        <v>32</v>
      </c>
      <c r="I371" t="s">
        <v>35</v>
      </c>
      <c r="J371" s="3">
        <v>0</v>
      </c>
      <c r="K371" t="s">
        <v>39</v>
      </c>
      <c r="L371">
        <v>1414.8</v>
      </c>
      <c r="M371" t="s">
        <v>45</v>
      </c>
      <c r="N371" t="s">
        <v>48</v>
      </c>
      <c r="O371">
        <v>0</v>
      </c>
      <c r="P371" t="s">
        <v>420</v>
      </c>
      <c r="Q371" t="s">
        <v>1912</v>
      </c>
      <c r="R371">
        <v>41.98</v>
      </c>
      <c r="S371" s="5">
        <v>45665</v>
      </c>
      <c r="T371" s="5">
        <v>45669</v>
      </c>
      <c r="U371" t="s">
        <v>2925</v>
      </c>
    </row>
    <row r="372" spans="1:21" x14ac:dyDescent="0.25">
      <c r="A372" s="5">
        <v>45516</v>
      </c>
      <c r="B372" s="7">
        <f>Table1[[#This Row],[TotalPrice]] * (1 - Table1[[#This Row],[Discount]])</f>
        <v>447.75</v>
      </c>
      <c r="C372" s="7">
        <f>Table1[[#This Row],[Net Sales]] * 0.2</f>
        <v>89.550000000000011</v>
      </c>
      <c r="D372" t="s">
        <v>22</v>
      </c>
      <c r="E372" t="s">
        <v>27</v>
      </c>
      <c r="F372">
        <v>3</v>
      </c>
      <c r="G372">
        <v>149.25</v>
      </c>
      <c r="H372" t="s">
        <v>34</v>
      </c>
      <c r="I372" t="s">
        <v>35</v>
      </c>
      <c r="J372" s="3">
        <v>0</v>
      </c>
      <c r="K372" t="s">
        <v>40</v>
      </c>
      <c r="L372">
        <v>447.75</v>
      </c>
      <c r="M372" t="s">
        <v>46</v>
      </c>
      <c r="O372">
        <v>1</v>
      </c>
      <c r="P372" t="s">
        <v>421</v>
      </c>
      <c r="Q372" t="s">
        <v>1913</v>
      </c>
      <c r="R372">
        <v>13.17</v>
      </c>
      <c r="S372" s="5">
        <v>45516</v>
      </c>
      <c r="T372" s="5">
        <v>45518</v>
      </c>
      <c r="U372" t="s">
        <v>2925</v>
      </c>
    </row>
    <row r="373" spans="1:21" x14ac:dyDescent="0.25">
      <c r="A373" s="5">
        <v>45015</v>
      </c>
      <c r="B373" s="7">
        <f>Table1[[#This Row],[TotalPrice]] * (1 - Table1[[#This Row],[Discount]])</f>
        <v>2407.6115999999997</v>
      </c>
      <c r="C373" s="7">
        <f>Table1[[#This Row],[Net Sales]] * 0.2</f>
        <v>481.52231999999998</v>
      </c>
      <c r="D373" t="s">
        <v>21</v>
      </c>
      <c r="E373" t="s">
        <v>28</v>
      </c>
      <c r="F373">
        <v>19</v>
      </c>
      <c r="G373">
        <v>156.44</v>
      </c>
      <c r="H373" t="s">
        <v>33</v>
      </c>
      <c r="I373" t="s">
        <v>35</v>
      </c>
      <c r="J373" s="3">
        <v>0.1</v>
      </c>
      <c r="K373" t="s">
        <v>38</v>
      </c>
      <c r="L373">
        <v>2675.1239999999998</v>
      </c>
      <c r="M373" t="s">
        <v>43</v>
      </c>
      <c r="N373" t="s">
        <v>50</v>
      </c>
      <c r="O373">
        <v>0</v>
      </c>
      <c r="P373" t="s">
        <v>422</v>
      </c>
      <c r="Q373" t="s">
        <v>1914</v>
      </c>
      <c r="R373">
        <v>19.440000000000001</v>
      </c>
      <c r="S373" s="5">
        <v>45015</v>
      </c>
      <c r="T373" s="5">
        <v>45020</v>
      </c>
      <c r="U373" t="s">
        <v>2924</v>
      </c>
    </row>
    <row r="374" spans="1:21" x14ac:dyDescent="0.25">
      <c r="A374" s="5">
        <v>44958</v>
      </c>
      <c r="B374" s="7">
        <f>Table1[[#This Row],[TotalPrice]] * (1 - Table1[[#This Row],[Discount]])</f>
        <v>1692.32</v>
      </c>
      <c r="C374" s="7">
        <f>Table1[[#This Row],[Net Sales]] * 0.2</f>
        <v>338.464</v>
      </c>
      <c r="D374" t="s">
        <v>22</v>
      </c>
      <c r="E374" t="s">
        <v>25</v>
      </c>
      <c r="F374">
        <v>7</v>
      </c>
      <c r="G374">
        <v>241.76</v>
      </c>
      <c r="H374" t="s">
        <v>34</v>
      </c>
      <c r="I374" t="s">
        <v>35</v>
      </c>
      <c r="J374" s="3">
        <v>0</v>
      </c>
      <c r="K374" t="s">
        <v>40</v>
      </c>
      <c r="L374">
        <v>1692.32</v>
      </c>
      <c r="M374" t="s">
        <v>43</v>
      </c>
      <c r="N374" t="s">
        <v>49</v>
      </c>
      <c r="O374">
        <v>0</v>
      </c>
      <c r="P374" t="s">
        <v>423</v>
      </c>
      <c r="Q374" t="s">
        <v>1915</v>
      </c>
      <c r="R374">
        <v>48.13</v>
      </c>
      <c r="S374" s="5">
        <v>44958</v>
      </c>
      <c r="T374" s="5">
        <v>44966</v>
      </c>
      <c r="U374" t="s">
        <v>2925</v>
      </c>
    </row>
    <row r="375" spans="1:21" x14ac:dyDescent="0.25">
      <c r="A375" s="5">
        <v>45765</v>
      </c>
      <c r="B375" s="7">
        <f>Table1[[#This Row],[TotalPrice]] * (1 - Table1[[#This Row],[Discount]])</f>
        <v>3409.8</v>
      </c>
      <c r="C375" s="7">
        <f>Table1[[#This Row],[Net Sales]] * 0.2</f>
        <v>681.96</v>
      </c>
      <c r="D375" t="s">
        <v>21</v>
      </c>
      <c r="E375" t="s">
        <v>24</v>
      </c>
      <c r="F375">
        <v>20</v>
      </c>
      <c r="G375">
        <v>170.49</v>
      </c>
      <c r="H375" t="s">
        <v>32</v>
      </c>
      <c r="I375" t="s">
        <v>35</v>
      </c>
      <c r="J375" s="3">
        <v>0</v>
      </c>
      <c r="K375" t="s">
        <v>41</v>
      </c>
      <c r="L375">
        <v>3409.8</v>
      </c>
      <c r="M375" t="s">
        <v>43</v>
      </c>
      <c r="N375" t="s">
        <v>48</v>
      </c>
      <c r="O375">
        <v>0</v>
      </c>
      <c r="P375" t="s">
        <v>424</v>
      </c>
      <c r="Q375" t="s">
        <v>1651</v>
      </c>
      <c r="R375">
        <v>19.739999999999998</v>
      </c>
      <c r="S375" s="5">
        <v>45765</v>
      </c>
      <c r="T375" s="5">
        <v>45774</v>
      </c>
      <c r="U375" t="s">
        <v>2924</v>
      </c>
    </row>
    <row r="376" spans="1:21" x14ac:dyDescent="0.25">
      <c r="A376" s="5">
        <v>45745</v>
      </c>
      <c r="B376" s="7">
        <f>Table1[[#This Row],[TotalPrice]] * (1 - Table1[[#This Row],[Discount]])</f>
        <v>1333.5597</v>
      </c>
      <c r="C376" s="7">
        <f>Table1[[#This Row],[Net Sales]] * 0.2</f>
        <v>266.71194000000003</v>
      </c>
      <c r="D376" t="s">
        <v>22</v>
      </c>
      <c r="E376" t="s">
        <v>28</v>
      </c>
      <c r="F376">
        <v>11</v>
      </c>
      <c r="G376">
        <v>149.66999999999999</v>
      </c>
      <c r="H376" t="s">
        <v>33</v>
      </c>
      <c r="I376" t="s">
        <v>36</v>
      </c>
      <c r="J376" s="3">
        <v>0.1</v>
      </c>
      <c r="K376" t="s">
        <v>37</v>
      </c>
      <c r="L376">
        <v>1481.7329999999999</v>
      </c>
      <c r="M376" t="s">
        <v>45</v>
      </c>
      <c r="O376">
        <v>0</v>
      </c>
      <c r="P376" t="s">
        <v>425</v>
      </c>
      <c r="Q376" t="s">
        <v>1916</v>
      </c>
      <c r="R376">
        <v>34.130000000000003</v>
      </c>
      <c r="S376" s="5">
        <v>45745</v>
      </c>
      <c r="T376" s="5">
        <v>45749</v>
      </c>
      <c r="U376" t="s">
        <v>2925</v>
      </c>
    </row>
    <row r="377" spans="1:21" x14ac:dyDescent="0.25">
      <c r="A377" s="5">
        <v>45407</v>
      </c>
      <c r="B377" s="7">
        <f>Table1[[#This Row],[TotalPrice]] * (1 - Table1[[#This Row],[Discount]])</f>
        <v>140.58360000000002</v>
      </c>
      <c r="C377" s="7">
        <f>Table1[[#This Row],[Net Sales]] * 0.2</f>
        <v>28.116720000000004</v>
      </c>
      <c r="D377" t="s">
        <v>19</v>
      </c>
      <c r="E377" t="s">
        <v>29</v>
      </c>
      <c r="F377">
        <v>1</v>
      </c>
      <c r="G377">
        <v>173.56</v>
      </c>
      <c r="H377" t="s">
        <v>34</v>
      </c>
      <c r="I377" t="s">
        <v>36</v>
      </c>
      <c r="J377" s="3">
        <v>0.1</v>
      </c>
      <c r="K377" t="s">
        <v>37</v>
      </c>
      <c r="L377">
        <v>156.20400000000001</v>
      </c>
      <c r="M377" t="s">
        <v>46</v>
      </c>
      <c r="N377" t="s">
        <v>48</v>
      </c>
      <c r="O377">
        <v>0</v>
      </c>
      <c r="P377" t="s">
        <v>426</v>
      </c>
      <c r="Q377" t="s">
        <v>1917</v>
      </c>
      <c r="R377">
        <v>39.1</v>
      </c>
      <c r="S377" s="5">
        <v>45407</v>
      </c>
      <c r="T377" s="5">
        <v>45410</v>
      </c>
      <c r="U377" t="s">
        <v>2922</v>
      </c>
    </row>
    <row r="378" spans="1:21" x14ac:dyDescent="0.25">
      <c r="A378" s="5">
        <v>45557</v>
      </c>
      <c r="B378" s="7">
        <f>Table1[[#This Row],[TotalPrice]] * (1 - Table1[[#This Row],[Discount]])</f>
        <v>2208.2821250000002</v>
      </c>
      <c r="C378" s="7">
        <f>Table1[[#This Row],[Net Sales]] * 0.2</f>
        <v>441.65642500000007</v>
      </c>
      <c r="D378" t="s">
        <v>20</v>
      </c>
      <c r="E378" t="s">
        <v>28</v>
      </c>
      <c r="F378">
        <v>7</v>
      </c>
      <c r="G378">
        <v>349.55</v>
      </c>
      <c r="H378" t="s">
        <v>32</v>
      </c>
      <c r="I378" t="s">
        <v>36</v>
      </c>
      <c r="J378" s="3">
        <v>0.05</v>
      </c>
      <c r="K378" t="s">
        <v>40</v>
      </c>
      <c r="L378">
        <v>2324.5075000000002</v>
      </c>
      <c r="M378" t="s">
        <v>45</v>
      </c>
      <c r="N378" t="s">
        <v>48</v>
      </c>
      <c r="O378">
        <v>0</v>
      </c>
      <c r="P378" t="s">
        <v>427</v>
      </c>
      <c r="Q378" t="s">
        <v>1918</v>
      </c>
      <c r="R378">
        <v>23.7</v>
      </c>
      <c r="S378" s="5">
        <v>45557</v>
      </c>
      <c r="T378" s="5">
        <v>45562</v>
      </c>
      <c r="U378" t="s">
        <v>2923</v>
      </c>
    </row>
    <row r="379" spans="1:21" x14ac:dyDescent="0.25">
      <c r="A379" s="5">
        <v>45143</v>
      </c>
      <c r="B379" s="7">
        <f>Table1[[#This Row],[TotalPrice]] * (1 - Table1[[#This Row],[Discount]])</f>
        <v>2206.2600000000002</v>
      </c>
      <c r="C379" s="7">
        <f>Table1[[#This Row],[Net Sales]] * 0.2</f>
        <v>441.25200000000007</v>
      </c>
      <c r="D379" t="s">
        <v>22</v>
      </c>
      <c r="E379" t="s">
        <v>29</v>
      </c>
      <c r="F379">
        <v>9</v>
      </c>
      <c r="G379">
        <v>245.14</v>
      </c>
      <c r="H379" t="s">
        <v>31</v>
      </c>
      <c r="I379" t="s">
        <v>35</v>
      </c>
      <c r="J379" s="3">
        <v>0</v>
      </c>
      <c r="K379" t="s">
        <v>38</v>
      </c>
      <c r="L379">
        <v>2206.2600000000002</v>
      </c>
      <c r="M379" t="s">
        <v>43</v>
      </c>
      <c r="N379" t="s">
        <v>49</v>
      </c>
      <c r="O379">
        <v>1</v>
      </c>
      <c r="P379" t="s">
        <v>428</v>
      </c>
      <c r="Q379" t="s">
        <v>1919</v>
      </c>
      <c r="R379">
        <v>44.6</v>
      </c>
      <c r="S379" s="5">
        <v>45143</v>
      </c>
      <c r="T379" s="5">
        <v>45152</v>
      </c>
      <c r="U379" t="s">
        <v>2925</v>
      </c>
    </row>
    <row r="380" spans="1:21" x14ac:dyDescent="0.25">
      <c r="A380" s="5">
        <v>45450</v>
      </c>
      <c r="B380" s="7">
        <f>Table1[[#This Row],[TotalPrice]] * (1 - Table1[[#This Row],[Discount]])</f>
        <v>381.82969999999995</v>
      </c>
      <c r="C380" s="7">
        <f>Table1[[#This Row],[Net Sales]] * 0.2</f>
        <v>76.365939999999995</v>
      </c>
      <c r="D380" t="s">
        <v>20</v>
      </c>
      <c r="E380" t="s">
        <v>26</v>
      </c>
      <c r="F380">
        <v>1</v>
      </c>
      <c r="G380">
        <v>423.08</v>
      </c>
      <c r="H380" t="s">
        <v>31</v>
      </c>
      <c r="I380" t="s">
        <v>35</v>
      </c>
      <c r="J380" s="3">
        <v>0.05</v>
      </c>
      <c r="K380" t="s">
        <v>42</v>
      </c>
      <c r="L380">
        <v>401.92599999999999</v>
      </c>
      <c r="M380" t="s">
        <v>44</v>
      </c>
      <c r="N380" t="s">
        <v>50</v>
      </c>
      <c r="O380">
        <v>0</v>
      </c>
      <c r="P380" t="s">
        <v>429</v>
      </c>
      <c r="Q380" t="s">
        <v>1920</v>
      </c>
      <c r="R380">
        <v>31.75</v>
      </c>
      <c r="S380" s="5">
        <v>45450</v>
      </c>
      <c r="T380" s="5">
        <v>45454</v>
      </c>
      <c r="U380" t="s">
        <v>2923</v>
      </c>
    </row>
    <row r="381" spans="1:21" x14ac:dyDescent="0.25">
      <c r="A381" s="5">
        <v>45801</v>
      </c>
      <c r="B381" s="7">
        <f>Table1[[#This Row],[TotalPrice]] * (1 - Table1[[#This Row],[Discount]])</f>
        <v>4637.4240499999996</v>
      </c>
      <c r="C381" s="7">
        <f>Table1[[#This Row],[Net Sales]] * 0.2</f>
        <v>927.48480999999992</v>
      </c>
      <c r="D381" t="s">
        <v>19</v>
      </c>
      <c r="E381" t="s">
        <v>25</v>
      </c>
      <c r="F381">
        <v>19</v>
      </c>
      <c r="G381">
        <v>337.82</v>
      </c>
      <c r="H381" t="s">
        <v>31</v>
      </c>
      <c r="I381" t="s">
        <v>35</v>
      </c>
      <c r="J381" s="3">
        <v>0.15</v>
      </c>
      <c r="K381" t="s">
        <v>38</v>
      </c>
      <c r="L381">
        <v>5455.7929999999997</v>
      </c>
      <c r="M381" t="s">
        <v>43</v>
      </c>
      <c r="N381" t="s">
        <v>48</v>
      </c>
      <c r="O381">
        <v>0</v>
      </c>
      <c r="P381" t="s">
        <v>430</v>
      </c>
      <c r="Q381" t="s">
        <v>1921</v>
      </c>
      <c r="R381">
        <v>45.74</v>
      </c>
      <c r="S381" s="5">
        <v>45801</v>
      </c>
      <c r="T381" s="5">
        <v>45807</v>
      </c>
      <c r="U381" t="s">
        <v>2922</v>
      </c>
    </row>
    <row r="382" spans="1:21" x14ac:dyDescent="0.25">
      <c r="A382" s="5">
        <v>45491</v>
      </c>
      <c r="B382" s="7">
        <f>Table1[[#This Row],[TotalPrice]] * (1 - Table1[[#This Row],[Discount]])</f>
        <v>1825.2517499999999</v>
      </c>
      <c r="C382" s="7">
        <f>Table1[[#This Row],[Net Sales]] * 0.2</f>
        <v>365.05034999999998</v>
      </c>
      <c r="D382" t="s">
        <v>20</v>
      </c>
      <c r="E382" t="s">
        <v>27</v>
      </c>
      <c r="F382">
        <v>10</v>
      </c>
      <c r="G382">
        <v>252.63</v>
      </c>
      <c r="H382" t="s">
        <v>31</v>
      </c>
      <c r="I382" t="s">
        <v>36</v>
      </c>
      <c r="J382" s="3">
        <v>0.15</v>
      </c>
      <c r="K382" t="s">
        <v>37</v>
      </c>
      <c r="L382">
        <v>2147.355</v>
      </c>
      <c r="M382" t="s">
        <v>47</v>
      </c>
      <c r="N382" t="s">
        <v>48</v>
      </c>
      <c r="O382">
        <v>0</v>
      </c>
      <c r="P382" t="s">
        <v>431</v>
      </c>
      <c r="Q382" t="s">
        <v>1922</v>
      </c>
      <c r="R382">
        <v>8.92</v>
      </c>
      <c r="S382" s="5">
        <v>45491</v>
      </c>
      <c r="T382" s="5">
        <v>45498</v>
      </c>
      <c r="U382" t="s">
        <v>2923</v>
      </c>
    </row>
    <row r="383" spans="1:21" x14ac:dyDescent="0.25">
      <c r="A383" s="5">
        <v>45487</v>
      </c>
      <c r="B383" s="7">
        <f>Table1[[#This Row],[TotalPrice]] * (1 - Table1[[#This Row],[Discount]])</f>
        <v>211.45860000000002</v>
      </c>
      <c r="C383" s="7">
        <f>Table1[[#This Row],[Net Sales]] * 0.2</f>
        <v>42.291720000000005</v>
      </c>
      <c r="D383" t="s">
        <v>23</v>
      </c>
      <c r="E383" t="s">
        <v>29</v>
      </c>
      <c r="F383">
        <v>3</v>
      </c>
      <c r="G383">
        <v>87.02</v>
      </c>
      <c r="H383" t="s">
        <v>31</v>
      </c>
      <c r="I383" t="s">
        <v>35</v>
      </c>
      <c r="J383" s="3">
        <v>0.1</v>
      </c>
      <c r="K383" t="s">
        <v>39</v>
      </c>
      <c r="L383">
        <v>234.95400000000001</v>
      </c>
      <c r="M383" t="s">
        <v>47</v>
      </c>
      <c r="N383" t="s">
        <v>50</v>
      </c>
      <c r="O383">
        <v>0</v>
      </c>
      <c r="P383" t="s">
        <v>432</v>
      </c>
      <c r="Q383" t="s">
        <v>1923</v>
      </c>
      <c r="R383">
        <v>11.13</v>
      </c>
      <c r="S383" s="5">
        <v>45487</v>
      </c>
      <c r="T383" s="5">
        <v>45489</v>
      </c>
      <c r="U383" t="s">
        <v>2926</v>
      </c>
    </row>
    <row r="384" spans="1:21" x14ac:dyDescent="0.25">
      <c r="A384" s="5">
        <v>45030</v>
      </c>
      <c r="B384" s="7">
        <f>Table1[[#This Row],[TotalPrice]] * (1 - Table1[[#This Row],[Discount]])</f>
        <v>66.712800000000001</v>
      </c>
      <c r="C384" s="7">
        <f>Table1[[#This Row],[Net Sales]] * 0.2</f>
        <v>13.342560000000001</v>
      </c>
      <c r="D384" t="s">
        <v>22</v>
      </c>
      <c r="E384" t="s">
        <v>29</v>
      </c>
      <c r="F384">
        <v>11</v>
      </c>
      <c r="G384">
        <v>6.72</v>
      </c>
      <c r="H384" t="s">
        <v>34</v>
      </c>
      <c r="I384" t="s">
        <v>35</v>
      </c>
      <c r="J384" s="3">
        <v>0.05</v>
      </c>
      <c r="K384" t="s">
        <v>42</v>
      </c>
      <c r="L384">
        <v>70.224000000000004</v>
      </c>
      <c r="M384" t="s">
        <v>47</v>
      </c>
      <c r="N384" t="s">
        <v>49</v>
      </c>
      <c r="O384">
        <v>0</v>
      </c>
      <c r="P384" t="s">
        <v>433</v>
      </c>
      <c r="Q384" t="s">
        <v>1924</v>
      </c>
      <c r="R384">
        <v>34.270000000000003</v>
      </c>
      <c r="S384" s="5">
        <v>45030</v>
      </c>
      <c r="T384" s="5">
        <v>45035</v>
      </c>
      <c r="U384" t="s">
        <v>2925</v>
      </c>
    </row>
    <row r="385" spans="1:21" x14ac:dyDescent="0.25">
      <c r="A385" s="5">
        <v>45078</v>
      </c>
      <c r="B385" s="7">
        <f>Table1[[#This Row],[TotalPrice]] * (1 - Table1[[#This Row],[Discount]])</f>
        <v>452.59560000000005</v>
      </c>
      <c r="C385" s="7">
        <f>Table1[[#This Row],[Net Sales]] * 0.2</f>
        <v>90.519120000000015</v>
      </c>
      <c r="D385" t="s">
        <v>20</v>
      </c>
      <c r="E385" t="s">
        <v>30</v>
      </c>
      <c r="F385">
        <v>2</v>
      </c>
      <c r="G385">
        <v>279.38</v>
      </c>
      <c r="H385" t="s">
        <v>34</v>
      </c>
      <c r="I385" t="s">
        <v>36</v>
      </c>
      <c r="J385" s="3">
        <v>0.1</v>
      </c>
      <c r="K385" t="s">
        <v>40</v>
      </c>
      <c r="L385">
        <v>502.88400000000001</v>
      </c>
      <c r="M385" t="s">
        <v>43</v>
      </c>
      <c r="N385" t="s">
        <v>48</v>
      </c>
      <c r="O385">
        <v>0</v>
      </c>
      <c r="P385" t="s">
        <v>434</v>
      </c>
      <c r="Q385" t="s">
        <v>1925</v>
      </c>
      <c r="R385">
        <v>22.95</v>
      </c>
      <c r="S385" s="5">
        <v>45078</v>
      </c>
      <c r="T385" s="5">
        <v>45083</v>
      </c>
      <c r="U385" t="s">
        <v>2923</v>
      </c>
    </row>
    <row r="386" spans="1:21" x14ac:dyDescent="0.25">
      <c r="A386" s="5">
        <v>45764</v>
      </c>
      <c r="B386" s="7">
        <f>Table1[[#This Row],[TotalPrice]] * (1 - Table1[[#This Row],[Discount]])</f>
        <v>1514.8620000000001</v>
      </c>
      <c r="C386" s="7">
        <f>Table1[[#This Row],[Net Sales]] * 0.2</f>
        <v>302.97240000000005</v>
      </c>
      <c r="D386" t="s">
        <v>22</v>
      </c>
      <c r="E386" t="s">
        <v>25</v>
      </c>
      <c r="F386">
        <v>9</v>
      </c>
      <c r="G386">
        <v>207.8</v>
      </c>
      <c r="H386" t="s">
        <v>34</v>
      </c>
      <c r="I386" t="s">
        <v>36</v>
      </c>
      <c r="J386" s="3">
        <v>0.1</v>
      </c>
      <c r="K386" t="s">
        <v>38</v>
      </c>
      <c r="L386">
        <v>1683.18</v>
      </c>
      <c r="M386" t="s">
        <v>43</v>
      </c>
      <c r="N386" t="s">
        <v>50</v>
      </c>
      <c r="O386">
        <v>0</v>
      </c>
      <c r="P386" t="s">
        <v>435</v>
      </c>
      <c r="Q386" t="s">
        <v>1926</v>
      </c>
      <c r="R386">
        <v>16.989999999999998</v>
      </c>
      <c r="S386" s="5">
        <v>45764</v>
      </c>
      <c r="T386" s="5">
        <v>45767</v>
      </c>
      <c r="U386" t="s">
        <v>2925</v>
      </c>
    </row>
    <row r="387" spans="1:21" x14ac:dyDescent="0.25">
      <c r="A387" s="5">
        <v>45747</v>
      </c>
      <c r="B387" s="7">
        <f>Table1[[#This Row],[TotalPrice]] * (1 - Table1[[#This Row],[Discount]])</f>
        <v>6929.575499999999</v>
      </c>
      <c r="C387" s="7">
        <f>Table1[[#This Row],[Net Sales]] * 0.2</f>
        <v>1385.9150999999999</v>
      </c>
      <c r="D387" t="s">
        <v>19</v>
      </c>
      <c r="E387" t="s">
        <v>30</v>
      </c>
      <c r="F387">
        <v>15</v>
      </c>
      <c r="G387">
        <v>511.88</v>
      </c>
      <c r="H387" t="s">
        <v>33</v>
      </c>
      <c r="I387" t="s">
        <v>35</v>
      </c>
      <c r="J387" s="3">
        <v>0.05</v>
      </c>
      <c r="K387" t="s">
        <v>42</v>
      </c>
      <c r="L387">
        <v>7294.2899999999991</v>
      </c>
      <c r="M387" t="s">
        <v>47</v>
      </c>
      <c r="N387" t="s">
        <v>49</v>
      </c>
      <c r="O387">
        <v>0</v>
      </c>
      <c r="P387" t="s">
        <v>436</v>
      </c>
      <c r="Q387" t="s">
        <v>1927</v>
      </c>
      <c r="R387">
        <v>10.220000000000001</v>
      </c>
      <c r="S387" s="5">
        <v>45747</v>
      </c>
      <c r="T387" s="5">
        <v>45756</v>
      </c>
      <c r="U387" t="s">
        <v>2922</v>
      </c>
    </row>
    <row r="388" spans="1:21" x14ac:dyDescent="0.25">
      <c r="A388" s="5">
        <v>45488</v>
      </c>
      <c r="B388" s="7">
        <f>Table1[[#This Row],[TotalPrice]] * (1 - Table1[[#This Row],[Discount]])</f>
        <v>3259.7</v>
      </c>
      <c r="C388" s="7">
        <f>Table1[[#This Row],[Net Sales]] * 0.2</f>
        <v>651.94000000000005</v>
      </c>
      <c r="D388" t="s">
        <v>19</v>
      </c>
      <c r="E388" t="s">
        <v>30</v>
      </c>
      <c r="F388">
        <v>10</v>
      </c>
      <c r="G388">
        <v>325.97000000000003</v>
      </c>
      <c r="H388" t="s">
        <v>34</v>
      </c>
      <c r="I388" t="s">
        <v>36</v>
      </c>
      <c r="J388" s="3">
        <v>0</v>
      </c>
      <c r="K388" t="s">
        <v>42</v>
      </c>
      <c r="L388">
        <v>3259.7</v>
      </c>
      <c r="M388" t="s">
        <v>47</v>
      </c>
      <c r="N388" t="s">
        <v>48</v>
      </c>
      <c r="O388">
        <v>1</v>
      </c>
      <c r="P388" t="s">
        <v>437</v>
      </c>
      <c r="Q388" t="s">
        <v>1928</v>
      </c>
      <c r="R388">
        <v>49.95</v>
      </c>
      <c r="S388" s="5">
        <v>45488</v>
      </c>
      <c r="T388" s="5">
        <v>45495</v>
      </c>
      <c r="U388" t="s">
        <v>2922</v>
      </c>
    </row>
    <row r="389" spans="1:21" x14ac:dyDescent="0.25">
      <c r="A389" s="5">
        <v>45534</v>
      </c>
      <c r="B389" s="7">
        <f>Table1[[#This Row],[TotalPrice]] * (1 - Table1[[#This Row],[Discount]])</f>
        <v>7978.44</v>
      </c>
      <c r="C389" s="7">
        <f>Table1[[#This Row],[Net Sales]] * 0.2</f>
        <v>1595.6880000000001</v>
      </c>
      <c r="D389" t="s">
        <v>20</v>
      </c>
      <c r="E389" t="s">
        <v>24</v>
      </c>
      <c r="F389">
        <v>17</v>
      </c>
      <c r="G389">
        <v>469.32</v>
      </c>
      <c r="H389" t="s">
        <v>31</v>
      </c>
      <c r="I389" t="s">
        <v>36</v>
      </c>
      <c r="J389" s="3">
        <v>0</v>
      </c>
      <c r="K389" t="s">
        <v>40</v>
      </c>
      <c r="L389">
        <v>7978.44</v>
      </c>
      <c r="M389" t="s">
        <v>44</v>
      </c>
      <c r="N389" t="s">
        <v>50</v>
      </c>
      <c r="O389">
        <v>1</v>
      </c>
      <c r="P389" t="s">
        <v>438</v>
      </c>
      <c r="Q389" t="s">
        <v>1929</v>
      </c>
      <c r="R389">
        <v>5.86</v>
      </c>
      <c r="S389" s="5">
        <v>45534</v>
      </c>
      <c r="T389" s="5">
        <v>45536</v>
      </c>
      <c r="U389" t="s">
        <v>2923</v>
      </c>
    </row>
    <row r="390" spans="1:21" x14ac:dyDescent="0.25">
      <c r="A390" s="5">
        <v>45664</v>
      </c>
      <c r="B390" s="7">
        <f>Table1[[#This Row],[TotalPrice]] * (1 - Table1[[#This Row],[Discount]])</f>
        <v>2426.9699999999998</v>
      </c>
      <c r="C390" s="7">
        <f>Table1[[#This Row],[Net Sales]] * 0.2</f>
        <v>485.39400000000001</v>
      </c>
      <c r="D390" t="s">
        <v>22</v>
      </c>
      <c r="E390" t="s">
        <v>25</v>
      </c>
      <c r="F390">
        <v>13</v>
      </c>
      <c r="G390">
        <v>186.69</v>
      </c>
      <c r="H390" t="s">
        <v>34</v>
      </c>
      <c r="I390" t="s">
        <v>35</v>
      </c>
      <c r="J390" s="3">
        <v>0</v>
      </c>
      <c r="K390" t="s">
        <v>42</v>
      </c>
      <c r="L390">
        <v>2426.9699999999998</v>
      </c>
      <c r="M390" t="s">
        <v>47</v>
      </c>
      <c r="N390" t="s">
        <v>48</v>
      </c>
      <c r="O390">
        <v>0</v>
      </c>
      <c r="P390" t="s">
        <v>439</v>
      </c>
      <c r="Q390" t="s">
        <v>1930</v>
      </c>
      <c r="R390">
        <v>19.920000000000002</v>
      </c>
      <c r="S390" s="5">
        <v>45664</v>
      </c>
      <c r="T390" s="5">
        <v>45667</v>
      </c>
      <c r="U390" t="s">
        <v>2925</v>
      </c>
    </row>
    <row r="391" spans="1:21" x14ac:dyDescent="0.25">
      <c r="A391" s="5">
        <v>45693</v>
      </c>
      <c r="B391" s="7">
        <f>Table1[[#This Row],[TotalPrice]] * (1 - Table1[[#This Row],[Discount]])</f>
        <v>500.49039999999985</v>
      </c>
      <c r="C391" s="7">
        <f>Table1[[#This Row],[Net Sales]] * 0.2</f>
        <v>100.09807999999998</v>
      </c>
      <c r="D391" t="s">
        <v>20</v>
      </c>
      <c r="E391" t="s">
        <v>25</v>
      </c>
      <c r="F391">
        <v>16</v>
      </c>
      <c r="G391">
        <v>34.659999999999997</v>
      </c>
      <c r="H391" t="s">
        <v>33</v>
      </c>
      <c r="I391" t="s">
        <v>36</v>
      </c>
      <c r="J391" s="3">
        <v>0.05</v>
      </c>
      <c r="K391" t="s">
        <v>38</v>
      </c>
      <c r="L391">
        <v>526.83199999999988</v>
      </c>
      <c r="M391" t="s">
        <v>46</v>
      </c>
      <c r="O391">
        <v>0</v>
      </c>
      <c r="P391" t="s">
        <v>440</v>
      </c>
      <c r="Q391" t="s">
        <v>1931</v>
      </c>
      <c r="R391">
        <v>49.9</v>
      </c>
      <c r="S391" s="5">
        <v>45693</v>
      </c>
      <c r="T391" s="5">
        <v>45699</v>
      </c>
      <c r="U391" t="s">
        <v>2923</v>
      </c>
    </row>
    <row r="392" spans="1:21" x14ac:dyDescent="0.25">
      <c r="A392" s="5">
        <v>45383</v>
      </c>
      <c r="B392" s="7">
        <f>Table1[[#This Row],[TotalPrice]] * (1 - Table1[[#This Row],[Discount]])</f>
        <v>2016.2952</v>
      </c>
      <c r="C392" s="7">
        <f>Table1[[#This Row],[Net Sales]] * 0.2</f>
        <v>403.25904000000003</v>
      </c>
      <c r="D392" t="s">
        <v>21</v>
      </c>
      <c r="E392" t="s">
        <v>30</v>
      </c>
      <c r="F392">
        <v>18</v>
      </c>
      <c r="G392">
        <v>155.04</v>
      </c>
      <c r="H392" t="s">
        <v>31</v>
      </c>
      <c r="I392" t="s">
        <v>35</v>
      </c>
      <c r="J392" s="3">
        <v>0.15</v>
      </c>
      <c r="K392" t="s">
        <v>39</v>
      </c>
      <c r="L392">
        <v>2372.1120000000001</v>
      </c>
      <c r="M392" t="s">
        <v>47</v>
      </c>
      <c r="N392" t="s">
        <v>50</v>
      </c>
      <c r="O392">
        <v>0</v>
      </c>
      <c r="P392" t="s">
        <v>441</v>
      </c>
      <c r="Q392" t="s">
        <v>1932</v>
      </c>
      <c r="R392">
        <v>39.99</v>
      </c>
      <c r="S392" s="5">
        <v>45383</v>
      </c>
      <c r="T392" s="5">
        <v>45386</v>
      </c>
      <c r="U392" t="s">
        <v>2924</v>
      </c>
    </row>
    <row r="393" spans="1:21" x14ac:dyDescent="0.25">
      <c r="A393" s="5">
        <v>45717</v>
      </c>
      <c r="B393" s="7">
        <f>Table1[[#This Row],[TotalPrice]] * (1 - Table1[[#This Row],[Discount]])</f>
        <v>251.256</v>
      </c>
      <c r="C393" s="7">
        <f>Table1[[#This Row],[Net Sales]] * 0.2</f>
        <v>50.251200000000004</v>
      </c>
      <c r="D393" t="s">
        <v>23</v>
      </c>
      <c r="E393" t="s">
        <v>28</v>
      </c>
      <c r="F393">
        <v>4</v>
      </c>
      <c r="G393">
        <v>69.599999999999994</v>
      </c>
      <c r="H393" t="s">
        <v>34</v>
      </c>
      <c r="I393" t="s">
        <v>35</v>
      </c>
      <c r="J393" s="3">
        <v>0.05</v>
      </c>
      <c r="K393" t="s">
        <v>37</v>
      </c>
      <c r="L393">
        <v>264.48</v>
      </c>
      <c r="M393" t="s">
        <v>44</v>
      </c>
      <c r="N393" t="s">
        <v>49</v>
      </c>
      <c r="O393">
        <v>0</v>
      </c>
      <c r="P393" t="s">
        <v>442</v>
      </c>
      <c r="Q393" t="s">
        <v>1933</v>
      </c>
      <c r="R393">
        <v>17.68</v>
      </c>
      <c r="S393" s="5">
        <v>45717</v>
      </c>
      <c r="T393" s="5">
        <v>45725</v>
      </c>
      <c r="U393" t="s">
        <v>2926</v>
      </c>
    </row>
    <row r="394" spans="1:21" x14ac:dyDescent="0.25">
      <c r="A394" s="5">
        <v>45110</v>
      </c>
      <c r="B394" s="7">
        <f>Table1[[#This Row],[TotalPrice]] * (1 - Table1[[#This Row],[Discount]])</f>
        <v>517.43282499999998</v>
      </c>
      <c r="C394" s="7">
        <f>Table1[[#This Row],[Net Sales]] * 0.2</f>
        <v>103.486565</v>
      </c>
      <c r="D394" t="s">
        <v>22</v>
      </c>
      <c r="E394" t="s">
        <v>28</v>
      </c>
      <c r="F394">
        <v>13</v>
      </c>
      <c r="G394">
        <v>55.09</v>
      </c>
      <c r="H394" t="s">
        <v>32</v>
      </c>
      <c r="I394" t="s">
        <v>35</v>
      </c>
      <c r="J394" s="3">
        <v>0.15</v>
      </c>
      <c r="K394" t="s">
        <v>41</v>
      </c>
      <c r="L394">
        <v>608.74450000000002</v>
      </c>
      <c r="M394" t="s">
        <v>47</v>
      </c>
      <c r="N394" t="s">
        <v>48</v>
      </c>
      <c r="O394">
        <v>1</v>
      </c>
      <c r="P394" t="s">
        <v>443</v>
      </c>
      <c r="Q394" t="s">
        <v>1934</v>
      </c>
      <c r="R394">
        <v>47.78</v>
      </c>
      <c r="S394" s="5">
        <v>45110</v>
      </c>
      <c r="T394" s="5">
        <v>45113</v>
      </c>
      <c r="U394" t="s">
        <v>2925</v>
      </c>
    </row>
    <row r="395" spans="1:21" x14ac:dyDescent="0.25">
      <c r="A395" s="5">
        <v>45041</v>
      </c>
      <c r="B395" s="7">
        <f>Table1[[#This Row],[TotalPrice]] * (1 - Table1[[#This Row],[Discount]])</f>
        <v>1935.8881749999998</v>
      </c>
      <c r="C395" s="7">
        <f>Table1[[#This Row],[Net Sales]] * 0.2</f>
        <v>387.17763500000001</v>
      </c>
      <c r="D395" t="s">
        <v>22</v>
      </c>
      <c r="E395" t="s">
        <v>24</v>
      </c>
      <c r="F395">
        <v>13</v>
      </c>
      <c r="G395">
        <v>206.11</v>
      </c>
      <c r="H395" t="s">
        <v>31</v>
      </c>
      <c r="I395" t="s">
        <v>36</v>
      </c>
      <c r="J395" s="3">
        <v>0.15</v>
      </c>
      <c r="K395" t="s">
        <v>42</v>
      </c>
      <c r="L395">
        <v>2277.5155</v>
      </c>
      <c r="M395" t="s">
        <v>44</v>
      </c>
      <c r="N395" t="s">
        <v>49</v>
      </c>
      <c r="O395">
        <v>1</v>
      </c>
      <c r="P395" t="s">
        <v>444</v>
      </c>
      <c r="Q395" t="s">
        <v>1935</v>
      </c>
      <c r="R395">
        <v>22.59</v>
      </c>
      <c r="S395" s="5">
        <v>45041</v>
      </c>
      <c r="T395" s="5">
        <v>45047</v>
      </c>
      <c r="U395" t="s">
        <v>2925</v>
      </c>
    </row>
    <row r="396" spans="1:21" x14ac:dyDescent="0.25">
      <c r="A396" s="5">
        <v>45756</v>
      </c>
      <c r="B396" s="7">
        <f>Table1[[#This Row],[TotalPrice]] * (1 - Table1[[#This Row],[Discount]])</f>
        <v>6120.1412999999984</v>
      </c>
      <c r="C396" s="7">
        <f>Table1[[#This Row],[Net Sales]] * 0.2</f>
        <v>1224.0282599999998</v>
      </c>
      <c r="D396" t="s">
        <v>23</v>
      </c>
      <c r="E396" t="s">
        <v>29</v>
      </c>
      <c r="F396">
        <v>14</v>
      </c>
      <c r="G396">
        <v>484.38</v>
      </c>
      <c r="H396" t="s">
        <v>34</v>
      </c>
      <c r="I396" t="s">
        <v>36</v>
      </c>
      <c r="J396" s="3">
        <v>0.05</v>
      </c>
      <c r="K396" t="s">
        <v>39</v>
      </c>
      <c r="L396">
        <v>6442.253999999999</v>
      </c>
      <c r="M396" t="s">
        <v>46</v>
      </c>
      <c r="N396" t="s">
        <v>49</v>
      </c>
      <c r="O396">
        <v>0</v>
      </c>
      <c r="P396" t="s">
        <v>445</v>
      </c>
      <c r="Q396" t="s">
        <v>1936</v>
      </c>
      <c r="R396">
        <v>29.24</v>
      </c>
      <c r="S396" s="5">
        <v>45756</v>
      </c>
      <c r="T396" s="5">
        <v>45766</v>
      </c>
      <c r="U396" t="s">
        <v>2926</v>
      </c>
    </row>
    <row r="397" spans="1:21" x14ac:dyDescent="0.25">
      <c r="A397" s="5">
        <v>45235</v>
      </c>
      <c r="B397" s="7">
        <f>Table1[[#This Row],[TotalPrice]] * (1 - Table1[[#This Row],[Discount]])</f>
        <v>2697.42</v>
      </c>
      <c r="C397" s="7">
        <f>Table1[[#This Row],[Net Sales]] * 0.2</f>
        <v>539.48400000000004</v>
      </c>
      <c r="D397" t="s">
        <v>21</v>
      </c>
      <c r="E397" t="s">
        <v>28</v>
      </c>
      <c r="F397">
        <v>6</v>
      </c>
      <c r="G397">
        <v>449.57</v>
      </c>
      <c r="H397" t="s">
        <v>34</v>
      </c>
      <c r="I397" t="s">
        <v>35</v>
      </c>
      <c r="J397" s="3">
        <v>0</v>
      </c>
      <c r="K397" t="s">
        <v>39</v>
      </c>
      <c r="L397">
        <v>2697.42</v>
      </c>
      <c r="M397" t="s">
        <v>44</v>
      </c>
      <c r="N397" t="s">
        <v>50</v>
      </c>
      <c r="O397">
        <v>0</v>
      </c>
      <c r="P397" t="s">
        <v>446</v>
      </c>
      <c r="Q397" t="s">
        <v>1937</v>
      </c>
      <c r="R397">
        <v>23.09</v>
      </c>
      <c r="S397" s="5">
        <v>45235</v>
      </c>
      <c r="T397" s="5">
        <v>45242</v>
      </c>
      <c r="U397" t="s">
        <v>2924</v>
      </c>
    </row>
    <row r="398" spans="1:21" x14ac:dyDescent="0.25">
      <c r="A398" s="5">
        <v>44939</v>
      </c>
      <c r="B398" s="7">
        <f>Table1[[#This Row],[TotalPrice]] * (1 - Table1[[#This Row],[Discount]])</f>
        <v>2007.09</v>
      </c>
      <c r="C398" s="7">
        <f>Table1[[#This Row],[Net Sales]] * 0.2</f>
        <v>401.41800000000001</v>
      </c>
      <c r="D398" t="s">
        <v>19</v>
      </c>
      <c r="E398" t="s">
        <v>24</v>
      </c>
      <c r="F398">
        <v>9</v>
      </c>
      <c r="G398">
        <v>223.01</v>
      </c>
      <c r="H398" t="s">
        <v>33</v>
      </c>
      <c r="I398" t="s">
        <v>36</v>
      </c>
      <c r="J398" s="3">
        <v>0</v>
      </c>
      <c r="K398" t="s">
        <v>41</v>
      </c>
      <c r="L398">
        <v>2007.09</v>
      </c>
      <c r="M398" t="s">
        <v>47</v>
      </c>
      <c r="O398">
        <v>1</v>
      </c>
      <c r="P398" t="s">
        <v>447</v>
      </c>
      <c r="Q398" t="s">
        <v>1938</v>
      </c>
      <c r="R398">
        <v>11.9</v>
      </c>
      <c r="S398" s="5">
        <v>44939</v>
      </c>
      <c r="T398" s="5">
        <v>44945</v>
      </c>
      <c r="U398" t="s">
        <v>2922</v>
      </c>
    </row>
    <row r="399" spans="1:21" x14ac:dyDescent="0.25">
      <c r="A399" s="5">
        <v>45694</v>
      </c>
      <c r="B399" s="7">
        <f>Table1[[#This Row],[TotalPrice]] * (1 - Table1[[#This Row],[Discount]])</f>
        <v>2952.6696499999998</v>
      </c>
      <c r="C399" s="7">
        <f>Table1[[#This Row],[Net Sales]] * 0.2</f>
        <v>590.53392999999994</v>
      </c>
      <c r="D399" t="s">
        <v>23</v>
      </c>
      <c r="E399" t="s">
        <v>27</v>
      </c>
      <c r="F399">
        <v>14</v>
      </c>
      <c r="G399">
        <v>291.91000000000003</v>
      </c>
      <c r="H399" t="s">
        <v>32</v>
      </c>
      <c r="I399" t="s">
        <v>36</v>
      </c>
      <c r="J399" s="3">
        <v>0.15</v>
      </c>
      <c r="K399" t="s">
        <v>39</v>
      </c>
      <c r="L399">
        <v>3473.7289999999998</v>
      </c>
      <c r="M399" t="s">
        <v>45</v>
      </c>
      <c r="O399">
        <v>0</v>
      </c>
      <c r="P399" t="s">
        <v>448</v>
      </c>
      <c r="Q399" t="s">
        <v>1939</v>
      </c>
      <c r="R399">
        <v>27.51</v>
      </c>
      <c r="S399" s="5">
        <v>45694</v>
      </c>
      <c r="T399" s="5">
        <v>45698</v>
      </c>
      <c r="U399" t="s">
        <v>2926</v>
      </c>
    </row>
    <row r="400" spans="1:21" x14ac:dyDescent="0.25">
      <c r="A400" s="5">
        <v>45066</v>
      </c>
      <c r="B400" s="7">
        <f>Table1[[#This Row],[TotalPrice]] * (1 - Table1[[#This Row],[Discount]])</f>
        <v>1181.18</v>
      </c>
      <c r="C400" s="7">
        <f>Table1[[#This Row],[Net Sales]] * 0.2</f>
        <v>236.23600000000002</v>
      </c>
      <c r="D400" t="s">
        <v>20</v>
      </c>
      <c r="E400" t="s">
        <v>28</v>
      </c>
      <c r="F400">
        <v>13</v>
      </c>
      <c r="G400">
        <v>90.86</v>
      </c>
      <c r="H400" t="s">
        <v>32</v>
      </c>
      <c r="I400" t="s">
        <v>35</v>
      </c>
      <c r="J400" s="3">
        <v>0</v>
      </c>
      <c r="K400" t="s">
        <v>40</v>
      </c>
      <c r="L400">
        <v>1181.18</v>
      </c>
      <c r="M400" t="s">
        <v>44</v>
      </c>
      <c r="N400" t="s">
        <v>49</v>
      </c>
      <c r="O400">
        <v>0</v>
      </c>
      <c r="P400" t="s">
        <v>449</v>
      </c>
      <c r="Q400" t="s">
        <v>1940</v>
      </c>
      <c r="R400">
        <v>16.739999999999998</v>
      </c>
      <c r="S400" s="5">
        <v>45066</v>
      </c>
      <c r="T400" s="5">
        <v>45071</v>
      </c>
      <c r="U400" t="s">
        <v>2923</v>
      </c>
    </row>
    <row r="401" spans="1:21" x14ac:dyDescent="0.25">
      <c r="A401" s="5">
        <v>45826</v>
      </c>
      <c r="B401" s="7">
        <f>Table1[[#This Row],[TotalPrice]] * (1 - Table1[[#This Row],[Discount]])</f>
        <v>436.2</v>
      </c>
      <c r="C401" s="7">
        <f>Table1[[#This Row],[Net Sales]] * 0.2</f>
        <v>87.240000000000009</v>
      </c>
      <c r="D401" t="s">
        <v>19</v>
      </c>
      <c r="E401" t="s">
        <v>26</v>
      </c>
      <c r="F401">
        <v>4</v>
      </c>
      <c r="G401">
        <v>109.05</v>
      </c>
      <c r="H401" t="s">
        <v>34</v>
      </c>
      <c r="I401" t="s">
        <v>35</v>
      </c>
      <c r="J401" s="3">
        <v>0</v>
      </c>
      <c r="K401" t="s">
        <v>41</v>
      </c>
      <c r="L401">
        <v>436.2</v>
      </c>
      <c r="M401" t="s">
        <v>44</v>
      </c>
      <c r="N401" t="s">
        <v>50</v>
      </c>
      <c r="O401">
        <v>0</v>
      </c>
      <c r="P401" t="s">
        <v>450</v>
      </c>
      <c r="Q401" t="s">
        <v>1941</v>
      </c>
      <c r="R401">
        <v>21.02</v>
      </c>
      <c r="S401" s="5">
        <v>45826</v>
      </c>
      <c r="T401" s="5">
        <v>45832</v>
      </c>
      <c r="U401" t="s">
        <v>2922</v>
      </c>
    </row>
    <row r="402" spans="1:21" x14ac:dyDescent="0.25">
      <c r="A402" s="5">
        <v>44980</v>
      </c>
      <c r="B402" s="7">
        <f>Table1[[#This Row],[TotalPrice]] * (1 - Table1[[#This Row],[Discount]])</f>
        <v>2947.2</v>
      </c>
      <c r="C402" s="7">
        <f>Table1[[#This Row],[Net Sales]] * 0.2</f>
        <v>589.43999999999994</v>
      </c>
      <c r="D402" t="s">
        <v>23</v>
      </c>
      <c r="E402" t="s">
        <v>29</v>
      </c>
      <c r="F402">
        <v>12</v>
      </c>
      <c r="G402">
        <v>245.6</v>
      </c>
      <c r="H402" t="s">
        <v>34</v>
      </c>
      <c r="I402" t="s">
        <v>36</v>
      </c>
      <c r="J402" s="3">
        <v>0</v>
      </c>
      <c r="K402" t="s">
        <v>42</v>
      </c>
      <c r="L402">
        <v>2947.2</v>
      </c>
      <c r="M402" t="s">
        <v>47</v>
      </c>
      <c r="N402" t="s">
        <v>48</v>
      </c>
      <c r="O402">
        <v>1</v>
      </c>
      <c r="P402" t="s">
        <v>451</v>
      </c>
      <c r="Q402" t="s">
        <v>1942</v>
      </c>
      <c r="R402">
        <v>43.92</v>
      </c>
      <c r="S402" s="5">
        <v>44980</v>
      </c>
      <c r="T402" s="5">
        <v>44984</v>
      </c>
      <c r="U402" t="s">
        <v>2926</v>
      </c>
    </row>
    <row r="403" spans="1:21" x14ac:dyDescent="0.25">
      <c r="A403" s="5">
        <v>45605</v>
      </c>
      <c r="B403" s="7">
        <f>Table1[[#This Row],[TotalPrice]] * (1 - Table1[[#This Row],[Discount]])</f>
        <v>5700.45</v>
      </c>
      <c r="C403" s="7">
        <f>Table1[[#This Row],[Net Sales]] * 0.2</f>
        <v>1140.0899999999999</v>
      </c>
      <c r="D403" t="s">
        <v>19</v>
      </c>
      <c r="E403" t="s">
        <v>30</v>
      </c>
      <c r="F403">
        <v>15</v>
      </c>
      <c r="G403">
        <v>380.03</v>
      </c>
      <c r="H403" t="s">
        <v>32</v>
      </c>
      <c r="I403" t="s">
        <v>36</v>
      </c>
      <c r="J403" s="3">
        <v>0</v>
      </c>
      <c r="K403" t="s">
        <v>42</v>
      </c>
      <c r="L403">
        <v>5700.45</v>
      </c>
      <c r="M403" t="s">
        <v>43</v>
      </c>
      <c r="O403">
        <v>0</v>
      </c>
      <c r="P403" t="s">
        <v>452</v>
      </c>
      <c r="Q403" t="s">
        <v>1943</v>
      </c>
      <c r="R403">
        <v>25.72</v>
      </c>
      <c r="S403" s="5">
        <v>45605</v>
      </c>
      <c r="T403" s="5">
        <v>45608</v>
      </c>
      <c r="U403" t="s">
        <v>2922</v>
      </c>
    </row>
    <row r="404" spans="1:21" x14ac:dyDescent="0.25">
      <c r="A404" s="5">
        <v>45498</v>
      </c>
      <c r="B404" s="7">
        <f>Table1[[#This Row],[TotalPrice]] * (1 - Table1[[#This Row],[Discount]])</f>
        <v>1130.5978500000001</v>
      </c>
      <c r="C404" s="7">
        <f>Table1[[#This Row],[Net Sales]] * 0.2</f>
        <v>226.11957000000004</v>
      </c>
      <c r="D404" t="s">
        <v>20</v>
      </c>
      <c r="E404" t="s">
        <v>29</v>
      </c>
      <c r="F404">
        <v>3</v>
      </c>
      <c r="G404">
        <v>417.58</v>
      </c>
      <c r="H404" t="s">
        <v>34</v>
      </c>
      <c r="I404" t="s">
        <v>36</v>
      </c>
      <c r="J404" s="3">
        <v>0.05</v>
      </c>
      <c r="K404" t="s">
        <v>39</v>
      </c>
      <c r="L404">
        <v>1190.1030000000001</v>
      </c>
      <c r="M404" t="s">
        <v>44</v>
      </c>
      <c r="N404" t="s">
        <v>49</v>
      </c>
      <c r="O404">
        <v>0</v>
      </c>
      <c r="P404" t="s">
        <v>453</v>
      </c>
      <c r="Q404" t="s">
        <v>1944</v>
      </c>
      <c r="R404">
        <v>43.42</v>
      </c>
      <c r="S404" s="5">
        <v>45498</v>
      </c>
      <c r="T404" s="5">
        <v>45504</v>
      </c>
      <c r="U404" t="s">
        <v>2923</v>
      </c>
    </row>
    <row r="405" spans="1:21" x14ac:dyDescent="0.25">
      <c r="A405" s="5">
        <v>45157</v>
      </c>
      <c r="B405" s="7">
        <f>Table1[[#This Row],[TotalPrice]] * (1 - Table1[[#This Row],[Discount]])</f>
        <v>4683.6423749999994</v>
      </c>
      <c r="C405" s="7">
        <f>Table1[[#This Row],[Net Sales]] * 0.2</f>
        <v>936.72847499999989</v>
      </c>
      <c r="D405" t="s">
        <v>23</v>
      </c>
      <c r="E405" t="s">
        <v>24</v>
      </c>
      <c r="F405">
        <v>15</v>
      </c>
      <c r="G405">
        <v>432.17</v>
      </c>
      <c r="H405" t="s">
        <v>34</v>
      </c>
      <c r="I405" t="s">
        <v>35</v>
      </c>
      <c r="J405" s="3">
        <v>0.15</v>
      </c>
      <c r="K405" t="s">
        <v>39</v>
      </c>
      <c r="L405">
        <v>5510.1674999999996</v>
      </c>
      <c r="M405" t="s">
        <v>46</v>
      </c>
      <c r="N405" t="s">
        <v>50</v>
      </c>
      <c r="O405">
        <v>0</v>
      </c>
      <c r="P405" t="s">
        <v>454</v>
      </c>
      <c r="Q405" t="s">
        <v>1945</v>
      </c>
      <c r="R405">
        <v>44.88</v>
      </c>
      <c r="S405" s="5">
        <v>45157</v>
      </c>
      <c r="T405" s="5">
        <v>45161</v>
      </c>
      <c r="U405" t="s">
        <v>2926</v>
      </c>
    </row>
    <row r="406" spans="1:21" x14ac:dyDescent="0.25">
      <c r="A406" s="5">
        <v>45243</v>
      </c>
      <c r="B406" s="7">
        <f>Table1[[#This Row],[TotalPrice]] * (1 - Table1[[#This Row],[Discount]])</f>
        <v>5599.5381000000007</v>
      </c>
      <c r="C406" s="7">
        <f>Table1[[#This Row],[Net Sales]] * 0.2</f>
        <v>1119.9076200000002</v>
      </c>
      <c r="D406" t="s">
        <v>20</v>
      </c>
      <c r="E406" t="s">
        <v>28</v>
      </c>
      <c r="F406">
        <v>13</v>
      </c>
      <c r="G406">
        <v>531.77</v>
      </c>
      <c r="H406" t="s">
        <v>33</v>
      </c>
      <c r="I406" t="s">
        <v>36</v>
      </c>
      <c r="J406" s="3">
        <v>0.1</v>
      </c>
      <c r="K406" t="s">
        <v>42</v>
      </c>
      <c r="L406">
        <v>6221.7090000000007</v>
      </c>
      <c r="M406" t="s">
        <v>43</v>
      </c>
      <c r="N406" t="s">
        <v>49</v>
      </c>
      <c r="O406">
        <v>0</v>
      </c>
      <c r="P406" t="s">
        <v>455</v>
      </c>
      <c r="Q406" t="s">
        <v>1946</v>
      </c>
      <c r="R406">
        <v>37.909999999999997</v>
      </c>
      <c r="S406" s="5">
        <v>45243</v>
      </c>
      <c r="T406" s="5">
        <v>45245</v>
      </c>
      <c r="U406" t="s">
        <v>2923</v>
      </c>
    </row>
    <row r="407" spans="1:21" x14ac:dyDescent="0.25">
      <c r="A407" s="5">
        <v>45545</v>
      </c>
      <c r="B407" s="7">
        <f>Table1[[#This Row],[TotalPrice]] * (1 - Table1[[#This Row],[Discount]])</f>
        <v>5197.3801749999993</v>
      </c>
      <c r="C407" s="7">
        <f>Table1[[#This Row],[Net Sales]] * 0.2</f>
        <v>1039.4760349999999</v>
      </c>
      <c r="D407" t="s">
        <v>23</v>
      </c>
      <c r="E407" t="s">
        <v>29</v>
      </c>
      <c r="F407">
        <v>13</v>
      </c>
      <c r="G407">
        <v>442.99</v>
      </c>
      <c r="H407" t="s">
        <v>32</v>
      </c>
      <c r="I407" t="s">
        <v>35</v>
      </c>
      <c r="J407" s="3">
        <v>0.05</v>
      </c>
      <c r="K407" t="s">
        <v>38</v>
      </c>
      <c r="L407">
        <v>5470.9264999999996</v>
      </c>
      <c r="M407" t="s">
        <v>44</v>
      </c>
      <c r="N407" t="s">
        <v>49</v>
      </c>
      <c r="O407">
        <v>0</v>
      </c>
      <c r="P407" t="s">
        <v>456</v>
      </c>
      <c r="Q407" t="s">
        <v>1947</v>
      </c>
      <c r="R407">
        <v>37.119999999999997</v>
      </c>
      <c r="S407" s="5">
        <v>45545</v>
      </c>
      <c r="T407" s="5">
        <v>45553</v>
      </c>
      <c r="U407" t="s">
        <v>2926</v>
      </c>
    </row>
    <row r="408" spans="1:21" x14ac:dyDescent="0.25">
      <c r="A408" s="5">
        <v>45534</v>
      </c>
      <c r="B408" s="7">
        <f>Table1[[#This Row],[TotalPrice]] * (1 - Table1[[#This Row],[Discount]])</f>
        <v>7377.5</v>
      </c>
      <c r="C408" s="7">
        <f>Table1[[#This Row],[Net Sales]] * 0.2</f>
        <v>1475.5</v>
      </c>
      <c r="D408" t="s">
        <v>22</v>
      </c>
      <c r="E408" t="s">
        <v>27</v>
      </c>
      <c r="F408">
        <v>13</v>
      </c>
      <c r="G408">
        <v>567.5</v>
      </c>
      <c r="H408" t="s">
        <v>32</v>
      </c>
      <c r="I408" t="s">
        <v>36</v>
      </c>
      <c r="J408" s="3">
        <v>0</v>
      </c>
      <c r="K408" t="s">
        <v>37</v>
      </c>
      <c r="L408">
        <v>7377.5</v>
      </c>
      <c r="M408" t="s">
        <v>45</v>
      </c>
      <c r="O408">
        <v>0</v>
      </c>
      <c r="P408" t="s">
        <v>457</v>
      </c>
      <c r="Q408" t="s">
        <v>1948</v>
      </c>
      <c r="R408">
        <v>28.41</v>
      </c>
      <c r="S408" s="5">
        <v>45534</v>
      </c>
      <c r="T408" s="5">
        <v>45537</v>
      </c>
      <c r="U408" t="s">
        <v>2925</v>
      </c>
    </row>
    <row r="409" spans="1:21" x14ac:dyDescent="0.25">
      <c r="A409" s="5">
        <v>45606</v>
      </c>
      <c r="B409" s="7">
        <f>Table1[[#This Row],[TotalPrice]] * (1 - Table1[[#This Row],[Discount]])</f>
        <v>7042.7999999999993</v>
      </c>
      <c r="C409" s="7">
        <f>Table1[[#This Row],[Net Sales]] * 0.2</f>
        <v>1408.56</v>
      </c>
      <c r="D409" t="s">
        <v>19</v>
      </c>
      <c r="E409" t="s">
        <v>29</v>
      </c>
      <c r="F409">
        <v>15</v>
      </c>
      <c r="G409">
        <v>469.52</v>
      </c>
      <c r="H409" t="s">
        <v>33</v>
      </c>
      <c r="I409" t="s">
        <v>35</v>
      </c>
      <c r="J409" s="3">
        <v>0</v>
      </c>
      <c r="K409" t="s">
        <v>38</v>
      </c>
      <c r="L409">
        <v>7042.7999999999993</v>
      </c>
      <c r="M409" t="s">
        <v>45</v>
      </c>
      <c r="N409" t="s">
        <v>48</v>
      </c>
      <c r="O409">
        <v>0</v>
      </c>
      <c r="P409" t="s">
        <v>458</v>
      </c>
      <c r="Q409" t="s">
        <v>1949</v>
      </c>
      <c r="R409">
        <v>35.6</v>
      </c>
      <c r="S409" s="5">
        <v>45606</v>
      </c>
      <c r="T409" s="5">
        <v>45613</v>
      </c>
      <c r="U409" t="s">
        <v>2922</v>
      </c>
    </row>
    <row r="410" spans="1:21" x14ac:dyDescent="0.25">
      <c r="A410" s="5">
        <v>45029</v>
      </c>
      <c r="B410" s="7">
        <f>Table1[[#This Row],[TotalPrice]] * (1 - Table1[[#This Row],[Discount]])</f>
        <v>286.17502499999995</v>
      </c>
      <c r="C410" s="7">
        <f>Table1[[#This Row],[Net Sales]] * 0.2</f>
        <v>57.235004999999994</v>
      </c>
      <c r="D410" t="s">
        <v>19</v>
      </c>
      <c r="E410" t="s">
        <v>30</v>
      </c>
      <c r="F410">
        <v>1</v>
      </c>
      <c r="G410">
        <v>396.09</v>
      </c>
      <c r="H410" t="s">
        <v>34</v>
      </c>
      <c r="I410" t="s">
        <v>35</v>
      </c>
      <c r="J410" s="3">
        <v>0.15</v>
      </c>
      <c r="K410" t="s">
        <v>39</v>
      </c>
      <c r="L410">
        <v>336.67649999999998</v>
      </c>
      <c r="M410" t="s">
        <v>45</v>
      </c>
      <c r="N410" t="s">
        <v>50</v>
      </c>
      <c r="O410">
        <v>0</v>
      </c>
      <c r="P410" t="s">
        <v>459</v>
      </c>
      <c r="Q410" t="s">
        <v>1950</v>
      </c>
      <c r="R410">
        <v>39.380000000000003</v>
      </c>
      <c r="S410" s="5">
        <v>45029</v>
      </c>
      <c r="T410" s="5">
        <v>45035</v>
      </c>
      <c r="U410" t="s">
        <v>2922</v>
      </c>
    </row>
    <row r="411" spans="1:21" x14ac:dyDescent="0.25">
      <c r="A411" s="5">
        <v>45250</v>
      </c>
      <c r="B411" s="7">
        <f>Table1[[#This Row],[TotalPrice]] * (1 - Table1[[#This Row],[Discount]])</f>
        <v>2119.7559000000001</v>
      </c>
      <c r="C411" s="7">
        <f>Table1[[#This Row],[Net Sales]] * 0.2</f>
        <v>423.95118000000002</v>
      </c>
      <c r="D411" t="s">
        <v>19</v>
      </c>
      <c r="E411" t="s">
        <v>24</v>
      </c>
      <c r="F411">
        <v>12</v>
      </c>
      <c r="G411">
        <v>195.73</v>
      </c>
      <c r="H411" t="s">
        <v>33</v>
      </c>
      <c r="I411" t="s">
        <v>35</v>
      </c>
      <c r="J411" s="3">
        <v>0.05</v>
      </c>
      <c r="K411" t="s">
        <v>38</v>
      </c>
      <c r="L411">
        <v>2231.3220000000001</v>
      </c>
      <c r="M411" t="s">
        <v>47</v>
      </c>
      <c r="N411" t="s">
        <v>49</v>
      </c>
      <c r="O411">
        <v>0</v>
      </c>
      <c r="P411" t="s">
        <v>460</v>
      </c>
      <c r="Q411" t="s">
        <v>1951</v>
      </c>
      <c r="R411">
        <v>37.090000000000003</v>
      </c>
      <c r="S411" s="5">
        <v>45250</v>
      </c>
      <c r="T411" s="5">
        <v>45257</v>
      </c>
      <c r="U411" t="s">
        <v>2922</v>
      </c>
    </row>
    <row r="412" spans="1:21" x14ac:dyDescent="0.25">
      <c r="A412" s="5">
        <v>45761</v>
      </c>
      <c r="B412" s="7">
        <f>Table1[[#This Row],[TotalPrice]] * (1 - Table1[[#This Row],[Discount]])</f>
        <v>1489.2169999999999</v>
      </c>
      <c r="C412" s="7">
        <f>Table1[[#This Row],[Net Sales]] * 0.2</f>
        <v>297.84339999999997</v>
      </c>
      <c r="D412" t="s">
        <v>21</v>
      </c>
      <c r="E412" t="s">
        <v>30</v>
      </c>
      <c r="F412">
        <v>5</v>
      </c>
      <c r="G412">
        <v>412.24</v>
      </c>
      <c r="H412" t="s">
        <v>31</v>
      </c>
      <c r="I412" t="s">
        <v>35</v>
      </c>
      <c r="J412" s="3">
        <v>0.15</v>
      </c>
      <c r="K412" t="s">
        <v>40</v>
      </c>
      <c r="L412">
        <v>1752.02</v>
      </c>
      <c r="M412" t="s">
        <v>47</v>
      </c>
      <c r="N412" t="s">
        <v>48</v>
      </c>
      <c r="O412">
        <v>0</v>
      </c>
      <c r="P412" t="s">
        <v>461</v>
      </c>
      <c r="Q412" t="s">
        <v>1755</v>
      </c>
      <c r="R412">
        <v>29.31</v>
      </c>
      <c r="S412" s="5">
        <v>45761</v>
      </c>
      <c r="T412" s="5">
        <v>45766</v>
      </c>
      <c r="U412" t="s">
        <v>2924</v>
      </c>
    </row>
    <row r="413" spans="1:21" x14ac:dyDescent="0.25">
      <c r="A413" s="5">
        <v>44989</v>
      </c>
      <c r="B413" s="7">
        <f>Table1[[#This Row],[TotalPrice]] * (1 - Table1[[#This Row],[Discount]])</f>
        <v>4438.6787499999991</v>
      </c>
      <c r="C413" s="7">
        <f>Table1[[#This Row],[Net Sales]] * 0.2</f>
        <v>887.73574999999983</v>
      </c>
      <c r="D413" t="s">
        <v>22</v>
      </c>
      <c r="E413" t="s">
        <v>28</v>
      </c>
      <c r="F413">
        <v>11</v>
      </c>
      <c r="G413">
        <v>558.5</v>
      </c>
      <c r="H413" t="s">
        <v>31</v>
      </c>
      <c r="I413" t="s">
        <v>36</v>
      </c>
      <c r="J413" s="3">
        <v>0.15</v>
      </c>
      <c r="K413" t="s">
        <v>40</v>
      </c>
      <c r="L413">
        <v>5221.9749999999995</v>
      </c>
      <c r="M413" t="s">
        <v>47</v>
      </c>
      <c r="N413" t="s">
        <v>50</v>
      </c>
      <c r="O413">
        <v>0</v>
      </c>
      <c r="P413" t="s">
        <v>462</v>
      </c>
      <c r="Q413" t="s">
        <v>1699</v>
      </c>
      <c r="R413">
        <v>48.15</v>
      </c>
      <c r="S413" s="5">
        <v>44989</v>
      </c>
      <c r="T413" s="5">
        <v>44994</v>
      </c>
      <c r="U413" t="s">
        <v>2925</v>
      </c>
    </row>
    <row r="414" spans="1:21" x14ac:dyDescent="0.25">
      <c r="A414" s="5">
        <v>45612</v>
      </c>
      <c r="B414" s="7">
        <f>Table1[[#This Row],[TotalPrice]] * (1 - Table1[[#This Row],[Discount]])</f>
        <v>506.73259999999993</v>
      </c>
      <c r="C414" s="7">
        <f>Table1[[#This Row],[Net Sales]] * 0.2</f>
        <v>101.34652</v>
      </c>
      <c r="D414" t="s">
        <v>21</v>
      </c>
      <c r="E414" t="s">
        <v>24</v>
      </c>
      <c r="F414">
        <v>4</v>
      </c>
      <c r="G414">
        <v>175.34</v>
      </c>
      <c r="H414" t="s">
        <v>33</v>
      </c>
      <c r="I414" t="s">
        <v>36</v>
      </c>
      <c r="J414" s="3">
        <v>0.15</v>
      </c>
      <c r="K414" t="s">
        <v>37</v>
      </c>
      <c r="L414">
        <v>596.15599999999995</v>
      </c>
      <c r="M414" t="s">
        <v>47</v>
      </c>
      <c r="N414" t="s">
        <v>48</v>
      </c>
      <c r="O414">
        <v>0</v>
      </c>
      <c r="P414" t="s">
        <v>463</v>
      </c>
      <c r="Q414" t="s">
        <v>1952</v>
      </c>
      <c r="R414">
        <v>40.86</v>
      </c>
      <c r="S414" s="5">
        <v>45612</v>
      </c>
      <c r="T414" s="5">
        <v>45615</v>
      </c>
      <c r="U414" t="s">
        <v>2924</v>
      </c>
    </row>
    <row r="415" spans="1:21" x14ac:dyDescent="0.25">
      <c r="A415" s="5">
        <v>45437</v>
      </c>
      <c r="B415" s="7">
        <f>Table1[[#This Row],[TotalPrice]] * (1 - Table1[[#This Row],[Discount]])</f>
        <v>9095.8700000000008</v>
      </c>
      <c r="C415" s="7">
        <f>Table1[[#This Row],[Net Sales]] * 0.2</f>
        <v>1819.1740000000002</v>
      </c>
      <c r="D415" t="s">
        <v>20</v>
      </c>
      <c r="E415" t="s">
        <v>24</v>
      </c>
      <c r="F415">
        <v>19</v>
      </c>
      <c r="G415">
        <v>478.73</v>
      </c>
      <c r="H415" t="s">
        <v>32</v>
      </c>
      <c r="I415" t="s">
        <v>36</v>
      </c>
      <c r="J415" s="3">
        <v>0</v>
      </c>
      <c r="K415" t="s">
        <v>39</v>
      </c>
      <c r="L415">
        <v>9095.8700000000008</v>
      </c>
      <c r="M415" t="s">
        <v>46</v>
      </c>
      <c r="N415" t="s">
        <v>50</v>
      </c>
      <c r="O415">
        <v>1</v>
      </c>
      <c r="P415" t="s">
        <v>464</v>
      </c>
      <c r="Q415" t="s">
        <v>1953</v>
      </c>
      <c r="R415">
        <v>46.46</v>
      </c>
      <c r="S415" s="5">
        <v>45437</v>
      </c>
      <c r="T415" s="5">
        <v>45445</v>
      </c>
      <c r="U415" t="s">
        <v>2923</v>
      </c>
    </row>
    <row r="416" spans="1:21" x14ac:dyDescent="0.25">
      <c r="A416" s="5">
        <v>45028</v>
      </c>
      <c r="B416" s="7">
        <f>Table1[[#This Row],[TotalPrice]] * (1 - Table1[[#This Row],[Discount]])</f>
        <v>1319.93525</v>
      </c>
      <c r="C416" s="7">
        <f>Table1[[#This Row],[Net Sales]] * 0.2</f>
        <v>263.98705000000001</v>
      </c>
      <c r="D416" t="s">
        <v>19</v>
      </c>
      <c r="E416" t="s">
        <v>26</v>
      </c>
      <c r="F416">
        <v>5</v>
      </c>
      <c r="G416">
        <v>365.38</v>
      </c>
      <c r="H416" t="s">
        <v>34</v>
      </c>
      <c r="I416" t="s">
        <v>35</v>
      </c>
      <c r="J416" s="3">
        <v>0.15</v>
      </c>
      <c r="K416" t="s">
        <v>38</v>
      </c>
      <c r="L416">
        <v>1552.865</v>
      </c>
      <c r="M416" t="s">
        <v>46</v>
      </c>
      <c r="N416" t="s">
        <v>49</v>
      </c>
      <c r="O416">
        <v>1</v>
      </c>
      <c r="P416" t="s">
        <v>465</v>
      </c>
      <c r="Q416" t="s">
        <v>1954</v>
      </c>
      <c r="R416">
        <v>5.66</v>
      </c>
      <c r="S416" s="5">
        <v>45028</v>
      </c>
      <c r="T416" s="5">
        <v>45031</v>
      </c>
      <c r="U416" t="s">
        <v>2922</v>
      </c>
    </row>
    <row r="417" spans="1:21" x14ac:dyDescent="0.25">
      <c r="A417" s="5">
        <v>44992</v>
      </c>
      <c r="B417" s="7">
        <f>Table1[[#This Row],[TotalPrice]] * (1 - Table1[[#This Row],[Discount]])</f>
        <v>2870.7092499999999</v>
      </c>
      <c r="C417" s="7">
        <f>Table1[[#This Row],[Net Sales]] * 0.2</f>
        <v>574.14184999999998</v>
      </c>
      <c r="D417" t="s">
        <v>20</v>
      </c>
      <c r="E417" t="s">
        <v>26</v>
      </c>
      <c r="F417">
        <v>10</v>
      </c>
      <c r="G417">
        <v>397.33</v>
      </c>
      <c r="H417" t="s">
        <v>31</v>
      </c>
      <c r="I417" t="s">
        <v>36</v>
      </c>
      <c r="J417" s="3">
        <v>0.15</v>
      </c>
      <c r="K417" t="s">
        <v>38</v>
      </c>
      <c r="L417">
        <v>3377.3049999999998</v>
      </c>
      <c r="M417" t="s">
        <v>45</v>
      </c>
      <c r="O417">
        <v>0</v>
      </c>
      <c r="P417" t="s">
        <v>466</v>
      </c>
      <c r="Q417" t="s">
        <v>1955</v>
      </c>
      <c r="R417">
        <v>10.199999999999999</v>
      </c>
      <c r="S417" s="5">
        <v>44992</v>
      </c>
      <c r="T417" s="5">
        <v>44998</v>
      </c>
      <c r="U417" t="s">
        <v>2923</v>
      </c>
    </row>
    <row r="418" spans="1:21" x14ac:dyDescent="0.25">
      <c r="A418" s="5">
        <v>45296</v>
      </c>
      <c r="B418" s="7">
        <f>Table1[[#This Row],[TotalPrice]] * (1 - Table1[[#This Row],[Discount]])</f>
        <v>3318.7076999999999</v>
      </c>
      <c r="C418" s="7">
        <f>Table1[[#This Row],[Net Sales]] * 0.2</f>
        <v>663.74153999999999</v>
      </c>
      <c r="D418" t="s">
        <v>22</v>
      </c>
      <c r="E418" t="s">
        <v>27</v>
      </c>
      <c r="F418">
        <v>17</v>
      </c>
      <c r="G418">
        <v>241.01</v>
      </c>
      <c r="H418" t="s">
        <v>32</v>
      </c>
      <c r="I418" t="s">
        <v>36</v>
      </c>
      <c r="J418" s="3">
        <v>0.1</v>
      </c>
      <c r="K418" t="s">
        <v>42</v>
      </c>
      <c r="L418">
        <v>3687.453</v>
      </c>
      <c r="M418" t="s">
        <v>46</v>
      </c>
      <c r="N418" t="s">
        <v>50</v>
      </c>
      <c r="O418">
        <v>0</v>
      </c>
      <c r="P418" t="s">
        <v>467</v>
      </c>
      <c r="Q418" t="s">
        <v>1956</v>
      </c>
      <c r="R418">
        <v>24.69</v>
      </c>
      <c r="S418" s="5">
        <v>45296</v>
      </c>
      <c r="T418" s="5">
        <v>45302</v>
      </c>
      <c r="U418" t="s">
        <v>2925</v>
      </c>
    </row>
    <row r="419" spans="1:21" x14ac:dyDescent="0.25">
      <c r="A419" s="5">
        <v>45596</v>
      </c>
      <c r="B419" s="7">
        <f>Table1[[#This Row],[TotalPrice]] * (1 - Table1[[#This Row],[Discount]])</f>
        <v>1397.4</v>
      </c>
      <c r="C419" s="7">
        <f>Table1[[#This Row],[Net Sales]] * 0.2</f>
        <v>279.48</v>
      </c>
      <c r="D419" t="s">
        <v>23</v>
      </c>
      <c r="E419" t="s">
        <v>26</v>
      </c>
      <c r="F419">
        <v>17</v>
      </c>
      <c r="G419">
        <v>82.2</v>
      </c>
      <c r="H419" t="s">
        <v>33</v>
      </c>
      <c r="I419" t="s">
        <v>35</v>
      </c>
      <c r="J419" s="3">
        <v>0</v>
      </c>
      <c r="K419" t="s">
        <v>38</v>
      </c>
      <c r="L419">
        <v>1397.4</v>
      </c>
      <c r="M419" t="s">
        <v>47</v>
      </c>
      <c r="N419" t="s">
        <v>50</v>
      </c>
      <c r="O419">
        <v>0</v>
      </c>
      <c r="P419" t="s">
        <v>468</v>
      </c>
      <c r="Q419" t="s">
        <v>1957</v>
      </c>
      <c r="R419">
        <v>32.5</v>
      </c>
      <c r="S419" s="5">
        <v>45596</v>
      </c>
      <c r="T419" s="5">
        <v>45606</v>
      </c>
      <c r="U419" t="s">
        <v>2926</v>
      </c>
    </row>
    <row r="420" spans="1:21" x14ac:dyDescent="0.25">
      <c r="A420" s="5">
        <v>45420</v>
      </c>
      <c r="B420" s="7">
        <f>Table1[[#This Row],[TotalPrice]] * (1 - Table1[[#This Row],[Discount]])</f>
        <v>2213.1792</v>
      </c>
      <c r="C420" s="7">
        <f>Table1[[#This Row],[Net Sales]] * 0.2</f>
        <v>442.63584000000003</v>
      </c>
      <c r="D420" t="s">
        <v>23</v>
      </c>
      <c r="E420" t="s">
        <v>28</v>
      </c>
      <c r="F420">
        <v>16</v>
      </c>
      <c r="G420">
        <v>170.77</v>
      </c>
      <c r="H420" t="s">
        <v>33</v>
      </c>
      <c r="I420" t="s">
        <v>36</v>
      </c>
      <c r="J420" s="3">
        <v>0.1</v>
      </c>
      <c r="K420" t="s">
        <v>39</v>
      </c>
      <c r="L420">
        <v>2459.0880000000002</v>
      </c>
      <c r="M420" t="s">
        <v>43</v>
      </c>
      <c r="N420" t="s">
        <v>49</v>
      </c>
      <c r="O420">
        <v>1</v>
      </c>
      <c r="P420" t="s">
        <v>469</v>
      </c>
      <c r="Q420" t="s">
        <v>1958</v>
      </c>
      <c r="R420">
        <v>45.93</v>
      </c>
      <c r="S420" s="5">
        <v>45420</v>
      </c>
      <c r="T420" s="5">
        <v>45426</v>
      </c>
      <c r="U420" t="s">
        <v>2926</v>
      </c>
    </row>
    <row r="421" spans="1:21" x14ac:dyDescent="0.25">
      <c r="A421" s="5">
        <v>45356</v>
      </c>
      <c r="B421" s="7">
        <f>Table1[[#This Row],[TotalPrice]] * (1 - Table1[[#This Row],[Discount]])</f>
        <v>5.9244999999999992</v>
      </c>
      <c r="C421" s="7">
        <f>Table1[[#This Row],[Net Sales]] * 0.2</f>
        <v>1.1848999999999998</v>
      </c>
      <c r="D421" t="s">
        <v>22</v>
      </c>
      <c r="E421" t="s">
        <v>28</v>
      </c>
      <c r="F421">
        <v>1</v>
      </c>
      <c r="G421">
        <v>8.1999999999999993</v>
      </c>
      <c r="H421" t="s">
        <v>33</v>
      </c>
      <c r="I421" t="s">
        <v>35</v>
      </c>
      <c r="J421" s="3">
        <v>0.15</v>
      </c>
      <c r="K421" t="s">
        <v>39</v>
      </c>
      <c r="L421">
        <v>6.9699999999999989</v>
      </c>
      <c r="M421" t="s">
        <v>46</v>
      </c>
      <c r="O421">
        <v>0</v>
      </c>
      <c r="P421" t="s">
        <v>470</v>
      </c>
      <c r="Q421" t="s">
        <v>1959</v>
      </c>
      <c r="R421">
        <v>30.35</v>
      </c>
      <c r="S421" s="5">
        <v>45356</v>
      </c>
      <c r="T421" s="5">
        <v>45366</v>
      </c>
      <c r="U421" t="s">
        <v>2925</v>
      </c>
    </row>
    <row r="422" spans="1:21" x14ac:dyDescent="0.25">
      <c r="A422" s="5">
        <v>45125</v>
      </c>
      <c r="B422" s="7">
        <f>Table1[[#This Row],[TotalPrice]] * (1 - Table1[[#This Row],[Discount]])</f>
        <v>4138.5816000000004</v>
      </c>
      <c r="C422" s="7">
        <f>Table1[[#This Row],[Net Sales]] * 0.2</f>
        <v>827.71632000000011</v>
      </c>
      <c r="D422" t="s">
        <v>21</v>
      </c>
      <c r="E422" t="s">
        <v>24</v>
      </c>
      <c r="F422">
        <v>12</v>
      </c>
      <c r="G422">
        <v>425.78</v>
      </c>
      <c r="H422" t="s">
        <v>32</v>
      </c>
      <c r="I422" t="s">
        <v>36</v>
      </c>
      <c r="J422" s="3">
        <v>0.1</v>
      </c>
      <c r="K422" t="s">
        <v>42</v>
      </c>
      <c r="L422">
        <v>4598.424</v>
      </c>
      <c r="M422" t="s">
        <v>43</v>
      </c>
      <c r="O422">
        <v>1</v>
      </c>
      <c r="P422" t="s">
        <v>471</v>
      </c>
      <c r="Q422" t="s">
        <v>1960</v>
      </c>
      <c r="R422">
        <v>25.48</v>
      </c>
      <c r="S422" s="5">
        <v>45125</v>
      </c>
      <c r="T422" s="5">
        <v>45129</v>
      </c>
      <c r="U422" t="s">
        <v>2924</v>
      </c>
    </row>
    <row r="423" spans="1:21" x14ac:dyDescent="0.25">
      <c r="A423" s="5">
        <v>45143</v>
      </c>
      <c r="B423" s="7">
        <f>Table1[[#This Row],[TotalPrice]] * (1 - Table1[[#This Row],[Discount]])</f>
        <v>1962.4680000000001</v>
      </c>
      <c r="C423" s="7">
        <f>Table1[[#This Row],[Net Sales]] * 0.2</f>
        <v>392.49360000000001</v>
      </c>
      <c r="D423" t="s">
        <v>20</v>
      </c>
      <c r="E423" t="s">
        <v>30</v>
      </c>
      <c r="F423">
        <v>20</v>
      </c>
      <c r="G423">
        <v>121.14</v>
      </c>
      <c r="H423" t="s">
        <v>33</v>
      </c>
      <c r="I423" t="s">
        <v>36</v>
      </c>
      <c r="J423" s="3">
        <v>0.1</v>
      </c>
      <c r="K423" t="s">
        <v>42</v>
      </c>
      <c r="L423">
        <v>2180.52</v>
      </c>
      <c r="M423" t="s">
        <v>45</v>
      </c>
      <c r="N423" t="s">
        <v>48</v>
      </c>
      <c r="O423">
        <v>0</v>
      </c>
      <c r="P423" t="s">
        <v>472</v>
      </c>
      <c r="Q423" t="s">
        <v>1961</v>
      </c>
      <c r="R423">
        <v>21.47</v>
      </c>
      <c r="S423" s="5">
        <v>45143</v>
      </c>
      <c r="T423" s="5">
        <v>45152</v>
      </c>
      <c r="U423" t="s">
        <v>2923</v>
      </c>
    </row>
    <row r="424" spans="1:21" x14ac:dyDescent="0.25">
      <c r="A424" s="5">
        <v>45187</v>
      </c>
      <c r="B424" s="7">
        <f>Table1[[#This Row],[TotalPrice]] * (1 - Table1[[#This Row],[Discount]])</f>
        <v>8514.4699999999993</v>
      </c>
      <c r="C424" s="7">
        <f>Table1[[#This Row],[Net Sales]] * 0.2</f>
        <v>1702.894</v>
      </c>
      <c r="D424" t="s">
        <v>23</v>
      </c>
      <c r="E424" t="s">
        <v>29</v>
      </c>
      <c r="F424">
        <v>19</v>
      </c>
      <c r="G424">
        <v>448.13</v>
      </c>
      <c r="H424" t="s">
        <v>34</v>
      </c>
      <c r="I424" t="s">
        <v>35</v>
      </c>
      <c r="J424" s="3">
        <v>0</v>
      </c>
      <c r="K424" t="s">
        <v>38</v>
      </c>
      <c r="L424">
        <v>8514.4699999999993</v>
      </c>
      <c r="M424" t="s">
        <v>46</v>
      </c>
      <c r="N424" t="s">
        <v>48</v>
      </c>
      <c r="O424">
        <v>0</v>
      </c>
      <c r="P424" t="s">
        <v>473</v>
      </c>
      <c r="Q424" t="s">
        <v>1962</v>
      </c>
      <c r="R424">
        <v>28.29</v>
      </c>
      <c r="S424" s="5">
        <v>45187</v>
      </c>
      <c r="T424" s="5">
        <v>45189</v>
      </c>
      <c r="U424" t="s">
        <v>2926</v>
      </c>
    </row>
    <row r="425" spans="1:21" x14ac:dyDescent="0.25">
      <c r="A425" s="5">
        <v>45012</v>
      </c>
      <c r="B425" s="7">
        <f>Table1[[#This Row],[TotalPrice]] * (1 - Table1[[#This Row],[Discount]])</f>
        <v>50.608800000000002</v>
      </c>
      <c r="C425" s="7">
        <f>Table1[[#This Row],[Net Sales]] * 0.2</f>
        <v>10.121760000000002</v>
      </c>
      <c r="D425" t="s">
        <v>20</v>
      </c>
      <c r="E425" t="s">
        <v>24</v>
      </c>
      <c r="F425">
        <v>8</v>
      </c>
      <c r="G425">
        <v>7.81</v>
      </c>
      <c r="H425" t="s">
        <v>34</v>
      </c>
      <c r="I425" t="s">
        <v>35</v>
      </c>
      <c r="J425" s="3">
        <v>0.1</v>
      </c>
      <c r="K425" t="s">
        <v>39</v>
      </c>
      <c r="L425">
        <v>56.231999999999999</v>
      </c>
      <c r="M425" t="s">
        <v>43</v>
      </c>
      <c r="N425" t="s">
        <v>49</v>
      </c>
      <c r="O425">
        <v>0</v>
      </c>
      <c r="P425" t="s">
        <v>474</v>
      </c>
      <c r="Q425" t="s">
        <v>1963</v>
      </c>
      <c r="R425">
        <v>25.03</v>
      </c>
      <c r="S425" s="5">
        <v>45012</v>
      </c>
      <c r="T425" s="5">
        <v>45014</v>
      </c>
      <c r="U425" t="s">
        <v>2923</v>
      </c>
    </row>
    <row r="426" spans="1:21" x14ac:dyDescent="0.25">
      <c r="A426" s="5">
        <v>44993</v>
      </c>
      <c r="B426" s="7">
        <f>Table1[[#This Row],[TotalPrice]] * (1 - Table1[[#This Row],[Discount]])</f>
        <v>2627.9925999999996</v>
      </c>
      <c r="C426" s="7">
        <f>Table1[[#This Row],[Net Sales]] * 0.2</f>
        <v>525.59851999999989</v>
      </c>
      <c r="D426" t="s">
        <v>19</v>
      </c>
      <c r="E426" t="s">
        <v>27</v>
      </c>
      <c r="F426">
        <v>19</v>
      </c>
      <c r="G426">
        <v>191.44</v>
      </c>
      <c r="H426" t="s">
        <v>33</v>
      </c>
      <c r="I426" t="s">
        <v>35</v>
      </c>
      <c r="J426" s="3">
        <v>0.15</v>
      </c>
      <c r="K426" t="s">
        <v>40</v>
      </c>
      <c r="L426">
        <v>3091.7559999999999</v>
      </c>
      <c r="M426" t="s">
        <v>47</v>
      </c>
      <c r="N426" t="s">
        <v>50</v>
      </c>
      <c r="O426">
        <v>1</v>
      </c>
      <c r="P426" t="s">
        <v>475</v>
      </c>
      <c r="Q426" t="s">
        <v>1964</v>
      </c>
      <c r="R426">
        <v>35.54</v>
      </c>
      <c r="S426" s="5">
        <v>44993</v>
      </c>
      <c r="T426" s="5">
        <v>45002</v>
      </c>
      <c r="U426" t="s">
        <v>2922</v>
      </c>
    </row>
    <row r="427" spans="1:21" x14ac:dyDescent="0.25">
      <c r="A427" s="5">
        <v>45414</v>
      </c>
      <c r="B427" s="7">
        <f>Table1[[#This Row],[TotalPrice]] * (1 - Table1[[#This Row],[Discount]])</f>
        <v>885.78499999999985</v>
      </c>
      <c r="C427" s="7">
        <f>Table1[[#This Row],[Net Sales]] * 0.2</f>
        <v>177.15699999999998</v>
      </c>
      <c r="D427" t="s">
        <v>23</v>
      </c>
      <c r="E427" t="s">
        <v>26</v>
      </c>
      <c r="F427">
        <v>5</v>
      </c>
      <c r="G427">
        <v>245.2</v>
      </c>
      <c r="H427" t="s">
        <v>31</v>
      </c>
      <c r="I427" t="s">
        <v>36</v>
      </c>
      <c r="J427" s="3">
        <v>0.15</v>
      </c>
      <c r="K427" t="s">
        <v>37</v>
      </c>
      <c r="L427">
        <v>1042.0999999999999</v>
      </c>
      <c r="M427" t="s">
        <v>43</v>
      </c>
      <c r="O427">
        <v>0</v>
      </c>
      <c r="P427" t="s">
        <v>476</v>
      </c>
      <c r="Q427" t="s">
        <v>1965</v>
      </c>
      <c r="R427">
        <v>46.37</v>
      </c>
      <c r="S427" s="5">
        <v>45414</v>
      </c>
      <c r="T427" s="5">
        <v>45418</v>
      </c>
      <c r="U427" t="s">
        <v>2926</v>
      </c>
    </row>
    <row r="428" spans="1:21" x14ac:dyDescent="0.25">
      <c r="A428" s="5">
        <v>45185</v>
      </c>
      <c r="B428" s="7">
        <f>Table1[[#This Row],[TotalPrice]] * (1 - Table1[[#This Row],[Discount]])</f>
        <v>2006.5920249999999</v>
      </c>
      <c r="C428" s="7">
        <f>Table1[[#This Row],[Net Sales]] * 0.2</f>
        <v>401.31840499999998</v>
      </c>
      <c r="D428" t="s">
        <v>21</v>
      </c>
      <c r="E428" t="s">
        <v>26</v>
      </c>
      <c r="F428">
        <v>17</v>
      </c>
      <c r="G428">
        <v>163.37</v>
      </c>
      <c r="H428" t="s">
        <v>31</v>
      </c>
      <c r="I428" t="s">
        <v>35</v>
      </c>
      <c r="J428" s="3">
        <v>0.15</v>
      </c>
      <c r="K428" t="s">
        <v>37</v>
      </c>
      <c r="L428">
        <v>2360.6965</v>
      </c>
      <c r="M428" t="s">
        <v>44</v>
      </c>
      <c r="N428" t="s">
        <v>49</v>
      </c>
      <c r="O428">
        <v>0</v>
      </c>
      <c r="P428" t="s">
        <v>477</v>
      </c>
      <c r="Q428" t="s">
        <v>1966</v>
      </c>
      <c r="R428">
        <v>5.36</v>
      </c>
      <c r="S428" s="5">
        <v>45185</v>
      </c>
      <c r="T428" s="5">
        <v>45195</v>
      </c>
      <c r="U428" t="s">
        <v>2924</v>
      </c>
    </row>
    <row r="429" spans="1:21" x14ac:dyDescent="0.25">
      <c r="A429" s="5">
        <v>45090</v>
      </c>
      <c r="B429" s="7">
        <f>Table1[[#This Row],[TotalPrice]] * (1 - Table1[[#This Row],[Discount]])</f>
        <v>8175.4400000000014</v>
      </c>
      <c r="C429" s="7">
        <f>Table1[[#This Row],[Net Sales]] * 0.2</f>
        <v>1635.0880000000004</v>
      </c>
      <c r="D429" t="s">
        <v>20</v>
      </c>
      <c r="E429" t="s">
        <v>29</v>
      </c>
      <c r="F429">
        <v>14</v>
      </c>
      <c r="G429">
        <v>583.96</v>
      </c>
      <c r="H429" t="s">
        <v>33</v>
      </c>
      <c r="I429" t="s">
        <v>36</v>
      </c>
      <c r="J429" s="3">
        <v>0</v>
      </c>
      <c r="K429" t="s">
        <v>41</v>
      </c>
      <c r="L429">
        <v>8175.4400000000014</v>
      </c>
      <c r="M429" t="s">
        <v>46</v>
      </c>
      <c r="N429" t="s">
        <v>50</v>
      </c>
      <c r="O429">
        <v>0</v>
      </c>
      <c r="P429" t="s">
        <v>478</v>
      </c>
      <c r="Q429" t="s">
        <v>1967</v>
      </c>
      <c r="R429">
        <v>23.03</v>
      </c>
      <c r="S429" s="5">
        <v>45090</v>
      </c>
      <c r="T429" s="5">
        <v>45099</v>
      </c>
      <c r="U429" t="s">
        <v>2923</v>
      </c>
    </row>
    <row r="430" spans="1:21" x14ac:dyDescent="0.25">
      <c r="A430" s="5">
        <v>45235</v>
      </c>
      <c r="B430" s="7">
        <f>Table1[[#This Row],[TotalPrice]] * (1 - Table1[[#This Row],[Discount]])</f>
        <v>2346.7968000000001</v>
      </c>
      <c r="C430" s="7">
        <f>Table1[[#This Row],[Net Sales]] * 0.2</f>
        <v>469.35936000000004</v>
      </c>
      <c r="D430" t="s">
        <v>21</v>
      </c>
      <c r="E430" t="s">
        <v>26</v>
      </c>
      <c r="F430">
        <v>16</v>
      </c>
      <c r="G430">
        <v>181.08</v>
      </c>
      <c r="H430" t="s">
        <v>33</v>
      </c>
      <c r="I430" t="s">
        <v>36</v>
      </c>
      <c r="J430" s="3">
        <v>0.1</v>
      </c>
      <c r="K430" t="s">
        <v>40</v>
      </c>
      <c r="L430">
        <v>2607.5520000000001</v>
      </c>
      <c r="M430" t="s">
        <v>43</v>
      </c>
      <c r="N430" t="s">
        <v>50</v>
      </c>
      <c r="O430">
        <v>0</v>
      </c>
      <c r="P430" t="s">
        <v>479</v>
      </c>
      <c r="Q430" t="s">
        <v>1968</v>
      </c>
      <c r="R430">
        <v>39.840000000000003</v>
      </c>
      <c r="S430" s="5">
        <v>45235</v>
      </c>
      <c r="T430" s="5">
        <v>45238</v>
      </c>
      <c r="U430" t="s">
        <v>2924</v>
      </c>
    </row>
    <row r="431" spans="1:21" x14ac:dyDescent="0.25">
      <c r="A431" s="5">
        <v>45619</v>
      </c>
      <c r="B431" s="7">
        <f>Table1[[#This Row],[TotalPrice]] * (1 - Table1[[#This Row],[Discount]])</f>
        <v>3319.52</v>
      </c>
      <c r="C431" s="7">
        <f>Table1[[#This Row],[Net Sales]] * 0.2</f>
        <v>663.904</v>
      </c>
      <c r="D431" t="s">
        <v>20</v>
      </c>
      <c r="E431" t="s">
        <v>29</v>
      </c>
      <c r="F431">
        <v>8</v>
      </c>
      <c r="G431">
        <v>414.94</v>
      </c>
      <c r="H431" t="s">
        <v>32</v>
      </c>
      <c r="I431" t="s">
        <v>35</v>
      </c>
      <c r="J431" s="3">
        <v>0</v>
      </c>
      <c r="K431" t="s">
        <v>38</v>
      </c>
      <c r="L431">
        <v>3319.52</v>
      </c>
      <c r="M431" t="s">
        <v>46</v>
      </c>
      <c r="N431" t="s">
        <v>49</v>
      </c>
      <c r="O431">
        <v>0</v>
      </c>
      <c r="P431" t="s">
        <v>480</v>
      </c>
      <c r="Q431" t="s">
        <v>1969</v>
      </c>
      <c r="R431">
        <v>46.58</v>
      </c>
      <c r="S431" s="5">
        <v>45619</v>
      </c>
      <c r="T431" s="5">
        <v>45622</v>
      </c>
      <c r="U431" t="s">
        <v>2923</v>
      </c>
    </row>
    <row r="432" spans="1:21" x14ac:dyDescent="0.25">
      <c r="A432" s="5">
        <v>45331</v>
      </c>
      <c r="B432" s="7">
        <f>Table1[[#This Row],[TotalPrice]] * (1 - Table1[[#This Row],[Discount]])</f>
        <v>7075.52</v>
      </c>
      <c r="C432" s="7">
        <f>Table1[[#This Row],[Net Sales]] * 0.2</f>
        <v>1415.1040000000003</v>
      </c>
      <c r="D432" t="s">
        <v>22</v>
      </c>
      <c r="E432" t="s">
        <v>25</v>
      </c>
      <c r="F432">
        <v>16</v>
      </c>
      <c r="G432">
        <v>442.22</v>
      </c>
      <c r="H432" t="s">
        <v>31</v>
      </c>
      <c r="I432" t="s">
        <v>36</v>
      </c>
      <c r="J432" s="3">
        <v>0</v>
      </c>
      <c r="K432" t="s">
        <v>38</v>
      </c>
      <c r="L432">
        <v>7075.52</v>
      </c>
      <c r="M432" t="s">
        <v>47</v>
      </c>
      <c r="N432" t="s">
        <v>48</v>
      </c>
      <c r="O432">
        <v>0</v>
      </c>
      <c r="P432" t="s">
        <v>481</v>
      </c>
      <c r="Q432" t="s">
        <v>1970</v>
      </c>
      <c r="R432">
        <v>27.36</v>
      </c>
      <c r="S432" s="5">
        <v>45331</v>
      </c>
      <c r="T432" s="5">
        <v>45340</v>
      </c>
      <c r="U432" t="s">
        <v>2925</v>
      </c>
    </row>
    <row r="433" spans="1:21" x14ac:dyDescent="0.25">
      <c r="A433" s="5">
        <v>45246</v>
      </c>
      <c r="B433" s="7">
        <f>Table1[[#This Row],[TotalPrice]] * (1 - Table1[[#This Row],[Discount]])</f>
        <v>6751.7226000000001</v>
      </c>
      <c r="C433" s="7">
        <f>Table1[[#This Row],[Net Sales]] * 0.2</f>
        <v>1350.3445200000001</v>
      </c>
      <c r="D433" t="s">
        <v>22</v>
      </c>
      <c r="E433" t="s">
        <v>30</v>
      </c>
      <c r="F433">
        <v>14</v>
      </c>
      <c r="G433">
        <v>595.39</v>
      </c>
      <c r="H433" t="s">
        <v>32</v>
      </c>
      <c r="I433" t="s">
        <v>35</v>
      </c>
      <c r="J433" s="3">
        <v>0.1</v>
      </c>
      <c r="K433" t="s">
        <v>42</v>
      </c>
      <c r="L433">
        <v>7501.9139999999998</v>
      </c>
      <c r="M433" t="s">
        <v>45</v>
      </c>
      <c r="N433" t="s">
        <v>49</v>
      </c>
      <c r="O433">
        <v>0</v>
      </c>
      <c r="P433" t="s">
        <v>482</v>
      </c>
      <c r="Q433" t="s">
        <v>1971</v>
      </c>
      <c r="R433">
        <v>9.51</v>
      </c>
      <c r="S433" s="5">
        <v>45246</v>
      </c>
      <c r="T433" s="5">
        <v>45252</v>
      </c>
      <c r="U433" t="s">
        <v>2925</v>
      </c>
    </row>
    <row r="434" spans="1:21" x14ac:dyDescent="0.25">
      <c r="A434" s="5">
        <v>45681</v>
      </c>
      <c r="B434" s="7">
        <f>Table1[[#This Row],[TotalPrice]] * (1 - Table1[[#This Row],[Discount]])</f>
        <v>759.92550000000006</v>
      </c>
      <c r="C434" s="7">
        <f>Table1[[#This Row],[Net Sales]] * 0.2</f>
        <v>151.98510000000002</v>
      </c>
      <c r="D434" t="s">
        <v>22</v>
      </c>
      <c r="E434" t="s">
        <v>28</v>
      </c>
      <c r="F434">
        <v>6</v>
      </c>
      <c r="G434">
        <v>175.3</v>
      </c>
      <c r="H434" t="s">
        <v>32</v>
      </c>
      <c r="I434" t="s">
        <v>35</v>
      </c>
      <c r="J434" s="3">
        <v>0.15</v>
      </c>
      <c r="K434" t="s">
        <v>38</v>
      </c>
      <c r="L434">
        <v>894.03000000000009</v>
      </c>
      <c r="M434" t="s">
        <v>47</v>
      </c>
      <c r="N434" t="s">
        <v>49</v>
      </c>
      <c r="O434">
        <v>1</v>
      </c>
      <c r="P434" t="s">
        <v>483</v>
      </c>
      <c r="Q434" t="s">
        <v>1972</v>
      </c>
      <c r="R434">
        <v>17.920000000000002</v>
      </c>
      <c r="S434" s="5">
        <v>45681</v>
      </c>
      <c r="T434" s="5">
        <v>45686</v>
      </c>
      <c r="U434" t="s">
        <v>2925</v>
      </c>
    </row>
    <row r="435" spans="1:21" x14ac:dyDescent="0.25">
      <c r="A435" s="5">
        <v>45783</v>
      </c>
      <c r="B435" s="7">
        <f>Table1[[#This Row],[TotalPrice]] * (1 - Table1[[#This Row],[Discount]])</f>
        <v>1616.326425</v>
      </c>
      <c r="C435" s="7">
        <f>Table1[[#This Row],[Net Sales]] * 0.2</f>
        <v>323.26528500000001</v>
      </c>
      <c r="D435" t="s">
        <v>22</v>
      </c>
      <c r="E435" t="s">
        <v>29</v>
      </c>
      <c r="F435">
        <v>7</v>
      </c>
      <c r="G435">
        <v>319.58999999999997</v>
      </c>
      <c r="H435" t="s">
        <v>33</v>
      </c>
      <c r="I435" t="s">
        <v>35</v>
      </c>
      <c r="J435" s="3">
        <v>0.15</v>
      </c>
      <c r="K435" t="s">
        <v>40</v>
      </c>
      <c r="L435">
        <v>1901.5605</v>
      </c>
      <c r="M435" t="s">
        <v>44</v>
      </c>
      <c r="N435" t="s">
        <v>50</v>
      </c>
      <c r="O435">
        <v>1</v>
      </c>
      <c r="P435" t="s">
        <v>484</v>
      </c>
      <c r="Q435" t="s">
        <v>1973</v>
      </c>
      <c r="R435">
        <v>8.4700000000000006</v>
      </c>
      <c r="S435" s="5">
        <v>45783</v>
      </c>
      <c r="T435" s="5">
        <v>45786</v>
      </c>
      <c r="U435" t="s">
        <v>2925</v>
      </c>
    </row>
    <row r="436" spans="1:21" x14ac:dyDescent="0.25">
      <c r="A436" s="5">
        <v>45794</v>
      </c>
      <c r="B436" s="7">
        <f>Table1[[#This Row],[TotalPrice]] * (1 - Table1[[#This Row],[Discount]])</f>
        <v>5492.5533749999995</v>
      </c>
      <c r="C436" s="7">
        <f>Table1[[#This Row],[Net Sales]] * 0.2</f>
        <v>1098.510675</v>
      </c>
      <c r="D436" t="s">
        <v>19</v>
      </c>
      <c r="E436" t="s">
        <v>30</v>
      </c>
      <c r="F436">
        <v>15</v>
      </c>
      <c r="G436">
        <v>506.81</v>
      </c>
      <c r="H436" t="s">
        <v>32</v>
      </c>
      <c r="I436" t="s">
        <v>36</v>
      </c>
      <c r="J436" s="3">
        <v>0.15</v>
      </c>
      <c r="K436" t="s">
        <v>42</v>
      </c>
      <c r="L436">
        <v>6461.8274999999994</v>
      </c>
      <c r="M436" t="s">
        <v>47</v>
      </c>
      <c r="N436" t="s">
        <v>48</v>
      </c>
      <c r="O436">
        <v>1</v>
      </c>
      <c r="P436" t="s">
        <v>485</v>
      </c>
      <c r="Q436" t="s">
        <v>1974</v>
      </c>
      <c r="R436">
        <v>41.03</v>
      </c>
      <c r="S436" s="5">
        <v>45794</v>
      </c>
      <c r="T436" s="5">
        <v>45804</v>
      </c>
      <c r="U436" t="s">
        <v>2922</v>
      </c>
    </row>
    <row r="437" spans="1:21" x14ac:dyDescent="0.25">
      <c r="A437" s="5">
        <v>45259</v>
      </c>
      <c r="B437" s="7">
        <f>Table1[[#This Row],[TotalPrice]] * (1 - Table1[[#This Row],[Discount]])</f>
        <v>8255.4923999999992</v>
      </c>
      <c r="C437" s="7">
        <f>Table1[[#This Row],[Net Sales]] * 0.2</f>
        <v>1651.0984799999999</v>
      </c>
      <c r="D437" t="s">
        <v>22</v>
      </c>
      <c r="E437" t="s">
        <v>24</v>
      </c>
      <c r="F437">
        <v>17</v>
      </c>
      <c r="G437">
        <v>538.08000000000004</v>
      </c>
      <c r="H437" t="s">
        <v>32</v>
      </c>
      <c r="I437" t="s">
        <v>36</v>
      </c>
      <c r="J437" s="3">
        <v>0.05</v>
      </c>
      <c r="K437" t="s">
        <v>37</v>
      </c>
      <c r="L437">
        <v>8689.9920000000002</v>
      </c>
      <c r="M437" t="s">
        <v>46</v>
      </c>
      <c r="N437" t="s">
        <v>48</v>
      </c>
      <c r="O437">
        <v>0</v>
      </c>
      <c r="P437" t="s">
        <v>486</v>
      </c>
      <c r="Q437" t="s">
        <v>1975</v>
      </c>
      <c r="R437">
        <v>19.61</v>
      </c>
      <c r="S437" s="5">
        <v>45259</v>
      </c>
      <c r="T437" s="5">
        <v>45261</v>
      </c>
      <c r="U437" t="s">
        <v>2925</v>
      </c>
    </row>
    <row r="438" spans="1:21" x14ac:dyDescent="0.25">
      <c r="A438" s="5">
        <v>44981</v>
      </c>
      <c r="B438" s="7">
        <f>Table1[[#This Row],[TotalPrice]] * (1 - Table1[[#This Row],[Discount]])</f>
        <v>3005.44</v>
      </c>
      <c r="C438" s="7">
        <f>Table1[[#This Row],[Net Sales]] * 0.2</f>
        <v>601.08800000000008</v>
      </c>
      <c r="D438" t="s">
        <v>20</v>
      </c>
      <c r="E438" t="s">
        <v>27</v>
      </c>
      <c r="F438">
        <v>16</v>
      </c>
      <c r="G438">
        <v>187.84</v>
      </c>
      <c r="H438" t="s">
        <v>32</v>
      </c>
      <c r="I438" t="s">
        <v>36</v>
      </c>
      <c r="J438" s="3">
        <v>0</v>
      </c>
      <c r="K438" t="s">
        <v>38</v>
      </c>
      <c r="L438">
        <v>3005.44</v>
      </c>
      <c r="M438" t="s">
        <v>45</v>
      </c>
      <c r="N438" t="s">
        <v>49</v>
      </c>
      <c r="O438">
        <v>0</v>
      </c>
      <c r="P438" t="s">
        <v>487</v>
      </c>
      <c r="Q438" t="s">
        <v>1976</v>
      </c>
      <c r="R438">
        <v>18.649999999999999</v>
      </c>
      <c r="S438" s="5">
        <v>44981</v>
      </c>
      <c r="T438" s="5">
        <v>44983</v>
      </c>
      <c r="U438" t="s">
        <v>2923</v>
      </c>
    </row>
    <row r="439" spans="1:21" x14ac:dyDescent="0.25">
      <c r="A439" s="5">
        <v>45234</v>
      </c>
      <c r="B439" s="7">
        <f>Table1[[#This Row],[TotalPrice]] * (1 - Table1[[#This Row],[Discount]])</f>
        <v>5544.0315000000001</v>
      </c>
      <c r="C439" s="7">
        <f>Table1[[#This Row],[Net Sales]] * 0.2</f>
        <v>1108.8063</v>
      </c>
      <c r="D439" t="s">
        <v>20</v>
      </c>
      <c r="E439" t="s">
        <v>24</v>
      </c>
      <c r="F439">
        <v>18</v>
      </c>
      <c r="G439">
        <v>426.3</v>
      </c>
      <c r="H439" t="s">
        <v>32</v>
      </c>
      <c r="I439" t="s">
        <v>35</v>
      </c>
      <c r="J439" s="3">
        <v>0.15</v>
      </c>
      <c r="K439" t="s">
        <v>40</v>
      </c>
      <c r="L439">
        <v>6522.39</v>
      </c>
      <c r="M439" t="s">
        <v>45</v>
      </c>
      <c r="O439">
        <v>1</v>
      </c>
      <c r="P439" t="s">
        <v>488</v>
      </c>
      <c r="Q439" t="s">
        <v>1977</v>
      </c>
      <c r="R439">
        <v>29.81</v>
      </c>
      <c r="S439" s="5">
        <v>45234</v>
      </c>
      <c r="T439" s="5">
        <v>45240</v>
      </c>
      <c r="U439" t="s">
        <v>2923</v>
      </c>
    </row>
    <row r="440" spans="1:21" x14ac:dyDescent="0.25">
      <c r="A440" s="5">
        <v>45458</v>
      </c>
      <c r="B440" s="7">
        <f>Table1[[#This Row],[TotalPrice]] * (1 - Table1[[#This Row],[Discount]])</f>
        <v>403.6635</v>
      </c>
      <c r="C440" s="7">
        <f>Table1[[#This Row],[Net Sales]] * 0.2</f>
        <v>80.732700000000008</v>
      </c>
      <c r="D440" t="s">
        <v>19</v>
      </c>
      <c r="E440" t="s">
        <v>26</v>
      </c>
      <c r="F440">
        <v>1</v>
      </c>
      <c r="G440">
        <v>498.35</v>
      </c>
      <c r="H440" t="s">
        <v>31</v>
      </c>
      <c r="I440" t="s">
        <v>36</v>
      </c>
      <c r="J440" s="3">
        <v>0.1</v>
      </c>
      <c r="K440" t="s">
        <v>38</v>
      </c>
      <c r="L440">
        <v>448.51499999999999</v>
      </c>
      <c r="M440" t="s">
        <v>43</v>
      </c>
      <c r="N440" t="s">
        <v>48</v>
      </c>
      <c r="O440">
        <v>0</v>
      </c>
      <c r="P440" t="s">
        <v>489</v>
      </c>
      <c r="Q440" t="s">
        <v>1978</v>
      </c>
      <c r="R440">
        <v>34.700000000000003</v>
      </c>
      <c r="S440" s="5">
        <v>45458</v>
      </c>
      <c r="T440" s="5">
        <v>45465</v>
      </c>
      <c r="U440" t="s">
        <v>2922</v>
      </c>
    </row>
    <row r="441" spans="1:21" x14ac:dyDescent="0.25">
      <c r="A441" s="5">
        <v>45567</v>
      </c>
      <c r="B441" s="7">
        <f>Table1[[#This Row],[TotalPrice]] * (1 - Table1[[#This Row],[Discount]])</f>
        <v>6614.1336999999994</v>
      </c>
      <c r="C441" s="7">
        <f>Table1[[#This Row],[Net Sales]] * 0.2</f>
        <v>1322.82674</v>
      </c>
      <c r="D441" t="s">
        <v>21</v>
      </c>
      <c r="E441" t="s">
        <v>29</v>
      </c>
      <c r="F441">
        <v>19</v>
      </c>
      <c r="G441">
        <v>385.72</v>
      </c>
      <c r="H441" t="s">
        <v>32</v>
      </c>
      <c r="I441" t="s">
        <v>36</v>
      </c>
      <c r="J441" s="3">
        <v>0.05</v>
      </c>
      <c r="K441" t="s">
        <v>40</v>
      </c>
      <c r="L441">
        <v>6962.2460000000001</v>
      </c>
      <c r="M441" t="s">
        <v>47</v>
      </c>
      <c r="N441" t="s">
        <v>49</v>
      </c>
      <c r="O441">
        <v>1</v>
      </c>
      <c r="P441" t="s">
        <v>490</v>
      </c>
      <c r="Q441" t="s">
        <v>1979</v>
      </c>
      <c r="R441">
        <v>12.46</v>
      </c>
      <c r="S441" s="5">
        <v>45567</v>
      </c>
      <c r="T441" s="5">
        <v>45571</v>
      </c>
      <c r="U441" t="s">
        <v>2924</v>
      </c>
    </row>
    <row r="442" spans="1:21" x14ac:dyDescent="0.25">
      <c r="A442" s="5">
        <v>45080</v>
      </c>
      <c r="B442" s="7">
        <f>Table1[[#This Row],[TotalPrice]] * (1 - Table1[[#This Row],[Discount]])</f>
        <v>132.1191</v>
      </c>
      <c r="C442" s="7">
        <f>Table1[[#This Row],[Net Sales]] * 0.2</f>
        <v>26.423820000000003</v>
      </c>
      <c r="D442" t="s">
        <v>23</v>
      </c>
      <c r="E442" t="s">
        <v>29</v>
      </c>
      <c r="F442">
        <v>3</v>
      </c>
      <c r="G442">
        <v>54.37</v>
      </c>
      <c r="H442" t="s">
        <v>31</v>
      </c>
      <c r="I442" t="s">
        <v>35</v>
      </c>
      <c r="J442" s="3">
        <v>0.1</v>
      </c>
      <c r="K442" t="s">
        <v>39</v>
      </c>
      <c r="L442">
        <v>146.79900000000001</v>
      </c>
      <c r="M442" t="s">
        <v>45</v>
      </c>
      <c r="N442" t="s">
        <v>50</v>
      </c>
      <c r="O442">
        <v>0</v>
      </c>
      <c r="P442" t="s">
        <v>491</v>
      </c>
      <c r="Q442" t="s">
        <v>1980</v>
      </c>
      <c r="R442">
        <v>48.71</v>
      </c>
      <c r="S442" s="5">
        <v>45080</v>
      </c>
      <c r="T442" s="5">
        <v>45090</v>
      </c>
      <c r="U442" t="s">
        <v>2926</v>
      </c>
    </row>
    <row r="443" spans="1:21" x14ac:dyDescent="0.25">
      <c r="A443" s="5">
        <v>45179</v>
      </c>
      <c r="B443" s="7">
        <f>Table1[[#This Row],[TotalPrice]] * (1 - Table1[[#This Row],[Discount]])</f>
        <v>2044.9928999999997</v>
      </c>
      <c r="C443" s="7">
        <f>Table1[[#This Row],[Net Sales]] * 0.2</f>
        <v>408.99857999999995</v>
      </c>
      <c r="D443" t="s">
        <v>19</v>
      </c>
      <c r="E443" t="s">
        <v>25</v>
      </c>
      <c r="F443">
        <v>6</v>
      </c>
      <c r="G443">
        <v>471.74</v>
      </c>
      <c r="H443" t="s">
        <v>33</v>
      </c>
      <c r="I443" t="s">
        <v>36</v>
      </c>
      <c r="J443" s="3">
        <v>0.15</v>
      </c>
      <c r="K443" t="s">
        <v>40</v>
      </c>
      <c r="L443">
        <v>2405.8739999999998</v>
      </c>
      <c r="M443" t="s">
        <v>43</v>
      </c>
      <c r="O443">
        <v>0</v>
      </c>
      <c r="P443" t="s">
        <v>492</v>
      </c>
      <c r="Q443" t="s">
        <v>1981</v>
      </c>
      <c r="R443">
        <v>36.79</v>
      </c>
      <c r="S443" s="5">
        <v>45179</v>
      </c>
      <c r="T443" s="5">
        <v>45187</v>
      </c>
      <c r="U443" t="s">
        <v>2922</v>
      </c>
    </row>
    <row r="444" spans="1:21" x14ac:dyDescent="0.25">
      <c r="A444" s="5">
        <v>45797</v>
      </c>
      <c r="B444" s="7">
        <f>Table1[[#This Row],[TotalPrice]] * (1 - Table1[[#This Row],[Discount]])</f>
        <v>4424.5105250000006</v>
      </c>
      <c r="C444" s="7">
        <f>Table1[[#This Row],[Net Sales]] * 0.2</f>
        <v>884.90210500000012</v>
      </c>
      <c r="D444" t="s">
        <v>22</v>
      </c>
      <c r="E444" t="s">
        <v>30</v>
      </c>
      <c r="F444">
        <v>19</v>
      </c>
      <c r="G444">
        <v>322.31</v>
      </c>
      <c r="H444" t="s">
        <v>31</v>
      </c>
      <c r="I444" t="s">
        <v>36</v>
      </c>
      <c r="J444" s="3">
        <v>0.15</v>
      </c>
      <c r="K444" t="s">
        <v>42</v>
      </c>
      <c r="L444">
        <v>5205.3065000000006</v>
      </c>
      <c r="M444" t="s">
        <v>47</v>
      </c>
      <c r="N444" t="s">
        <v>48</v>
      </c>
      <c r="O444">
        <v>0</v>
      </c>
      <c r="P444" t="s">
        <v>493</v>
      </c>
      <c r="Q444" t="s">
        <v>1982</v>
      </c>
      <c r="R444">
        <v>33.950000000000003</v>
      </c>
      <c r="S444" s="5">
        <v>45797</v>
      </c>
      <c r="T444" s="5">
        <v>45799</v>
      </c>
      <c r="U444" t="s">
        <v>2925</v>
      </c>
    </row>
    <row r="445" spans="1:21" x14ac:dyDescent="0.25">
      <c r="A445" s="5">
        <v>45193</v>
      </c>
      <c r="B445" s="7">
        <f>Table1[[#This Row],[TotalPrice]] * (1 - Table1[[#This Row],[Discount]])</f>
        <v>1220.0057999999999</v>
      </c>
      <c r="C445" s="7">
        <f>Table1[[#This Row],[Net Sales]] * 0.2</f>
        <v>244.00116</v>
      </c>
      <c r="D445" t="s">
        <v>21</v>
      </c>
      <c r="E445" t="s">
        <v>29</v>
      </c>
      <c r="F445">
        <v>13</v>
      </c>
      <c r="G445">
        <v>115.86</v>
      </c>
      <c r="H445" t="s">
        <v>32</v>
      </c>
      <c r="I445" t="s">
        <v>35</v>
      </c>
      <c r="J445" s="3">
        <v>0.1</v>
      </c>
      <c r="K445" t="s">
        <v>41</v>
      </c>
      <c r="L445">
        <v>1355.5619999999999</v>
      </c>
      <c r="M445" t="s">
        <v>47</v>
      </c>
      <c r="O445">
        <v>1</v>
      </c>
      <c r="P445" t="s">
        <v>494</v>
      </c>
      <c r="Q445" t="s">
        <v>1983</v>
      </c>
      <c r="R445">
        <v>28.52</v>
      </c>
      <c r="S445" s="5">
        <v>45193</v>
      </c>
      <c r="T445" s="5">
        <v>45202</v>
      </c>
      <c r="U445" t="s">
        <v>2924</v>
      </c>
    </row>
    <row r="446" spans="1:21" x14ac:dyDescent="0.25">
      <c r="A446" s="5">
        <v>45745</v>
      </c>
      <c r="B446" s="7">
        <f>Table1[[#This Row],[TotalPrice]] * (1 - Table1[[#This Row],[Discount]])</f>
        <v>5806.6308000000008</v>
      </c>
      <c r="C446" s="7">
        <f>Table1[[#This Row],[Net Sales]] * 0.2</f>
        <v>1161.3261600000003</v>
      </c>
      <c r="D446" t="s">
        <v>19</v>
      </c>
      <c r="E446" t="s">
        <v>29</v>
      </c>
      <c r="F446">
        <v>18</v>
      </c>
      <c r="G446">
        <v>398.26</v>
      </c>
      <c r="H446" t="s">
        <v>31</v>
      </c>
      <c r="I446" t="s">
        <v>36</v>
      </c>
      <c r="J446" s="3">
        <v>0.1</v>
      </c>
      <c r="K446" t="s">
        <v>42</v>
      </c>
      <c r="L446">
        <v>6451.8120000000008</v>
      </c>
      <c r="M446" t="s">
        <v>46</v>
      </c>
      <c r="O446">
        <v>0</v>
      </c>
      <c r="P446" t="s">
        <v>495</v>
      </c>
      <c r="Q446" t="s">
        <v>1984</v>
      </c>
      <c r="R446">
        <v>16.8</v>
      </c>
      <c r="S446" s="5">
        <v>45745</v>
      </c>
      <c r="T446" s="5">
        <v>45751</v>
      </c>
      <c r="U446" t="s">
        <v>2922</v>
      </c>
    </row>
    <row r="447" spans="1:21" x14ac:dyDescent="0.25">
      <c r="A447" s="5">
        <v>45094</v>
      </c>
      <c r="B447" s="7">
        <f>Table1[[#This Row],[TotalPrice]] * (1 - Table1[[#This Row],[Discount]])</f>
        <v>1894.7520000000002</v>
      </c>
      <c r="C447" s="7">
        <f>Table1[[#This Row],[Net Sales]] * 0.2</f>
        <v>378.95040000000006</v>
      </c>
      <c r="D447" t="s">
        <v>19</v>
      </c>
      <c r="E447" t="s">
        <v>27</v>
      </c>
      <c r="F447">
        <v>4</v>
      </c>
      <c r="G447">
        <v>584.79999999999995</v>
      </c>
      <c r="H447" t="s">
        <v>31</v>
      </c>
      <c r="I447" t="s">
        <v>36</v>
      </c>
      <c r="J447" s="3">
        <v>0.1</v>
      </c>
      <c r="K447" t="s">
        <v>37</v>
      </c>
      <c r="L447">
        <v>2105.2800000000002</v>
      </c>
      <c r="M447" t="s">
        <v>43</v>
      </c>
      <c r="N447" t="s">
        <v>48</v>
      </c>
      <c r="O447">
        <v>0</v>
      </c>
      <c r="P447" t="s">
        <v>496</v>
      </c>
      <c r="Q447" t="s">
        <v>1985</v>
      </c>
      <c r="R447">
        <v>16.440000000000001</v>
      </c>
      <c r="S447" s="5">
        <v>45094</v>
      </c>
      <c r="T447" s="5">
        <v>45102</v>
      </c>
      <c r="U447" t="s">
        <v>2922</v>
      </c>
    </row>
    <row r="448" spans="1:21" x14ac:dyDescent="0.25">
      <c r="A448" s="5">
        <v>45319</v>
      </c>
      <c r="B448" s="7">
        <f>Table1[[#This Row],[TotalPrice]] * (1 - Table1[[#This Row],[Discount]])</f>
        <v>6136.915</v>
      </c>
      <c r="C448" s="7">
        <f>Table1[[#This Row],[Net Sales]] * 0.2</f>
        <v>1227.383</v>
      </c>
      <c r="D448" t="s">
        <v>23</v>
      </c>
      <c r="E448" t="s">
        <v>30</v>
      </c>
      <c r="F448">
        <v>20</v>
      </c>
      <c r="G448">
        <v>424.7</v>
      </c>
      <c r="H448" t="s">
        <v>31</v>
      </c>
      <c r="I448" t="s">
        <v>35</v>
      </c>
      <c r="J448" s="3">
        <v>0.15</v>
      </c>
      <c r="K448" t="s">
        <v>42</v>
      </c>
      <c r="L448">
        <v>7219.9</v>
      </c>
      <c r="M448" t="s">
        <v>43</v>
      </c>
      <c r="N448" t="s">
        <v>48</v>
      </c>
      <c r="O448">
        <v>0</v>
      </c>
      <c r="P448" t="s">
        <v>497</v>
      </c>
      <c r="Q448" t="s">
        <v>1986</v>
      </c>
      <c r="R448">
        <v>42.03</v>
      </c>
      <c r="S448" s="5">
        <v>45319</v>
      </c>
      <c r="T448" s="5">
        <v>45327</v>
      </c>
      <c r="U448" t="s">
        <v>2926</v>
      </c>
    </row>
    <row r="449" spans="1:21" x14ac:dyDescent="0.25">
      <c r="A449" s="5">
        <v>44999</v>
      </c>
      <c r="B449" s="7">
        <f>Table1[[#This Row],[TotalPrice]] * (1 - Table1[[#This Row],[Discount]])</f>
        <v>2322.6912000000002</v>
      </c>
      <c r="C449" s="7">
        <f>Table1[[#This Row],[Net Sales]] * 0.2</f>
        <v>464.53824000000009</v>
      </c>
      <c r="D449" t="s">
        <v>22</v>
      </c>
      <c r="E449" t="s">
        <v>27</v>
      </c>
      <c r="F449">
        <v>16</v>
      </c>
      <c r="G449">
        <v>179.22</v>
      </c>
      <c r="H449" t="s">
        <v>34</v>
      </c>
      <c r="I449" t="s">
        <v>36</v>
      </c>
      <c r="J449" s="3">
        <v>0.1</v>
      </c>
      <c r="K449" t="s">
        <v>38</v>
      </c>
      <c r="L449">
        <v>2580.768</v>
      </c>
      <c r="M449" t="s">
        <v>43</v>
      </c>
      <c r="N449" t="s">
        <v>50</v>
      </c>
      <c r="O449">
        <v>0</v>
      </c>
      <c r="P449" t="s">
        <v>498</v>
      </c>
      <c r="Q449" t="s">
        <v>1987</v>
      </c>
      <c r="R449">
        <v>45.99</v>
      </c>
      <c r="S449" s="5">
        <v>44999</v>
      </c>
      <c r="T449" s="5">
        <v>45002</v>
      </c>
      <c r="U449" t="s">
        <v>2925</v>
      </c>
    </row>
    <row r="450" spans="1:21" x14ac:dyDescent="0.25">
      <c r="A450" s="5">
        <v>45666</v>
      </c>
      <c r="B450" s="7">
        <f>Table1[[#This Row],[TotalPrice]] * (1 - Table1[[#This Row],[Discount]])</f>
        <v>1783.92</v>
      </c>
      <c r="C450" s="7">
        <f>Table1[[#This Row],[Net Sales]] * 0.2</f>
        <v>356.78400000000005</v>
      </c>
      <c r="D450" t="s">
        <v>19</v>
      </c>
      <c r="E450" t="s">
        <v>24</v>
      </c>
      <c r="F450">
        <v>12</v>
      </c>
      <c r="G450">
        <v>148.66</v>
      </c>
      <c r="H450" t="s">
        <v>32</v>
      </c>
      <c r="I450" t="s">
        <v>35</v>
      </c>
      <c r="J450" s="3">
        <v>0</v>
      </c>
      <c r="K450" t="s">
        <v>41</v>
      </c>
      <c r="L450">
        <v>1783.92</v>
      </c>
      <c r="M450" t="s">
        <v>43</v>
      </c>
      <c r="O450">
        <v>1</v>
      </c>
      <c r="P450" t="s">
        <v>499</v>
      </c>
      <c r="Q450" t="s">
        <v>1988</v>
      </c>
      <c r="R450">
        <v>27.16</v>
      </c>
      <c r="S450" s="5">
        <v>45666</v>
      </c>
      <c r="T450" s="5">
        <v>45674</v>
      </c>
      <c r="U450" t="s">
        <v>2922</v>
      </c>
    </row>
    <row r="451" spans="1:21" x14ac:dyDescent="0.25">
      <c r="A451" s="5">
        <v>45746</v>
      </c>
      <c r="B451" s="7">
        <f>Table1[[#This Row],[TotalPrice]] * (1 - Table1[[#This Row],[Discount]])</f>
        <v>5322.5707999999995</v>
      </c>
      <c r="C451" s="7">
        <f>Table1[[#This Row],[Net Sales]] * 0.2</f>
        <v>1064.5141599999999</v>
      </c>
      <c r="D451" t="s">
        <v>22</v>
      </c>
      <c r="E451" t="s">
        <v>25</v>
      </c>
      <c r="F451">
        <v>16</v>
      </c>
      <c r="G451">
        <v>460.43</v>
      </c>
      <c r="H451" t="s">
        <v>31</v>
      </c>
      <c r="I451" t="s">
        <v>35</v>
      </c>
      <c r="J451" s="3">
        <v>0.15</v>
      </c>
      <c r="K451" t="s">
        <v>42</v>
      </c>
      <c r="L451">
        <v>6261.848</v>
      </c>
      <c r="M451" t="s">
        <v>43</v>
      </c>
      <c r="N451" t="s">
        <v>50</v>
      </c>
      <c r="O451">
        <v>0</v>
      </c>
      <c r="P451" t="s">
        <v>500</v>
      </c>
      <c r="Q451" t="s">
        <v>1989</v>
      </c>
      <c r="R451">
        <v>20.38</v>
      </c>
      <c r="S451" s="5">
        <v>45746</v>
      </c>
      <c r="T451" s="5">
        <v>45753</v>
      </c>
      <c r="U451" t="s">
        <v>2925</v>
      </c>
    </row>
    <row r="452" spans="1:21" x14ac:dyDescent="0.25">
      <c r="A452" s="5">
        <v>45222</v>
      </c>
      <c r="B452" s="7">
        <f>Table1[[#This Row],[TotalPrice]] * (1 - Table1[[#This Row],[Discount]])</f>
        <v>1508.844625</v>
      </c>
      <c r="C452" s="7">
        <f>Table1[[#This Row],[Net Sales]] * 0.2</f>
        <v>301.76892500000002</v>
      </c>
      <c r="D452" t="s">
        <v>19</v>
      </c>
      <c r="E452" t="s">
        <v>29</v>
      </c>
      <c r="F452">
        <v>5</v>
      </c>
      <c r="G452">
        <v>334.37</v>
      </c>
      <c r="H452" t="s">
        <v>31</v>
      </c>
      <c r="I452" t="s">
        <v>36</v>
      </c>
      <c r="J452" s="3">
        <v>0.05</v>
      </c>
      <c r="K452" t="s">
        <v>40</v>
      </c>
      <c r="L452">
        <v>1588.2574999999999</v>
      </c>
      <c r="M452" t="s">
        <v>45</v>
      </c>
      <c r="O452">
        <v>0</v>
      </c>
      <c r="P452" t="s">
        <v>501</v>
      </c>
      <c r="Q452" t="s">
        <v>1776</v>
      </c>
      <c r="R452">
        <v>32.130000000000003</v>
      </c>
      <c r="S452" s="5">
        <v>45222</v>
      </c>
      <c r="T452" s="5">
        <v>45227</v>
      </c>
      <c r="U452" t="s">
        <v>2922</v>
      </c>
    </row>
    <row r="453" spans="1:21" x14ac:dyDescent="0.25">
      <c r="A453" s="5">
        <v>45816</v>
      </c>
      <c r="B453" s="7">
        <f>Table1[[#This Row],[TotalPrice]] * (1 - Table1[[#This Row],[Discount]])</f>
        <v>1299.8931</v>
      </c>
      <c r="C453" s="7">
        <f>Table1[[#This Row],[Net Sales]] * 0.2</f>
        <v>259.97862000000003</v>
      </c>
      <c r="D453" t="s">
        <v>23</v>
      </c>
      <c r="E453" t="s">
        <v>28</v>
      </c>
      <c r="F453">
        <v>3</v>
      </c>
      <c r="G453">
        <v>599.72</v>
      </c>
      <c r="H453" t="s">
        <v>34</v>
      </c>
      <c r="I453" t="s">
        <v>36</v>
      </c>
      <c r="J453" s="3">
        <v>0.15</v>
      </c>
      <c r="K453" t="s">
        <v>38</v>
      </c>
      <c r="L453">
        <v>1529.2860000000001</v>
      </c>
      <c r="M453" t="s">
        <v>43</v>
      </c>
      <c r="N453" t="s">
        <v>50</v>
      </c>
      <c r="O453">
        <v>1</v>
      </c>
      <c r="P453" t="s">
        <v>502</v>
      </c>
      <c r="Q453" t="s">
        <v>1990</v>
      </c>
      <c r="R453">
        <v>14.93</v>
      </c>
      <c r="S453" s="5">
        <v>45816</v>
      </c>
      <c r="T453" s="5">
        <v>45822</v>
      </c>
      <c r="U453" t="s">
        <v>2926</v>
      </c>
    </row>
    <row r="454" spans="1:21" x14ac:dyDescent="0.25">
      <c r="A454" s="5">
        <v>45348</v>
      </c>
      <c r="B454" s="7">
        <f>Table1[[#This Row],[TotalPrice]] * (1 - Table1[[#This Row],[Discount]])</f>
        <v>4288.24</v>
      </c>
      <c r="C454" s="7">
        <f>Table1[[#This Row],[Net Sales]] * 0.2</f>
        <v>857.64800000000002</v>
      </c>
      <c r="D454" t="s">
        <v>23</v>
      </c>
      <c r="E454" t="s">
        <v>28</v>
      </c>
      <c r="F454">
        <v>11</v>
      </c>
      <c r="G454">
        <v>389.84</v>
      </c>
      <c r="H454" t="s">
        <v>34</v>
      </c>
      <c r="I454" t="s">
        <v>35</v>
      </c>
      <c r="J454" s="3">
        <v>0</v>
      </c>
      <c r="K454" t="s">
        <v>38</v>
      </c>
      <c r="L454">
        <v>4288.24</v>
      </c>
      <c r="M454" t="s">
        <v>44</v>
      </c>
      <c r="N454" t="s">
        <v>49</v>
      </c>
      <c r="O454">
        <v>1</v>
      </c>
      <c r="P454" t="s">
        <v>503</v>
      </c>
      <c r="Q454" t="s">
        <v>1991</v>
      </c>
      <c r="R454">
        <v>10.24</v>
      </c>
      <c r="S454" s="5">
        <v>45348</v>
      </c>
      <c r="T454" s="5">
        <v>45351</v>
      </c>
      <c r="U454" t="s">
        <v>2926</v>
      </c>
    </row>
    <row r="455" spans="1:21" x14ac:dyDescent="0.25">
      <c r="A455" s="5">
        <v>45595</v>
      </c>
      <c r="B455" s="7">
        <f>Table1[[#This Row],[TotalPrice]] * (1 - Table1[[#This Row],[Discount]])</f>
        <v>3971.6325000000002</v>
      </c>
      <c r="C455" s="7">
        <f>Table1[[#This Row],[Net Sales]] * 0.2</f>
        <v>794.32650000000012</v>
      </c>
      <c r="D455" t="s">
        <v>19</v>
      </c>
      <c r="E455" t="s">
        <v>27</v>
      </c>
      <c r="F455">
        <v>11</v>
      </c>
      <c r="G455">
        <v>445.75</v>
      </c>
      <c r="H455" t="s">
        <v>32</v>
      </c>
      <c r="I455" t="s">
        <v>35</v>
      </c>
      <c r="J455" s="3">
        <v>0.1</v>
      </c>
      <c r="K455" t="s">
        <v>39</v>
      </c>
      <c r="L455">
        <v>4412.9250000000002</v>
      </c>
      <c r="M455" t="s">
        <v>43</v>
      </c>
      <c r="N455" t="s">
        <v>49</v>
      </c>
      <c r="O455">
        <v>0</v>
      </c>
      <c r="P455" t="s">
        <v>504</v>
      </c>
      <c r="Q455" t="s">
        <v>1992</v>
      </c>
      <c r="R455">
        <v>18.07</v>
      </c>
      <c r="S455" s="5">
        <v>45595</v>
      </c>
      <c r="T455" s="5">
        <v>45603</v>
      </c>
      <c r="U455" t="s">
        <v>2922</v>
      </c>
    </row>
    <row r="456" spans="1:21" x14ac:dyDescent="0.25">
      <c r="A456" s="5">
        <v>45523</v>
      </c>
      <c r="B456" s="7">
        <f>Table1[[#This Row],[TotalPrice]] * (1 - Table1[[#This Row],[Discount]])</f>
        <v>1259.4041999999999</v>
      </c>
      <c r="C456" s="7">
        <f>Table1[[#This Row],[Net Sales]] * 0.2</f>
        <v>251.88084000000001</v>
      </c>
      <c r="D456" t="s">
        <v>20</v>
      </c>
      <c r="E456" t="s">
        <v>24</v>
      </c>
      <c r="F456">
        <v>18</v>
      </c>
      <c r="G456">
        <v>96.84</v>
      </c>
      <c r="H456" t="s">
        <v>32</v>
      </c>
      <c r="I456" t="s">
        <v>35</v>
      </c>
      <c r="J456" s="3">
        <v>0.15</v>
      </c>
      <c r="K456" t="s">
        <v>39</v>
      </c>
      <c r="L456">
        <v>1481.652</v>
      </c>
      <c r="M456" t="s">
        <v>47</v>
      </c>
      <c r="N456" t="s">
        <v>49</v>
      </c>
      <c r="O456">
        <v>1</v>
      </c>
      <c r="P456" t="s">
        <v>505</v>
      </c>
      <c r="Q456" t="s">
        <v>1993</v>
      </c>
      <c r="R456">
        <v>8.1</v>
      </c>
      <c r="S456" s="5">
        <v>45523</v>
      </c>
      <c r="T456" s="5">
        <v>45527</v>
      </c>
      <c r="U456" t="s">
        <v>2923</v>
      </c>
    </row>
    <row r="457" spans="1:21" x14ac:dyDescent="0.25">
      <c r="A457" s="5">
        <v>45137</v>
      </c>
      <c r="B457" s="7">
        <f>Table1[[#This Row],[TotalPrice]] * (1 - Table1[[#This Row],[Discount]])</f>
        <v>427.93110000000001</v>
      </c>
      <c r="C457" s="7">
        <f>Table1[[#This Row],[Net Sales]] * 0.2</f>
        <v>85.586220000000012</v>
      </c>
      <c r="D457" t="s">
        <v>22</v>
      </c>
      <c r="E457" t="s">
        <v>27</v>
      </c>
      <c r="F457">
        <v>1</v>
      </c>
      <c r="G457">
        <v>528.30999999999995</v>
      </c>
      <c r="H457" t="s">
        <v>33</v>
      </c>
      <c r="I457" t="s">
        <v>35</v>
      </c>
      <c r="J457" s="3">
        <v>0.1</v>
      </c>
      <c r="K457" t="s">
        <v>38</v>
      </c>
      <c r="L457">
        <v>475.47899999999998</v>
      </c>
      <c r="M457" t="s">
        <v>43</v>
      </c>
      <c r="N457" t="s">
        <v>48</v>
      </c>
      <c r="O457">
        <v>0</v>
      </c>
      <c r="P457" t="s">
        <v>506</v>
      </c>
      <c r="Q457" t="s">
        <v>1572</v>
      </c>
      <c r="R457">
        <v>24.55</v>
      </c>
      <c r="S457" s="5">
        <v>45137</v>
      </c>
      <c r="T457" s="5">
        <v>45147</v>
      </c>
      <c r="U457" t="s">
        <v>2925</v>
      </c>
    </row>
    <row r="458" spans="1:21" x14ac:dyDescent="0.25">
      <c r="A458" s="5">
        <v>45517</v>
      </c>
      <c r="B458" s="7">
        <f>Table1[[#This Row],[TotalPrice]] * (1 - Table1[[#This Row],[Discount]])</f>
        <v>1024.48</v>
      </c>
      <c r="C458" s="7">
        <f>Table1[[#This Row],[Net Sales]] * 0.2</f>
        <v>204.89600000000002</v>
      </c>
      <c r="D458" t="s">
        <v>21</v>
      </c>
      <c r="E458" t="s">
        <v>28</v>
      </c>
      <c r="F458">
        <v>16</v>
      </c>
      <c r="G458">
        <v>64.03</v>
      </c>
      <c r="H458" t="s">
        <v>32</v>
      </c>
      <c r="I458" t="s">
        <v>35</v>
      </c>
      <c r="J458" s="3">
        <v>0</v>
      </c>
      <c r="K458" t="s">
        <v>40</v>
      </c>
      <c r="L458">
        <v>1024.48</v>
      </c>
      <c r="M458" t="s">
        <v>44</v>
      </c>
      <c r="N458" t="s">
        <v>50</v>
      </c>
      <c r="O458">
        <v>1</v>
      </c>
      <c r="P458" t="s">
        <v>507</v>
      </c>
      <c r="Q458" t="s">
        <v>1994</v>
      </c>
      <c r="R458">
        <v>16.71</v>
      </c>
      <c r="S458" s="5">
        <v>45517</v>
      </c>
      <c r="T458" s="5">
        <v>45527</v>
      </c>
      <c r="U458" t="s">
        <v>2924</v>
      </c>
    </row>
    <row r="459" spans="1:21" x14ac:dyDescent="0.25">
      <c r="A459" s="5">
        <v>45234</v>
      </c>
      <c r="B459" s="7">
        <f>Table1[[#This Row],[TotalPrice]] * (1 - Table1[[#This Row],[Discount]])</f>
        <v>2104.458525</v>
      </c>
      <c r="C459" s="7">
        <f>Table1[[#This Row],[Net Sales]] * 0.2</f>
        <v>420.891705</v>
      </c>
      <c r="D459" t="s">
        <v>21</v>
      </c>
      <c r="E459" t="s">
        <v>30</v>
      </c>
      <c r="F459">
        <v>13</v>
      </c>
      <c r="G459">
        <v>179.37</v>
      </c>
      <c r="H459" t="s">
        <v>32</v>
      </c>
      <c r="I459" t="s">
        <v>36</v>
      </c>
      <c r="J459" s="3">
        <v>0.05</v>
      </c>
      <c r="K459" t="s">
        <v>37</v>
      </c>
      <c r="L459">
        <v>2215.2195000000002</v>
      </c>
      <c r="M459" t="s">
        <v>43</v>
      </c>
      <c r="N459" t="s">
        <v>48</v>
      </c>
      <c r="O459">
        <v>0</v>
      </c>
      <c r="P459" t="s">
        <v>508</v>
      </c>
      <c r="Q459" t="s">
        <v>1995</v>
      </c>
      <c r="R459">
        <v>35.28</v>
      </c>
      <c r="S459" s="5">
        <v>45234</v>
      </c>
      <c r="T459" s="5">
        <v>45242</v>
      </c>
      <c r="U459" t="s">
        <v>2924</v>
      </c>
    </row>
    <row r="460" spans="1:21" x14ac:dyDescent="0.25">
      <c r="A460" s="5">
        <v>45813</v>
      </c>
      <c r="B460" s="7">
        <f>Table1[[#This Row],[TotalPrice]] * (1 - Table1[[#This Row],[Discount]])</f>
        <v>9331.85</v>
      </c>
      <c r="C460" s="7">
        <f>Table1[[#This Row],[Net Sales]] * 0.2</f>
        <v>1866.3700000000001</v>
      </c>
      <c r="D460" t="s">
        <v>19</v>
      </c>
      <c r="E460" t="s">
        <v>30</v>
      </c>
      <c r="F460">
        <v>19</v>
      </c>
      <c r="G460">
        <v>491.15</v>
      </c>
      <c r="H460" t="s">
        <v>33</v>
      </c>
      <c r="I460" t="s">
        <v>36</v>
      </c>
      <c r="J460" s="3">
        <v>0</v>
      </c>
      <c r="K460" t="s">
        <v>39</v>
      </c>
      <c r="L460">
        <v>9331.85</v>
      </c>
      <c r="M460" t="s">
        <v>43</v>
      </c>
      <c r="O460">
        <v>0</v>
      </c>
      <c r="P460" t="s">
        <v>509</v>
      </c>
      <c r="Q460" t="s">
        <v>1996</v>
      </c>
      <c r="R460">
        <v>48.68</v>
      </c>
      <c r="S460" s="5">
        <v>45813</v>
      </c>
      <c r="T460" s="5">
        <v>45823</v>
      </c>
      <c r="U460" t="s">
        <v>2922</v>
      </c>
    </row>
    <row r="461" spans="1:21" x14ac:dyDescent="0.25">
      <c r="A461" s="5">
        <v>45100</v>
      </c>
      <c r="B461" s="7">
        <f>Table1[[#This Row],[TotalPrice]] * (1 - Table1[[#This Row],[Discount]])</f>
        <v>1801.7</v>
      </c>
      <c r="C461" s="7">
        <f>Table1[[#This Row],[Net Sales]] * 0.2</f>
        <v>360.34000000000003</v>
      </c>
      <c r="D461" t="s">
        <v>21</v>
      </c>
      <c r="E461" t="s">
        <v>30</v>
      </c>
      <c r="F461">
        <v>5</v>
      </c>
      <c r="G461">
        <v>360.34</v>
      </c>
      <c r="H461" t="s">
        <v>33</v>
      </c>
      <c r="I461" t="s">
        <v>35</v>
      </c>
      <c r="J461" s="3">
        <v>0</v>
      </c>
      <c r="K461" t="s">
        <v>40</v>
      </c>
      <c r="L461">
        <v>1801.7</v>
      </c>
      <c r="M461" t="s">
        <v>44</v>
      </c>
      <c r="O461">
        <v>0</v>
      </c>
      <c r="P461" t="s">
        <v>510</v>
      </c>
      <c r="Q461" t="s">
        <v>1997</v>
      </c>
      <c r="R461">
        <v>33.76</v>
      </c>
      <c r="S461" s="5">
        <v>45100</v>
      </c>
      <c r="T461" s="5">
        <v>45105</v>
      </c>
      <c r="U461" t="s">
        <v>2924</v>
      </c>
    </row>
    <row r="462" spans="1:21" x14ac:dyDescent="0.25">
      <c r="A462" s="5">
        <v>45556</v>
      </c>
      <c r="B462" s="7">
        <f>Table1[[#This Row],[TotalPrice]] * (1 - Table1[[#This Row],[Discount]])</f>
        <v>4808.1600000000008</v>
      </c>
      <c r="C462" s="7">
        <f>Table1[[#This Row],[Net Sales]] * 0.2</f>
        <v>961.63200000000018</v>
      </c>
      <c r="D462" t="s">
        <v>20</v>
      </c>
      <c r="E462" t="s">
        <v>24</v>
      </c>
      <c r="F462">
        <v>20</v>
      </c>
      <c r="G462">
        <v>296.8</v>
      </c>
      <c r="H462" t="s">
        <v>32</v>
      </c>
      <c r="I462" t="s">
        <v>36</v>
      </c>
      <c r="J462" s="3">
        <v>0.1</v>
      </c>
      <c r="K462" t="s">
        <v>39</v>
      </c>
      <c r="L462">
        <v>5342.4000000000005</v>
      </c>
      <c r="M462" t="s">
        <v>44</v>
      </c>
      <c r="O462">
        <v>0</v>
      </c>
      <c r="P462" t="s">
        <v>511</v>
      </c>
      <c r="Q462" t="s">
        <v>1998</v>
      </c>
      <c r="R462">
        <v>19.57</v>
      </c>
      <c r="S462" s="5">
        <v>45556</v>
      </c>
      <c r="T462" s="5">
        <v>45563</v>
      </c>
      <c r="U462" t="s">
        <v>2923</v>
      </c>
    </row>
    <row r="463" spans="1:21" x14ac:dyDescent="0.25">
      <c r="A463" s="5">
        <v>45292</v>
      </c>
      <c r="B463" s="7">
        <f>Table1[[#This Row],[TotalPrice]] * (1 - Table1[[#This Row],[Discount]])</f>
        <v>1456.5906</v>
      </c>
      <c r="C463" s="7">
        <f>Table1[[#This Row],[Net Sales]] * 0.2</f>
        <v>291.31812000000002</v>
      </c>
      <c r="D463" t="s">
        <v>20</v>
      </c>
      <c r="E463" t="s">
        <v>26</v>
      </c>
      <c r="F463">
        <v>3</v>
      </c>
      <c r="G463">
        <v>599.41999999999996</v>
      </c>
      <c r="H463" t="s">
        <v>32</v>
      </c>
      <c r="I463" t="s">
        <v>35</v>
      </c>
      <c r="J463" s="3">
        <v>0.1</v>
      </c>
      <c r="K463" t="s">
        <v>42</v>
      </c>
      <c r="L463">
        <v>1618.434</v>
      </c>
      <c r="M463" t="s">
        <v>43</v>
      </c>
      <c r="N463" t="s">
        <v>49</v>
      </c>
      <c r="O463">
        <v>0</v>
      </c>
      <c r="P463" t="s">
        <v>512</v>
      </c>
      <c r="Q463" t="s">
        <v>1999</v>
      </c>
      <c r="R463">
        <v>48.02</v>
      </c>
      <c r="S463" s="5">
        <v>45292</v>
      </c>
      <c r="T463" s="5">
        <v>45294</v>
      </c>
      <c r="U463" t="s">
        <v>2923</v>
      </c>
    </row>
    <row r="464" spans="1:21" x14ac:dyDescent="0.25">
      <c r="A464" s="5">
        <v>45659</v>
      </c>
      <c r="B464" s="7">
        <f>Table1[[#This Row],[TotalPrice]] * (1 - Table1[[#This Row],[Discount]])</f>
        <v>374.33</v>
      </c>
      <c r="C464" s="7">
        <f>Table1[[#This Row],[Net Sales]] * 0.2</f>
        <v>74.866</v>
      </c>
      <c r="D464" t="s">
        <v>23</v>
      </c>
      <c r="E464" t="s">
        <v>24</v>
      </c>
      <c r="F464">
        <v>1</v>
      </c>
      <c r="G464">
        <v>374.33</v>
      </c>
      <c r="H464" t="s">
        <v>31</v>
      </c>
      <c r="I464" t="s">
        <v>35</v>
      </c>
      <c r="J464" s="3">
        <v>0</v>
      </c>
      <c r="K464" t="s">
        <v>40</v>
      </c>
      <c r="L464">
        <v>374.33</v>
      </c>
      <c r="M464" t="s">
        <v>45</v>
      </c>
      <c r="N464" t="s">
        <v>48</v>
      </c>
      <c r="O464">
        <v>0</v>
      </c>
      <c r="P464" t="s">
        <v>513</v>
      </c>
      <c r="Q464" t="s">
        <v>2000</v>
      </c>
      <c r="R464">
        <v>33.31</v>
      </c>
      <c r="S464" s="5">
        <v>45659</v>
      </c>
      <c r="T464" s="5">
        <v>45669</v>
      </c>
      <c r="U464" t="s">
        <v>2926</v>
      </c>
    </row>
    <row r="465" spans="1:21" x14ac:dyDescent="0.25">
      <c r="A465" s="5">
        <v>45365</v>
      </c>
      <c r="B465" s="7">
        <f>Table1[[#This Row],[TotalPrice]] * (1 - Table1[[#This Row],[Discount]])</f>
        <v>5530.3040000000001</v>
      </c>
      <c r="C465" s="7">
        <f>Table1[[#This Row],[Net Sales]] * 0.2</f>
        <v>1106.0608</v>
      </c>
      <c r="D465" t="s">
        <v>21</v>
      </c>
      <c r="E465" t="s">
        <v>26</v>
      </c>
      <c r="F465">
        <v>13</v>
      </c>
      <c r="G465">
        <v>588.79999999999995</v>
      </c>
      <c r="H465" t="s">
        <v>34</v>
      </c>
      <c r="I465" t="s">
        <v>35</v>
      </c>
      <c r="J465" s="3">
        <v>0.15</v>
      </c>
      <c r="K465" t="s">
        <v>39</v>
      </c>
      <c r="L465">
        <v>6506.24</v>
      </c>
      <c r="M465" t="s">
        <v>47</v>
      </c>
      <c r="N465" t="s">
        <v>49</v>
      </c>
      <c r="O465">
        <v>0</v>
      </c>
      <c r="P465" t="s">
        <v>514</v>
      </c>
      <c r="Q465" t="s">
        <v>2001</v>
      </c>
      <c r="R465">
        <v>45.03</v>
      </c>
      <c r="S465" s="5">
        <v>45365</v>
      </c>
      <c r="T465" s="5">
        <v>45372</v>
      </c>
      <c r="U465" t="s">
        <v>2924</v>
      </c>
    </row>
    <row r="466" spans="1:21" x14ac:dyDescent="0.25">
      <c r="A466" s="5">
        <v>45416</v>
      </c>
      <c r="B466" s="7">
        <f>Table1[[#This Row],[TotalPrice]] * (1 - Table1[[#This Row],[Discount]])</f>
        <v>2579.7199999999998</v>
      </c>
      <c r="C466" s="7">
        <f>Table1[[#This Row],[Net Sales]] * 0.2</f>
        <v>515.94399999999996</v>
      </c>
      <c r="D466" t="s">
        <v>23</v>
      </c>
      <c r="E466" t="s">
        <v>28</v>
      </c>
      <c r="F466">
        <v>13</v>
      </c>
      <c r="G466">
        <v>198.44</v>
      </c>
      <c r="H466" t="s">
        <v>34</v>
      </c>
      <c r="I466" t="s">
        <v>35</v>
      </c>
      <c r="J466" s="3">
        <v>0</v>
      </c>
      <c r="K466" t="s">
        <v>40</v>
      </c>
      <c r="L466">
        <v>2579.7199999999998</v>
      </c>
      <c r="M466" t="s">
        <v>47</v>
      </c>
      <c r="N466" t="s">
        <v>49</v>
      </c>
      <c r="O466">
        <v>1</v>
      </c>
      <c r="P466" t="s">
        <v>515</v>
      </c>
      <c r="Q466" t="s">
        <v>2002</v>
      </c>
      <c r="R466">
        <v>31.51</v>
      </c>
      <c r="S466" s="5">
        <v>45416</v>
      </c>
      <c r="T466" s="5">
        <v>45421</v>
      </c>
      <c r="U466" t="s">
        <v>2926</v>
      </c>
    </row>
    <row r="467" spans="1:21" x14ac:dyDescent="0.25">
      <c r="A467" s="5">
        <v>45715</v>
      </c>
      <c r="B467" s="7">
        <f>Table1[[#This Row],[TotalPrice]] * (1 - Table1[[#This Row],[Discount]])</f>
        <v>4610.3999999999996</v>
      </c>
      <c r="C467" s="7">
        <f>Table1[[#This Row],[Net Sales]] * 0.2</f>
        <v>922.07999999999993</v>
      </c>
      <c r="D467" t="s">
        <v>20</v>
      </c>
      <c r="E467" t="s">
        <v>30</v>
      </c>
      <c r="F467">
        <v>12</v>
      </c>
      <c r="G467">
        <v>384.2</v>
      </c>
      <c r="H467" t="s">
        <v>32</v>
      </c>
      <c r="I467" t="s">
        <v>36</v>
      </c>
      <c r="J467" s="3">
        <v>0</v>
      </c>
      <c r="K467" t="s">
        <v>37</v>
      </c>
      <c r="L467">
        <v>4610.3999999999996</v>
      </c>
      <c r="M467" t="s">
        <v>47</v>
      </c>
      <c r="N467" t="s">
        <v>48</v>
      </c>
      <c r="O467">
        <v>0</v>
      </c>
      <c r="P467" t="s">
        <v>516</v>
      </c>
      <c r="Q467" t="s">
        <v>1853</v>
      </c>
      <c r="R467">
        <v>38.99</v>
      </c>
      <c r="S467" s="5">
        <v>45715</v>
      </c>
      <c r="T467" s="5">
        <v>45718</v>
      </c>
      <c r="U467" t="s">
        <v>2923</v>
      </c>
    </row>
    <row r="468" spans="1:21" x14ac:dyDescent="0.25">
      <c r="A468" s="5">
        <v>45609</v>
      </c>
      <c r="B468" s="7">
        <f>Table1[[#This Row],[TotalPrice]] * (1 - Table1[[#This Row],[Discount]])</f>
        <v>1374.1660999999999</v>
      </c>
      <c r="C468" s="7">
        <f>Table1[[#This Row],[Net Sales]] * 0.2</f>
        <v>274.83321999999998</v>
      </c>
      <c r="D468" t="s">
        <v>22</v>
      </c>
      <c r="E468" t="s">
        <v>25</v>
      </c>
      <c r="F468">
        <v>4</v>
      </c>
      <c r="G468">
        <v>475.49</v>
      </c>
      <c r="H468" t="s">
        <v>31</v>
      </c>
      <c r="I468" t="s">
        <v>35</v>
      </c>
      <c r="J468" s="3">
        <v>0.15</v>
      </c>
      <c r="K468" t="s">
        <v>39</v>
      </c>
      <c r="L468">
        <v>1616.6659999999999</v>
      </c>
      <c r="M468" t="s">
        <v>47</v>
      </c>
      <c r="N468" t="s">
        <v>50</v>
      </c>
      <c r="O468">
        <v>0</v>
      </c>
      <c r="P468" t="s">
        <v>517</v>
      </c>
      <c r="Q468" t="s">
        <v>2003</v>
      </c>
      <c r="R468">
        <v>11.6</v>
      </c>
      <c r="S468" s="5">
        <v>45609</v>
      </c>
      <c r="T468" s="5">
        <v>45613</v>
      </c>
      <c r="U468" t="s">
        <v>2925</v>
      </c>
    </row>
    <row r="469" spans="1:21" x14ac:dyDescent="0.25">
      <c r="A469" s="5">
        <v>45230</v>
      </c>
      <c r="B469" s="7">
        <f>Table1[[#This Row],[TotalPrice]] * (1 - Table1[[#This Row],[Discount]])</f>
        <v>986.43420000000003</v>
      </c>
      <c r="C469" s="7">
        <f>Table1[[#This Row],[Net Sales]] * 0.2</f>
        <v>197.28684000000001</v>
      </c>
      <c r="D469" t="s">
        <v>23</v>
      </c>
      <c r="E469" t="s">
        <v>30</v>
      </c>
      <c r="F469">
        <v>6</v>
      </c>
      <c r="G469">
        <v>202.97</v>
      </c>
      <c r="H469" t="s">
        <v>33</v>
      </c>
      <c r="I469" t="s">
        <v>36</v>
      </c>
      <c r="J469" s="3">
        <v>0.1</v>
      </c>
      <c r="K469" t="s">
        <v>37</v>
      </c>
      <c r="L469">
        <v>1096.038</v>
      </c>
      <c r="M469" t="s">
        <v>44</v>
      </c>
      <c r="N469" t="s">
        <v>50</v>
      </c>
      <c r="O469">
        <v>0</v>
      </c>
      <c r="P469" t="s">
        <v>518</v>
      </c>
      <c r="Q469" t="s">
        <v>2004</v>
      </c>
      <c r="R469">
        <v>43.55</v>
      </c>
      <c r="S469" s="5">
        <v>45230</v>
      </c>
      <c r="T469" s="5">
        <v>45240</v>
      </c>
      <c r="U469" t="s">
        <v>2926</v>
      </c>
    </row>
    <row r="470" spans="1:21" x14ac:dyDescent="0.25">
      <c r="A470" s="5">
        <v>45279</v>
      </c>
      <c r="B470" s="7">
        <f>Table1[[#This Row],[TotalPrice]] * (1 - Table1[[#This Row],[Discount]])</f>
        <v>2434.14</v>
      </c>
      <c r="C470" s="7">
        <f>Table1[[#This Row],[Net Sales]] * 0.2</f>
        <v>486.82799999999997</v>
      </c>
      <c r="D470" t="s">
        <v>22</v>
      </c>
      <c r="E470" t="s">
        <v>29</v>
      </c>
      <c r="F470">
        <v>18</v>
      </c>
      <c r="G470">
        <v>135.22999999999999</v>
      </c>
      <c r="H470" t="s">
        <v>33</v>
      </c>
      <c r="I470" t="s">
        <v>35</v>
      </c>
      <c r="J470" s="3">
        <v>0</v>
      </c>
      <c r="K470" t="s">
        <v>41</v>
      </c>
      <c r="L470">
        <v>2434.14</v>
      </c>
      <c r="M470" t="s">
        <v>43</v>
      </c>
      <c r="N470" t="s">
        <v>50</v>
      </c>
      <c r="O470">
        <v>1</v>
      </c>
      <c r="P470" t="s">
        <v>519</v>
      </c>
      <c r="Q470" t="s">
        <v>2005</v>
      </c>
      <c r="R470">
        <v>46.1</v>
      </c>
      <c r="S470" s="5">
        <v>45279</v>
      </c>
      <c r="T470" s="5">
        <v>45284</v>
      </c>
      <c r="U470" t="s">
        <v>2925</v>
      </c>
    </row>
    <row r="471" spans="1:21" x14ac:dyDescent="0.25">
      <c r="A471" s="5">
        <v>45257</v>
      </c>
      <c r="B471" s="7">
        <f>Table1[[#This Row],[TotalPrice]] * (1 - Table1[[#This Row],[Discount]])</f>
        <v>6433.0199999999995</v>
      </c>
      <c r="C471" s="7">
        <f>Table1[[#This Row],[Net Sales]] * 0.2</f>
        <v>1286.604</v>
      </c>
      <c r="D471" t="s">
        <v>20</v>
      </c>
      <c r="E471" t="s">
        <v>29</v>
      </c>
      <c r="F471">
        <v>20</v>
      </c>
      <c r="G471">
        <v>356.4</v>
      </c>
      <c r="H471" t="s">
        <v>33</v>
      </c>
      <c r="I471" t="s">
        <v>35</v>
      </c>
      <c r="J471" s="3">
        <v>0.05</v>
      </c>
      <c r="K471" t="s">
        <v>41</v>
      </c>
      <c r="L471">
        <v>6771.5999999999995</v>
      </c>
      <c r="M471" t="s">
        <v>47</v>
      </c>
      <c r="N471" t="s">
        <v>48</v>
      </c>
      <c r="O471">
        <v>1</v>
      </c>
      <c r="P471" t="s">
        <v>520</v>
      </c>
      <c r="Q471" t="s">
        <v>2006</v>
      </c>
      <c r="R471">
        <v>26.7</v>
      </c>
      <c r="S471" s="5">
        <v>45257</v>
      </c>
      <c r="T471" s="5">
        <v>45263</v>
      </c>
      <c r="U471" t="s">
        <v>2923</v>
      </c>
    </row>
    <row r="472" spans="1:21" x14ac:dyDescent="0.25">
      <c r="A472" s="5">
        <v>45153</v>
      </c>
      <c r="B472" s="7">
        <f>Table1[[#This Row],[TotalPrice]] * (1 - Table1[[#This Row],[Discount]])</f>
        <v>797.95439999999996</v>
      </c>
      <c r="C472" s="7">
        <f>Table1[[#This Row],[Net Sales]] * 0.2</f>
        <v>159.59088</v>
      </c>
      <c r="D472" t="s">
        <v>19</v>
      </c>
      <c r="E472" t="s">
        <v>24</v>
      </c>
      <c r="F472">
        <v>3</v>
      </c>
      <c r="G472">
        <v>294.72000000000003</v>
      </c>
      <c r="H472" t="s">
        <v>33</v>
      </c>
      <c r="I472" t="s">
        <v>35</v>
      </c>
      <c r="J472" s="3">
        <v>0.05</v>
      </c>
      <c r="K472" t="s">
        <v>38</v>
      </c>
      <c r="L472">
        <v>839.952</v>
      </c>
      <c r="M472" t="s">
        <v>47</v>
      </c>
      <c r="N472" t="s">
        <v>49</v>
      </c>
      <c r="O472">
        <v>0</v>
      </c>
      <c r="P472" t="s">
        <v>521</v>
      </c>
      <c r="Q472" t="s">
        <v>2007</v>
      </c>
      <c r="R472">
        <v>45.33</v>
      </c>
      <c r="S472" s="5">
        <v>45153</v>
      </c>
      <c r="T472" s="5">
        <v>45156</v>
      </c>
      <c r="U472" t="s">
        <v>2922</v>
      </c>
    </row>
    <row r="473" spans="1:21" x14ac:dyDescent="0.25">
      <c r="A473" s="5">
        <v>44942</v>
      </c>
      <c r="B473" s="7">
        <f>Table1[[#This Row],[TotalPrice]] * (1 - Table1[[#This Row],[Discount]])</f>
        <v>11077</v>
      </c>
      <c r="C473" s="7">
        <f>Table1[[#This Row],[Net Sales]] * 0.2</f>
        <v>2215.4</v>
      </c>
      <c r="D473" t="s">
        <v>23</v>
      </c>
      <c r="E473" t="s">
        <v>25</v>
      </c>
      <c r="F473">
        <v>20</v>
      </c>
      <c r="G473">
        <v>553.85</v>
      </c>
      <c r="H473" t="s">
        <v>32</v>
      </c>
      <c r="I473" t="s">
        <v>36</v>
      </c>
      <c r="J473" s="3">
        <v>0</v>
      </c>
      <c r="K473" t="s">
        <v>39</v>
      </c>
      <c r="L473">
        <v>11077</v>
      </c>
      <c r="M473" t="s">
        <v>47</v>
      </c>
      <c r="N473" t="s">
        <v>50</v>
      </c>
      <c r="O473">
        <v>0</v>
      </c>
      <c r="P473" t="s">
        <v>522</v>
      </c>
      <c r="Q473" t="s">
        <v>2008</v>
      </c>
      <c r="R473">
        <v>33.21</v>
      </c>
      <c r="S473" s="5">
        <v>44942</v>
      </c>
      <c r="T473" s="5">
        <v>44950</v>
      </c>
      <c r="U473" t="s">
        <v>2926</v>
      </c>
    </row>
    <row r="474" spans="1:21" x14ac:dyDescent="0.25">
      <c r="A474" s="5">
        <v>45716</v>
      </c>
      <c r="B474" s="7">
        <f>Table1[[#This Row],[TotalPrice]] * (1 - Table1[[#This Row],[Discount]])</f>
        <v>854.72010000000012</v>
      </c>
      <c r="C474" s="7">
        <f>Table1[[#This Row],[Net Sales]] * 0.2</f>
        <v>170.94402000000002</v>
      </c>
      <c r="D474" t="s">
        <v>22</v>
      </c>
      <c r="E474" t="s">
        <v>29</v>
      </c>
      <c r="F474">
        <v>13</v>
      </c>
      <c r="G474">
        <v>81.17</v>
      </c>
      <c r="H474" t="s">
        <v>34</v>
      </c>
      <c r="I474" t="s">
        <v>36</v>
      </c>
      <c r="J474" s="3">
        <v>0.1</v>
      </c>
      <c r="K474" t="s">
        <v>39</v>
      </c>
      <c r="L474">
        <v>949.68900000000008</v>
      </c>
      <c r="M474" t="s">
        <v>47</v>
      </c>
      <c r="N474" t="s">
        <v>49</v>
      </c>
      <c r="O474">
        <v>1</v>
      </c>
      <c r="P474" t="s">
        <v>523</v>
      </c>
      <c r="Q474" t="s">
        <v>2009</v>
      </c>
      <c r="R474">
        <v>48.21</v>
      </c>
      <c r="S474" s="5">
        <v>45716</v>
      </c>
      <c r="T474" s="5">
        <v>45724</v>
      </c>
      <c r="U474" t="s">
        <v>2925</v>
      </c>
    </row>
    <row r="475" spans="1:21" x14ac:dyDescent="0.25">
      <c r="A475" s="5">
        <v>45258</v>
      </c>
      <c r="B475" s="7">
        <f>Table1[[#This Row],[TotalPrice]] * (1 - Table1[[#This Row],[Discount]])</f>
        <v>1065.02</v>
      </c>
      <c r="C475" s="7">
        <f>Table1[[#This Row],[Net Sales]] * 0.2</f>
        <v>213.00400000000002</v>
      </c>
      <c r="D475" t="s">
        <v>23</v>
      </c>
      <c r="E475" t="s">
        <v>25</v>
      </c>
      <c r="F475">
        <v>2</v>
      </c>
      <c r="G475">
        <v>532.51</v>
      </c>
      <c r="H475" t="s">
        <v>31</v>
      </c>
      <c r="I475" t="s">
        <v>35</v>
      </c>
      <c r="J475" s="3">
        <v>0</v>
      </c>
      <c r="K475" t="s">
        <v>40</v>
      </c>
      <c r="L475">
        <v>1065.02</v>
      </c>
      <c r="M475" t="s">
        <v>45</v>
      </c>
      <c r="N475" t="s">
        <v>50</v>
      </c>
      <c r="O475">
        <v>1</v>
      </c>
      <c r="P475" t="s">
        <v>524</v>
      </c>
      <c r="Q475" t="s">
        <v>2010</v>
      </c>
      <c r="R475">
        <v>49.67</v>
      </c>
      <c r="S475" s="5">
        <v>45258</v>
      </c>
      <c r="T475" s="5">
        <v>45261</v>
      </c>
      <c r="U475" t="s">
        <v>2926</v>
      </c>
    </row>
    <row r="476" spans="1:21" x14ac:dyDescent="0.25">
      <c r="A476" s="5">
        <v>45264</v>
      </c>
      <c r="B476" s="7">
        <f>Table1[[#This Row],[TotalPrice]] * (1 - Table1[[#This Row],[Discount]])</f>
        <v>217.23390000000001</v>
      </c>
      <c r="C476" s="7">
        <f>Table1[[#This Row],[Net Sales]] * 0.2</f>
        <v>43.446780000000004</v>
      </c>
      <c r="D476" t="s">
        <v>23</v>
      </c>
      <c r="E476" t="s">
        <v>30</v>
      </c>
      <c r="F476">
        <v>1</v>
      </c>
      <c r="G476">
        <v>268.19</v>
      </c>
      <c r="H476" t="s">
        <v>31</v>
      </c>
      <c r="I476" t="s">
        <v>35</v>
      </c>
      <c r="J476" s="3">
        <v>0.1</v>
      </c>
      <c r="K476" t="s">
        <v>40</v>
      </c>
      <c r="L476">
        <v>241.37100000000001</v>
      </c>
      <c r="M476" t="s">
        <v>44</v>
      </c>
      <c r="N476" t="s">
        <v>50</v>
      </c>
      <c r="O476">
        <v>0</v>
      </c>
      <c r="P476" t="s">
        <v>525</v>
      </c>
      <c r="Q476" t="s">
        <v>2011</v>
      </c>
      <c r="R476">
        <v>9.48</v>
      </c>
      <c r="S476" s="5">
        <v>45264</v>
      </c>
      <c r="T476" s="5">
        <v>45273</v>
      </c>
      <c r="U476" t="s">
        <v>2926</v>
      </c>
    </row>
    <row r="477" spans="1:21" x14ac:dyDescent="0.25">
      <c r="A477" s="5">
        <v>45464</v>
      </c>
      <c r="B477" s="7">
        <f>Table1[[#This Row],[TotalPrice]] * (1 - Table1[[#This Row],[Discount]])</f>
        <v>5314.0236249999998</v>
      </c>
      <c r="C477" s="7">
        <f>Table1[[#This Row],[Net Sales]] * 0.2</f>
        <v>1062.804725</v>
      </c>
      <c r="D477" t="s">
        <v>20</v>
      </c>
      <c r="E477" t="s">
        <v>30</v>
      </c>
      <c r="F477">
        <v>17</v>
      </c>
      <c r="G477">
        <v>432.65</v>
      </c>
      <c r="H477" t="s">
        <v>32</v>
      </c>
      <c r="I477" t="s">
        <v>36</v>
      </c>
      <c r="J477" s="3">
        <v>0.15</v>
      </c>
      <c r="K477" t="s">
        <v>39</v>
      </c>
      <c r="L477">
        <v>6251.7924999999996</v>
      </c>
      <c r="M477" t="s">
        <v>47</v>
      </c>
      <c r="N477" t="s">
        <v>48</v>
      </c>
      <c r="O477">
        <v>0</v>
      </c>
      <c r="P477" t="s">
        <v>526</v>
      </c>
      <c r="Q477" t="s">
        <v>2012</v>
      </c>
      <c r="R477">
        <v>18.850000000000001</v>
      </c>
      <c r="S477" s="5">
        <v>45464</v>
      </c>
      <c r="T477" s="5">
        <v>45472</v>
      </c>
      <c r="U477" t="s">
        <v>2923</v>
      </c>
    </row>
    <row r="478" spans="1:21" x14ac:dyDescent="0.25">
      <c r="A478" s="5">
        <v>45733</v>
      </c>
      <c r="B478" s="7">
        <f>Table1[[#This Row],[TotalPrice]] * (1 - Table1[[#This Row],[Discount]])</f>
        <v>1395.2736000000002</v>
      </c>
      <c r="C478" s="7">
        <f>Table1[[#This Row],[Net Sales]] * 0.2</f>
        <v>279.05472000000003</v>
      </c>
      <c r="D478" t="s">
        <v>19</v>
      </c>
      <c r="E478" t="s">
        <v>26</v>
      </c>
      <c r="F478">
        <v>14</v>
      </c>
      <c r="G478">
        <v>123.04</v>
      </c>
      <c r="H478" t="s">
        <v>32</v>
      </c>
      <c r="I478" t="s">
        <v>35</v>
      </c>
      <c r="J478" s="3">
        <v>0.1</v>
      </c>
      <c r="K478" t="s">
        <v>41</v>
      </c>
      <c r="L478">
        <v>1550.3040000000001</v>
      </c>
      <c r="M478" t="s">
        <v>47</v>
      </c>
      <c r="N478" t="s">
        <v>50</v>
      </c>
      <c r="O478">
        <v>1</v>
      </c>
      <c r="P478" t="s">
        <v>527</v>
      </c>
      <c r="Q478" t="s">
        <v>2013</v>
      </c>
      <c r="R478">
        <v>43.28</v>
      </c>
      <c r="S478" s="5">
        <v>45733</v>
      </c>
      <c r="T478" s="5">
        <v>45742</v>
      </c>
      <c r="U478" t="s">
        <v>2922</v>
      </c>
    </row>
    <row r="479" spans="1:21" x14ac:dyDescent="0.25">
      <c r="A479" s="5">
        <v>45155</v>
      </c>
      <c r="B479" s="7">
        <f>Table1[[#This Row],[TotalPrice]] * (1 - Table1[[#This Row],[Discount]])</f>
        <v>5890.8384000000005</v>
      </c>
      <c r="C479" s="7">
        <f>Table1[[#This Row],[Net Sales]] * 0.2</f>
        <v>1178.1676800000002</v>
      </c>
      <c r="D479" t="s">
        <v>22</v>
      </c>
      <c r="E479" t="s">
        <v>26</v>
      </c>
      <c r="F479">
        <v>16</v>
      </c>
      <c r="G479">
        <v>454.54</v>
      </c>
      <c r="H479" t="s">
        <v>31</v>
      </c>
      <c r="I479" t="s">
        <v>36</v>
      </c>
      <c r="J479" s="3">
        <v>0.1</v>
      </c>
      <c r="K479" t="s">
        <v>42</v>
      </c>
      <c r="L479">
        <v>6545.3760000000002</v>
      </c>
      <c r="M479" t="s">
        <v>43</v>
      </c>
      <c r="N479" t="s">
        <v>48</v>
      </c>
      <c r="O479">
        <v>0</v>
      </c>
      <c r="P479" t="s">
        <v>528</v>
      </c>
      <c r="Q479" t="s">
        <v>2014</v>
      </c>
      <c r="R479">
        <v>20.55</v>
      </c>
      <c r="S479" s="5">
        <v>45155</v>
      </c>
      <c r="T479" s="5">
        <v>45157</v>
      </c>
      <c r="U479" t="s">
        <v>2925</v>
      </c>
    </row>
    <row r="480" spans="1:21" x14ac:dyDescent="0.25">
      <c r="A480" s="5">
        <v>45168</v>
      </c>
      <c r="B480" s="7">
        <f>Table1[[#This Row],[TotalPrice]] * (1 - Table1[[#This Row],[Discount]])</f>
        <v>4115.7429499999998</v>
      </c>
      <c r="C480" s="7">
        <f>Table1[[#This Row],[Net Sales]] * 0.2</f>
        <v>823.14859000000001</v>
      </c>
      <c r="D480" t="s">
        <v>22</v>
      </c>
      <c r="E480" t="s">
        <v>28</v>
      </c>
      <c r="F480">
        <v>11</v>
      </c>
      <c r="G480">
        <v>414.58</v>
      </c>
      <c r="H480" t="s">
        <v>34</v>
      </c>
      <c r="I480" t="s">
        <v>35</v>
      </c>
      <c r="J480" s="3">
        <v>0.05</v>
      </c>
      <c r="K480" t="s">
        <v>41</v>
      </c>
      <c r="L480">
        <v>4332.3609999999999</v>
      </c>
      <c r="M480" t="s">
        <v>47</v>
      </c>
      <c r="N480" t="s">
        <v>50</v>
      </c>
      <c r="O480">
        <v>0</v>
      </c>
      <c r="P480" t="s">
        <v>529</v>
      </c>
      <c r="Q480" t="s">
        <v>1702</v>
      </c>
      <c r="R480">
        <v>25.33</v>
      </c>
      <c r="S480" s="5">
        <v>45168</v>
      </c>
      <c r="T480" s="5">
        <v>45174</v>
      </c>
      <c r="U480" t="s">
        <v>2925</v>
      </c>
    </row>
    <row r="481" spans="1:21" x14ac:dyDescent="0.25">
      <c r="A481" s="5">
        <v>45824</v>
      </c>
      <c r="B481" s="7">
        <f>Table1[[#This Row],[TotalPrice]] * (1 - Table1[[#This Row],[Discount]])</f>
        <v>2572.7139000000002</v>
      </c>
      <c r="C481" s="7">
        <f>Table1[[#This Row],[Net Sales]] * 0.2</f>
        <v>514.54278000000011</v>
      </c>
      <c r="D481" t="s">
        <v>19</v>
      </c>
      <c r="E481" t="s">
        <v>25</v>
      </c>
      <c r="F481">
        <v>9</v>
      </c>
      <c r="G481">
        <v>352.91</v>
      </c>
      <c r="H481" t="s">
        <v>31</v>
      </c>
      <c r="I481" t="s">
        <v>35</v>
      </c>
      <c r="J481" s="3">
        <v>0.1</v>
      </c>
      <c r="K481" t="s">
        <v>42</v>
      </c>
      <c r="L481">
        <v>2858.5709999999999</v>
      </c>
      <c r="M481" t="s">
        <v>47</v>
      </c>
      <c r="N481" t="s">
        <v>48</v>
      </c>
      <c r="O481">
        <v>0</v>
      </c>
      <c r="P481" t="s">
        <v>530</v>
      </c>
      <c r="Q481" t="s">
        <v>2015</v>
      </c>
      <c r="R481">
        <v>30.57</v>
      </c>
      <c r="S481" s="5">
        <v>45824</v>
      </c>
      <c r="T481" s="5">
        <v>45826</v>
      </c>
      <c r="U481" t="s">
        <v>2922</v>
      </c>
    </row>
    <row r="482" spans="1:21" x14ac:dyDescent="0.25">
      <c r="A482" s="5">
        <v>45106</v>
      </c>
      <c r="B482" s="7">
        <f>Table1[[#This Row],[TotalPrice]] * (1 - Table1[[#This Row],[Discount]])</f>
        <v>1024.326</v>
      </c>
      <c r="C482" s="7">
        <f>Table1[[#This Row],[Net Sales]] * 0.2</f>
        <v>204.86520000000002</v>
      </c>
      <c r="D482" t="s">
        <v>21</v>
      </c>
      <c r="E482" t="s">
        <v>27</v>
      </c>
      <c r="F482">
        <v>10</v>
      </c>
      <c r="G482">
        <v>126.46</v>
      </c>
      <c r="H482" t="s">
        <v>32</v>
      </c>
      <c r="I482" t="s">
        <v>36</v>
      </c>
      <c r="J482" s="3">
        <v>0.1</v>
      </c>
      <c r="K482" t="s">
        <v>37</v>
      </c>
      <c r="L482">
        <v>1138.1400000000001</v>
      </c>
      <c r="M482" t="s">
        <v>43</v>
      </c>
      <c r="N482" t="s">
        <v>50</v>
      </c>
      <c r="O482">
        <v>0</v>
      </c>
      <c r="P482" t="s">
        <v>531</v>
      </c>
      <c r="Q482" t="s">
        <v>2016</v>
      </c>
      <c r="R482">
        <v>26.96</v>
      </c>
      <c r="S482" s="5">
        <v>45106</v>
      </c>
      <c r="T482" s="5">
        <v>45116</v>
      </c>
      <c r="U482" t="s">
        <v>2924</v>
      </c>
    </row>
    <row r="483" spans="1:21" x14ac:dyDescent="0.25">
      <c r="A483" s="5">
        <v>45151</v>
      </c>
      <c r="B483" s="7">
        <f>Table1[[#This Row],[TotalPrice]] * (1 - Table1[[#This Row],[Discount]])</f>
        <v>875.14</v>
      </c>
      <c r="C483" s="7">
        <f>Table1[[#This Row],[Net Sales]] * 0.2</f>
        <v>175.02800000000002</v>
      </c>
      <c r="D483" t="s">
        <v>21</v>
      </c>
      <c r="E483" t="s">
        <v>28</v>
      </c>
      <c r="F483">
        <v>7</v>
      </c>
      <c r="G483">
        <v>125.02</v>
      </c>
      <c r="H483" t="s">
        <v>34</v>
      </c>
      <c r="I483" t="s">
        <v>35</v>
      </c>
      <c r="J483" s="3">
        <v>0</v>
      </c>
      <c r="K483" t="s">
        <v>40</v>
      </c>
      <c r="L483">
        <v>875.14</v>
      </c>
      <c r="M483" t="s">
        <v>45</v>
      </c>
      <c r="N483" t="s">
        <v>48</v>
      </c>
      <c r="O483">
        <v>0</v>
      </c>
      <c r="P483" t="s">
        <v>532</v>
      </c>
      <c r="Q483" t="s">
        <v>2017</v>
      </c>
      <c r="R483">
        <v>12.45</v>
      </c>
      <c r="S483" s="5">
        <v>45151</v>
      </c>
      <c r="T483" s="5">
        <v>45158</v>
      </c>
      <c r="U483" t="s">
        <v>2924</v>
      </c>
    </row>
    <row r="484" spans="1:21" x14ac:dyDescent="0.25">
      <c r="A484" s="5">
        <v>45411</v>
      </c>
      <c r="B484" s="7">
        <f>Table1[[#This Row],[TotalPrice]] * (1 - Table1[[#This Row],[Discount]])</f>
        <v>6628.681999999998</v>
      </c>
      <c r="C484" s="7">
        <f>Table1[[#This Row],[Net Sales]] * 0.2</f>
        <v>1325.7363999999998</v>
      </c>
      <c r="D484" t="s">
        <v>23</v>
      </c>
      <c r="E484" t="s">
        <v>29</v>
      </c>
      <c r="F484">
        <v>20</v>
      </c>
      <c r="G484">
        <v>367.24</v>
      </c>
      <c r="H484" t="s">
        <v>32</v>
      </c>
      <c r="I484" t="s">
        <v>35</v>
      </c>
      <c r="J484" s="3">
        <v>0.05</v>
      </c>
      <c r="K484" t="s">
        <v>40</v>
      </c>
      <c r="L484">
        <v>6977.5599999999986</v>
      </c>
      <c r="M484" t="s">
        <v>44</v>
      </c>
      <c r="N484" t="s">
        <v>48</v>
      </c>
      <c r="O484">
        <v>0</v>
      </c>
      <c r="P484" t="s">
        <v>533</v>
      </c>
      <c r="Q484" t="s">
        <v>2018</v>
      </c>
      <c r="R484">
        <v>45.67</v>
      </c>
      <c r="S484" s="5">
        <v>45411</v>
      </c>
      <c r="T484" s="5">
        <v>45419</v>
      </c>
      <c r="U484" t="s">
        <v>2926</v>
      </c>
    </row>
    <row r="485" spans="1:21" x14ac:dyDescent="0.25">
      <c r="A485" s="5">
        <v>45122</v>
      </c>
      <c r="B485" s="7">
        <f>Table1[[#This Row],[TotalPrice]] * (1 - Table1[[#This Row],[Discount]])</f>
        <v>3456.96</v>
      </c>
      <c r="C485" s="7">
        <f>Table1[[#This Row],[Net Sales]] * 0.2</f>
        <v>691.39200000000005</v>
      </c>
      <c r="D485" t="s">
        <v>23</v>
      </c>
      <c r="E485" t="s">
        <v>28</v>
      </c>
      <c r="F485">
        <v>8</v>
      </c>
      <c r="G485">
        <v>432.12</v>
      </c>
      <c r="H485" t="s">
        <v>31</v>
      </c>
      <c r="I485" t="s">
        <v>36</v>
      </c>
      <c r="J485" s="3">
        <v>0</v>
      </c>
      <c r="K485" t="s">
        <v>41</v>
      </c>
      <c r="L485">
        <v>3456.96</v>
      </c>
      <c r="M485" t="s">
        <v>45</v>
      </c>
      <c r="N485" t="s">
        <v>50</v>
      </c>
      <c r="O485">
        <v>0</v>
      </c>
      <c r="P485" t="s">
        <v>534</v>
      </c>
      <c r="Q485" t="s">
        <v>2019</v>
      </c>
      <c r="R485">
        <v>42.1</v>
      </c>
      <c r="S485" s="5">
        <v>45122</v>
      </c>
      <c r="T485" s="5">
        <v>45132</v>
      </c>
      <c r="U485" t="s">
        <v>2926</v>
      </c>
    </row>
    <row r="486" spans="1:21" x14ac:dyDescent="0.25">
      <c r="A486" s="5">
        <v>45674</v>
      </c>
      <c r="B486" s="7">
        <f>Table1[[#This Row],[TotalPrice]] * (1 - Table1[[#This Row],[Discount]])</f>
        <v>32.3919</v>
      </c>
      <c r="C486" s="7">
        <f>Table1[[#This Row],[Net Sales]] * 0.2</f>
        <v>6.4783800000000005</v>
      </c>
      <c r="D486" t="s">
        <v>21</v>
      </c>
      <c r="E486" t="s">
        <v>29</v>
      </c>
      <c r="F486">
        <v>3</v>
      </c>
      <c r="G486">
        <v>13.33</v>
      </c>
      <c r="H486" t="s">
        <v>34</v>
      </c>
      <c r="I486" t="s">
        <v>36</v>
      </c>
      <c r="J486" s="3">
        <v>0.1</v>
      </c>
      <c r="K486" t="s">
        <v>37</v>
      </c>
      <c r="L486">
        <v>35.991</v>
      </c>
      <c r="M486" t="s">
        <v>47</v>
      </c>
      <c r="N486" t="s">
        <v>49</v>
      </c>
      <c r="O486">
        <v>0</v>
      </c>
      <c r="P486" t="s">
        <v>535</v>
      </c>
      <c r="Q486" t="s">
        <v>2020</v>
      </c>
      <c r="R486">
        <v>17.62</v>
      </c>
      <c r="S486" s="5">
        <v>45674</v>
      </c>
      <c r="T486" s="5">
        <v>45680</v>
      </c>
      <c r="U486" t="s">
        <v>2924</v>
      </c>
    </row>
    <row r="487" spans="1:21" x14ac:dyDescent="0.25">
      <c r="A487" s="5">
        <v>45709</v>
      </c>
      <c r="B487" s="7">
        <f>Table1[[#This Row],[TotalPrice]] * (1 - Table1[[#This Row],[Discount]])</f>
        <v>1377.09</v>
      </c>
      <c r="C487" s="7">
        <f>Table1[[#This Row],[Net Sales]] * 0.2</f>
        <v>275.41800000000001</v>
      </c>
      <c r="D487" t="s">
        <v>19</v>
      </c>
      <c r="E487" t="s">
        <v>30</v>
      </c>
      <c r="F487">
        <v>13</v>
      </c>
      <c r="G487">
        <v>105.93</v>
      </c>
      <c r="H487" t="s">
        <v>33</v>
      </c>
      <c r="I487" t="s">
        <v>36</v>
      </c>
      <c r="J487" s="3">
        <v>0</v>
      </c>
      <c r="K487" t="s">
        <v>42</v>
      </c>
      <c r="L487">
        <v>1377.09</v>
      </c>
      <c r="M487" t="s">
        <v>46</v>
      </c>
      <c r="N487" t="s">
        <v>48</v>
      </c>
      <c r="O487">
        <v>0</v>
      </c>
      <c r="P487" t="s">
        <v>536</v>
      </c>
      <c r="Q487" t="s">
        <v>2021</v>
      </c>
      <c r="R487">
        <v>38.96</v>
      </c>
      <c r="S487" s="5">
        <v>45709</v>
      </c>
      <c r="T487" s="5">
        <v>45719</v>
      </c>
      <c r="U487" t="s">
        <v>2922</v>
      </c>
    </row>
    <row r="488" spans="1:21" x14ac:dyDescent="0.25">
      <c r="A488" s="5">
        <v>45126</v>
      </c>
      <c r="B488" s="7">
        <f>Table1[[#This Row],[TotalPrice]] * (1 - Table1[[#This Row],[Discount]])</f>
        <v>10531</v>
      </c>
      <c r="C488" s="7">
        <f>Table1[[#This Row],[Net Sales]] * 0.2</f>
        <v>2106.2000000000003</v>
      </c>
      <c r="D488" t="s">
        <v>23</v>
      </c>
      <c r="E488" t="s">
        <v>28</v>
      </c>
      <c r="F488">
        <v>20</v>
      </c>
      <c r="G488">
        <v>526.54999999999995</v>
      </c>
      <c r="H488" t="s">
        <v>32</v>
      </c>
      <c r="I488" t="s">
        <v>35</v>
      </c>
      <c r="J488" s="3">
        <v>0</v>
      </c>
      <c r="K488" t="s">
        <v>38</v>
      </c>
      <c r="L488">
        <v>10531</v>
      </c>
      <c r="M488" t="s">
        <v>46</v>
      </c>
      <c r="N488" t="s">
        <v>48</v>
      </c>
      <c r="O488">
        <v>1</v>
      </c>
      <c r="P488" t="s">
        <v>537</v>
      </c>
      <c r="Q488" t="s">
        <v>2022</v>
      </c>
      <c r="R488">
        <v>25.64</v>
      </c>
      <c r="S488" s="5">
        <v>45126</v>
      </c>
      <c r="T488" s="5">
        <v>45133</v>
      </c>
      <c r="U488" t="s">
        <v>2926</v>
      </c>
    </row>
    <row r="489" spans="1:21" x14ac:dyDescent="0.25">
      <c r="A489" s="5">
        <v>45564</v>
      </c>
      <c r="B489" s="7">
        <f>Table1[[#This Row],[TotalPrice]] * (1 - Table1[[#This Row],[Discount]])</f>
        <v>3373.1659500000001</v>
      </c>
      <c r="C489" s="7">
        <f>Table1[[#This Row],[Net Sales]] * 0.2</f>
        <v>674.63319000000001</v>
      </c>
      <c r="D489" t="s">
        <v>23</v>
      </c>
      <c r="E489" t="s">
        <v>25</v>
      </c>
      <c r="F489">
        <v>11</v>
      </c>
      <c r="G489">
        <v>339.78</v>
      </c>
      <c r="H489" t="s">
        <v>32</v>
      </c>
      <c r="I489" t="s">
        <v>36</v>
      </c>
      <c r="J489" s="3">
        <v>0.05</v>
      </c>
      <c r="K489" t="s">
        <v>41</v>
      </c>
      <c r="L489">
        <v>3550.701</v>
      </c>
      <c r="M489" t="s">
        <v>46</v>
      </c>
      <c r="N489" t="s">
        <v>50</v>
      </c>
      <c r="O489">
        <v>1</v>
      </c>
      <c r="P489" t="s">
        <v>538</v>
      </c>
      <c r="Q489" t="s">
        <v>2023</v>
      </c>
      <c r="R489">
        <v>11.56</v>
      </c>
      <c r="S489" s="5">
        <v>45564</v>
      </c>
      <c r="T489" s="5">
        <v>45571</v>
      </c>
      <c r="U489" t="s">
        <v>2926</v>
      </c>
    </row>
    <row r="490" spans="1:21" x14ac:dyDescent="0.25">
      <c r="A490" s="5">
        <v>45582</v>
      </c>
      <c r="B490" s="7">
        <f>Table1[[#This Row],[TotalPrice]] * (1 - Table1[[#This Row],[Discount]])</f>
        <v>662.89374999999995</v>
      </c>
      <c r="C490" s="7">
        <f>Table1[[#This Row],[Net Sales]] * 0.2</f>
        <v>132.57874999999999</v>
      </c>
      <c r="D490" t="s">
        <v>19</v>
      </c>
      <c r="E490" t="s">
        <v>24</v>
      </c>
      <c r="F490">
        <v>10</v>
      </c>
      <c r="G490">
        <v>91.75</v>
      </c>
      <c r="H490" t="s">
        <v>34</v>
      </c>
      <c r="I490" t="s">
        <v>35</v>
      </c>
      <c r="J490" s="3">
        <v>0.15</v>
      </c>
      <c r="K490" t="s">
        <v>39</v>
      </c>
      <c r="L490">
        <v>779.875</v>
      </c>
      <c r="M490" t="s">
        <v>47</v>
      </c>
      <c r="N490" t="s">
        <v>50</v>
      </c>
      <c r="O490">
        <v>0</v>
      </c>
      <c r="P490" t="s">
        <v>539</v>
      </c>
      <c r="Q490" t="s">
        <v>2024</v>
      </c>
      <c r="R490">
        <v>37.270000000000003</v>
      </c>
      <c r="S490" s="5">
        <v>45582</v>
      </c>
      <c r="T490" s="5">
        <v>45586</v>
      </c>
      <c r="U490" t="s">
        <v>2922</v>
      </c>
    </row>
    <row r="491" spans="1:21" x14ac:dyDescent="0.25">
      <c r="A491" s="5">
        <v>45819</v>
      </c>
      <c r="B491" s="7">
        <f>Table1[[#This Row],[TotalPrice]] * (1 - Table1[[#This Row],[Discount]])</f>
        <v>165.96899999999999</v>
      </c>
      <c r="C491" s="7">
        <f>Table1[[#This Row],[Net Sales]] * 0.2</f>
        <v>33.193800000000003</v>
      </c>
      <c r="D491" t="s">
        <v>19</v>
      </c>
      <c r="E491" t="s">
        <v>25</v>
      </c>
      <c r="F491">
        <v>15</v>
      </c>
      <c r="G491">
        <v>13.66</v>
      </c>
      <c r="H491" t="s">
        <v>31</v>
      </c>
      <c r="I491" t="s">
        <v>36</v>
      </c>
      <c r="J491" s="3">
        <v>0.1</v>
      </c>
      <c r="K491" t="s">
        <v>38</v>
      </c>
      <c r="L491">
        <v>184.41</v>
      </c>
      <c r="M491" t="s">
        <v>46</v>
      </c>
      <c r="N491" t="s">
        <v>48</v>
      </c>
      <c r="O491">
        <v>0</v>
      </c>
      <c r="P491" t="s">
        <v>540</v>
      </c>
      <c r="Q491" t="s">
        <v>2025</v>
      </c>
      <c r="R491">
        <v>38.04</v>
      </c>
      <c r="S491" s="5">
        <v>45819</v>
      </c>
      <c r="T491" s="5">
        <v>45825</v>
      </c>
      <c r="U491" t="s">
        <v>2922</v>
      </c>
    </row>
    <row r="492" spans="1:21" x14ac:dyDescent="0.25">
      <c r="A492" s="5">
        <v>45310</v>
      </c>
      <c r="B492" s="7">
        <f>Table1[[#This Row],[TotalPrice]] * (1 - Table1[[#This Row],[Discount]])</f>
        <v>720.39779999999996</v>
      </c>
      <c r="C492" s="7">
        <f>Table1[[#This Row],[Net Sales]] * 0.2</f>
        <v>144.07955999999999</v>
      </c>
      <c r="D492" t="s">
        <v>23</v>
      </c>
      <c r="E492" t="s">
        <v>26</v>
      </c>
      <c r="F492">
        <v>6</v>
      </c>
      <c r="G492">
        <v>148.22999999999999</v>
      </c>
      <c r="H492" t="s">
        <v>31</v>
      </c>
      <c r="I492" t="s">
        <v>36</v>
      </c>
      <c r="J492" s="3">
        <v>0.1</v>
      </c>
      <c r="K492" t="s">
        <v>37</v>
      </c>
      <c r="L492">
        <v>800.44199999999989</v>
      </c>
      <c r="M492" t="s">
        <v>45</v>
      </c>
      <c r="N492" t="s">
        <v>48</v>
      </c>
      <c r="O492">
        <v>0</v>
      </c>
      <c r="P492" t="s">
        <v>541</v>
      </c>
      <c r="Q492" t="s">
        <v>2026</v>
      </c>
      <c r="R492">
        <v>19.579999999999998</v>
      </c>
      <c r="S492" s="5">
        <v>45310</v>
      </c>
      <c r="T492" s="5">
        <v>45320</v>
      </c>
      <c r="U492" t="s">
        <v>2926</v>
      </c>
    </row>
    <row r="493" spans="1:21" x14ac:dyDescent="0.25">
      <c r="A493" s="5">
        <v>45263</v>
      </c>
      <c r="B493" s="7">
        <f>Table1[[#This Row],[TotalPrice]] * (1 - Table1[[#This Row],[Discount]])</f>
        <v>3934.2509249999998</v>
      </c>
      <c r="C493" s="7">
        <f>Table1[[#This Row],[Net Sales]] * 0.2</f>
        <v>786.85018500000001</v>
      </c>
      <c r="D493" t="s">
        <v>19</v>
      </c>
      <c r="E493" t="s">
        <v>27</v>
      </c>
      <c r="F493">
        <v>11</v>
      </c>
      <c r="G493">
        <v>495.03</v>
      </c>
      <c r="H493" t="s">
        <v>34</v>
      </c>
      <c r="I493" t="s">
        <v>35</v>
      </c>
      <c r="J493" s="3">
        <v>0.15</v>
      </c>
      <c r="K493" t="s">
        <v>39</v>
      </c>
      <c r="L493">
        <v>4628.5304999999998</v>
      </c>
      <c r="M493" t="s">
        <v>47</v>
      </c>
      <c r="N493" t="s">
        <v>50</v>
      </c>
      <c r="O493">
        <v>0</v>
      </c>
      <c r="P493" t="s">
        <v>542</v>
      </c>
      <c r="Q493" t="s">
        <v>2027</v>
      </c>
      <c r="R493">
        <v>27.37</v>
      </c>
      <c r="S493" s="5">
        <v>45263</v>
      </c>
      <c r="T493" s="5">
        <v>45265</v>
      </c>
      <c r="U493" t="s">
        <v>2922</v>
      </c>
    </row>
    <row r="494" spans="1:21" x14ac:dyDescent="0.25">
      <c r="A494" s="5">
        <v>45462</v>
      </c>
      <c r="B494" s="7">
        <f>Table1[[#This Row],[TotalPrice]] * (1 - Table1[[#This Row],[Discount]])</f>
        <v>1338.588</v>
      </c>
      <c r="C494" s="7">
        <f>Table1[[#This Row],[Net Sales]] * 0.2</f>
        <v>267.7176</v>
      </c>
      <c r="D494" t="s">
        <v>22</v>
      </c>
      <c r="E494" t="s">
        <v>27</v>
      </c>
      <c r="F494">
        <v>6</v>
      </c>
      <c r="G494">
        <v>247.2</v>
      </c>
      <c r="H494" t="s">
        <v>32</v>
      </c>
      <c r="I494" t="s">
        <v>35</v>
      </c>
      <c r="J494" s="3">
        <v>0.05</v>
      </c>
      <c r="K494" t="s">
        <v>41</v>
      </c>
      <c r="L494">
        <v>1409.04</v>
      </c>
      <c r="M494" t="s">
        <v>45</v>
      </c>
      <c r="N494" t="s">
        <v>48</v>
      </c>
      <c r="O494">
        <v>0</v>
      </c>
      <c r="P494" t="s">
        <v>543</v>
      </c>
      <c r="Q494" t="s">
        <v>1997</v>
      </c>
      <c r="R494">
        <v>18.75</v>
      </c>
      <c r="S494" s="5">
        <v>45462</v>
      </c>
      <c r="T494" s="5">
        <v>45470</v>
      </c>
      <c r="U494" t="s">
        <v>2925</v>
      </c>
    </row>
    <row r="495" spans="1:21" x14ac:dyDescent="0.25">
      <c r="A495" s="5">
        <v>45581</v>
      </c>
      <c r="B495" s="7">
        <f>Table1[[#This Row],[TotalPrice]] * (1 - Table1[[#This Row],[Discount]])</f>
        <v>3557.2488749999989</v>
      </c>
      <c r="C495" s="7">
        <f>Table1[[#This Row],[Net Sales]] * 0.2</f>
        <v>711.44977499999982</v>
      </c>
      <c r="D495" t="s">
        <v>23</v>
      </c>
      <c r="E495" t="s">
        <v>29</v>
      </c>
      <c r="F495">
        <v>19</v>
      </c>
      <c r="G495">
        <v>207.45</v>
      </c>
      <c r="H495" t="s">
        <v>33</v>
      </c>
      <c r="I495" t="s">
        <v>36</v>
      </c>
      <c r="J495" s="3">
        <v>0.05</v>
      </c>
      <c r="K495" t="s">
        <v>42</v>
      </c>
      <c r="L495">
        <v>3744.4724999999989</v>
      </c>
      <c r="M495" t="s">
        <v>46</v>
      </c>
      <c r="N495" t="s">
        <v>49</v>
      </c>
      <c r="O495">
        <v>0</v>
      </c>
      <c r="P495" t="s">
        <v>544</v>
      </c>
      <c r="Q495" t="s">
        <v>2028</v>
      </c>
      <c r="R495">
        <v>11.5</v>
      </c>
      <c r="S495" s="5">
        <v>45581</v>
      </c>
      <c r="T495" s="5">
        <v>45586</v>
      </c>
      <c r="U495" t="s">
        <v>2926</v>
      </c>
    </row>
    <row r="496" spans="1:21" x14ac:dyDescent="0.25">
      <c r="A496" s="5">
        <v>45680</v>
      </c>
      <c r="B496" s="7">
        <f>Table1[[#This Row],[TotalPrice]] * (1 - Table1[[#This Row],[Discount]])</f>
        <v>535.7770999999999</v>
      </c>
      <c r="C496" s="7">
        <f>Table1[[#This Row],[Net Sales]] * 0.2</f>
        <v>107.15541999999999</v>
      </c>
      <c r="D496" t="s">
        <v>19</v>
      </c>
      <c r="E496" t="s">
        <v>24</v>
      </c>
      <c r="F496">
        <v>2</v>
      </c>
      <c r="G496">
        <v>370.78</v>
      </c>
      <c r="H496" t="s">
        <v>34</v>
      </c>
      <c r="I496" t="s">
        <v>35</v>
      </c>
      <c r="J496" s="3">
        <v>0.15</v>
      </c>
      <c r="K496" t="s">
        <v>41</v>
      </c>
      <c r="L496">
        <v>630.32599999999991</v>
      </c>
      <c r="M496" t="s">
        <v>43</v>
      </c>
      <c r="N496" t="s">
        <v>48</v>
      </c>
      <c r="O496">
        <v>0</v>
      </c>
      <c r="P496" t="s">
        <v>545</v>
      </c>
      <c r="Q496" t="s">
        <v>2029</v>
      </c>
      <c r="R496">
        <v>20.45</v>
      </c>
      <c r="S496" s="5">
        <v>45680</v>
      </c>
      <c r="T496" s="5">
        <v>45684</v>
      </c>
      <c r="U496" t="s">
        <v>2922</v>
      </c>
    </row>
    <row r="497" spans="1:21" x14ac:dyDescent="0.25">
      <c r="A497" s="5">
        <v>45201</v>
      </c>
      <c r="B497" s="7">
        <f>Table1[[#This Row],[TotalPrice]] * (1 - Table1[[#This Row],[Discount]])</f>
        <v>1069.5888</v>
      </c>
      <c r="C497" s="7">
        <f>Table1[[#This Row],[Net Sales]] * 0.2</f>
        <v>213.91776000000002</v>
      </c>
      <c r="D497" t="s">
        <v>22</v>
      </c>
      <c r="E497" t="s">
        <v>24</v>
      </c>
      <c r="F497">
        <v>9</v>
      </c>
      <c r="G497">
        <v>146.72</v>
      </c>
      <c r="H497" t="s">
        <v>32</v>
      </c>
      <c r="I497" t="s">
        <v>35</v>
      </c>
      <c r="J497" s="3">
        <v>0.1</v>
      </c>
      <c r="K497" t="s">
        <v>41</v>
      </c>
      <c r="L497">
        <v>1188.432</v>
      </c>
      <c r="M497" t="s">
        <v>45</v>
      </c>
      <c r="O497">
        <v>0</v>
      </c>
      <c r="P497" t="s">
        <v>546</v>
      </c>
      <c r="Q497" t="s">
        <v>2030</v>
      </c>
      <c r="R497">
        <v>10.45</v>
      </c>
      <c r="S497" s="5">
        <v>45201</v>
      </c>
      <c r="T497" s="5">
        <v>45209</v>
      </c>
      <c r="U497" t="s">
        <v>2925</v>
      </c>
    </row>
    <row r="498" spans="1:21" x14ac:dyDescent="0.25">
      <c r="A498" s="5">
        <v>45235</v>
      </c>
      <c r="B498" s="7">
        <f>Table1[[#This Row],[TotalPrice]] * (1 - Table1[[#This Row],[Discount]])</f>
        <v>1553.7420000000002</v>
      </c>
      <c r="C498" s="7">
        <f>Table1[[#This Row],[Net Sales]] * 0.2</f>
        <v>310.74840000000006</v>
      </c>
      <c r="D498" t="s">
        <v>19</v>
      </c>
      <c r="E498" t="s">
        <v>26</v>
      </c>
      <c r="F498">
        <v>12</v>
      </c>
      <c r="G498">
        <v>159.85</v>
      </c>
      <c r="H498" t="s">
        <v>34</v>
      </c>
      <c r="I498" t="s">
        <v>36</v>
      </c>
      <c r="J498" s="3">
        <v>0.1</v>
      </c>
      <c r="K498" t="s">
        <v>38</v>
      </c>
      <c r="L498">
        <v>1726.38</v>
      </c>
      <c r="M498" t="s">
        <v>47</v>
      </c>
      <c r="N498" t="s">
        <v>50</v>
      </c>
      <c r="O498">
        <v>0</v>
      </c>
      <c r="P498" t="s">
        <v>547</v>
      </c>
      <c r="Q498" t="s">
        <v>2031</v>
      </c>
      <c r="R498">
        <v>32.61</v>
      </c>
      <c r="S498" s="5">
        <v>45235</v>
      </c>
      <c r="T498" s="5">
        <v>45237</v>
      </c>
      <c r="U498" t="s">
        <v>2922</v>
      </c>
    </row>
    <row r="499" spans="1:21" x14ac:dyDescent="0.25">
      <c r="A499" s="5">
        <v>45095</v>
      </c>
      <c r="B499" s="7">
        <f>Table1[[#This Row],[TotalPrice]] * (1 - Table1[[#This Row],[Discount]])</f>
        <v>2131.5605999999998</v>
      </c>
      <c r="C499" s="7">
        <f>Table1[[#This Row],[Net Sales]] * 0.2</f>
        <v>426.31211999999999</v>
      </c>
      <c r="D499" t="s">
        <v>20</v>
      </c>
      <c r="E499" t="s">
        <v>30</v>
      </c>
      <c r="F499">
        <v>13</v>
      </c>
      <c r="G499">
        <v>181.68</v>
      </c>
      <c r="H499" t="s">
        <v>33</v>
      </c>
      <c r="I499" t="s">
        <v>35</v>
      </c>
      <c r="J499" s="3">
        <v>0.05</v>
      </c>
      <c r="K499" t="s">
        <v>41</v>
      </c>
      <c r="L499">
        <v>2243.748</v>
      </c>
      <c r="M499" t="s">
        <v>44</v>
      </c>
      <c r="N499" t="s">
        <v>49</v>
      </c>
      <c r="O499">
        <v>0</v>
      </c>
      <c r="P499" t="s">
        <v>548</v>
      </c>
      <c r="Q499" t="s">
        <v>2032</v>
      </c>
      <c r="R499">
        <v>14.69</v>
      </c>
      <c r="S499" s="5">
        <v>45095</v>
      </c>
      <c r="T499" s="5">
        <v>45100</v>
      </c>
      <c r="U499" t="s">
        <v>2923</v>
      </c>
    </row>
    <row r="500" spans="1:21" x14ac:dyDescent="0.25">
      <c r="A500" s="5">
        <v>45488</v>
      </c>
      <c r="B500" s="7">
        <f>Table1[[#This Row],[TotalPrice]] * (1 - Table1[[#This Row],[Discount]])</f>
        <v>394.88960000000003</v>
      </c>
      <c r="C500" s="7">
        <f>Table1[[#This Row],[Net Sales]] * 0.2</f>
        <v>78.977920000000012</v>
      </c>
      <c r="D500" t="s">
        <v>22</v>
      </c>
      <c r="E500" t="s">
        <v>25</v>
      </c>
      <c r="F500">
        <v>16</v>
      </c>
      <c r="G500">
        <v>34.159999999999997</v>
      </c>
      <c r="H500" t="s">
        <v>32</v>
      </c>
      <c r="I500" t="s">
        <v>36</v>
      </c>
      <c r="J500" s="3">
        <v>0.15</v>
      </c>
      <c r="K500" t="s">
        <v>42</v>
      </c>
      <c r="L500">
        <v>464.57600000000002</v>
      </c>
      <c r="M500" t="s">
        <v>47</v>
      </c>
      <c r="N500" t="s">
        <v>49</v>
      </c>
      <c r="O500">
        <v>0</v>
      </c>
      <c r="P500" t="s">
        <v>549</v>
      </c>
      <c r="Q500" t="s">
        <v>2033</v>
      </c>
      <c r="R500">
        <v>36.33</v>
      </c>
      <c r="S500" s="5">
        <v>45488</v>
      </c>
      <c r="T500" s="5">
        <v>45494</v>
      </c>
      <c r="U500" t="s">
        <v>2925</v>
      </c>
    </row>
    <row r="501" spans="1:21" x14ac:dyDescent="0.25">
      <c r="A501" s="5">
        <v>45457</v>
      </c>
      <c r="B501" s="7">
        <f>Table1[[#This Row],[TotalPrice]] * (1 - Table1[[#This Row],[Discount]])</f>
        <v>465.63660000000004</v>
      </c>
      <c r="C501" s="7">
        <f>Table1[[#This Row],[Net Sales]] * 0.2</f>
        <v>93.127320000000012</v>
      </c>
      <c r="D501" t="s">
        <v>22</v>
      </c>
      <c r="E501" t="s">
        <v>24</v>
      </c>
      <c r="F501">
        <v>2</v>
      </c>
      <c r="G501">
        <v>287.43</v>
      </c>
      <c r="H501" t="s">
        <v>33</v>
      </c>
      <c r="I501" t="s">
        <v>35</v>
      </c>
      <c r="J501" s="3">
        <v>0.1</v>
      </c>
      <c r="K501" t="s">
        <v>41</v>
      </c>
      <c r="L501">
        <v>517.37400000000002</v>
      </c>
      <c r="M501" t="s">
        <v>47</v>
      </c>
      <c r="N501" t="s">
        <v>50</v>
      </c>
      <c r="O501">
        <v>0</v>
      </c>
      <c r="P501" t="s">
        <v>550</v>
      </c>
      <c r="Q501" t="s">
        <v>1774</v>
      </c>
      <c r="R501">
        <v>25.34</v>
      </c>
      <c r="S501" s="5">
        <v>45457</v>
      </c>
      <c r="T501" s="5">
        <v>45466</v>
      </c>
      <c r="U501" t="s">
        <v>2925</v>
      </c>
    </row>
    <row r="502" spans="1:21" x14ac:dyDescent="0.25">
      <c r="A502" s="5">
        <v>45387</v>
      </c>
      <c r="B502" s="7">
        <f>Table1[[#This Row],[TotalPrice]] * (1 - Table1[[#This Row],[Discount]])</f>
        <v>4399.4831249999997</v>
      </c>
      <c r="C502" s="7">
        <f>Table1[[#This Row],[Net Sales]] * 0.2</f>
        <v>879.89662499999997</v>
      </c>
      <c r="D502" t="s">
        <v>19</v>
      </c>
      <c r="E502" t="s">
        <v>28</v>
      </c>
      <c r="F502">
        <v>15</v>
      </c>
      <c r="G502">
        <v>405.95</v>
      </c>
      <c r="H502" t="s">
        <v>34</v>
      </c>
      <c r="I502" t="s">
        <v>35</v>
      </c>
      <c r="J502" s="3">
        <v>0.15</v>
      </c>
      <c r="K502" t="s">
        <v>37</v>
      </c>
      <c r="L502">
        <v>5175.8625000000002</v>
      </c>
      <c r="M502" t="s">
        <v>44</v>
      </c>
      <c r="O502">
        <v>0</v>
      </c>
      <c r="P502" t="s">
        <v>551</v>
      </c>
      <c r="Q502" t="s">
        <v>2034</v>
      </c>
      <c r="R502">
        <v>32.04</v>
      </c>
      <c r="S502" s="5">
        <v>45387</v>
      </c>
      <c r="T502" s="5">
        <v>45392</v>
      </c>
      <c r="U502" t="s">
        <v>2922</v>
      </c>
    </row>
    <row r="503" spans="1:21" x14ac:dyDescent="0.25">
      <c r="A503" s="5">
        <v>44984</v>
      </c>
      <c r="B503" s="7">
        <f>Table1[[#This Row],[TotalPrice]] * (1 - Table1[[#This Row],[Discount]])</f>
        <v>430.61</v>
      </c>
      <c r="C503" s="7">
        <f>Table1[[#This Row],[Net Sales]] * 0.2</f>
        <v>86.122000000000014</v>
      </c>
      <c r="D503" t="s">
        <v>21</v>
      </c>
      <c r="E503" t="s">
        <v>24</v>
      </c>
      <c r="F503">
        <v>1</v>
      </c>
      <c r="G503">
        <v>430.61</v>
      </c>
      <c r="H503" t="s">
        <v>31</v>
      </c>
      <c r="I503" t="s">
        <v>36</v>
      </c>
      <c r="J503" s="3">
        <v>0</v>
      </c>
      <c r="K503" t="s">
        <v>38</v>
      </c>
      <c r="L503">
        <v>430.61</v>
      </c>
      <c r="M503" t="s">
        <v>44</v>
      </c>
      <c r="N503" t="s">
        <v>50</v>
      </c>
      <c r="O503">
        <v>0</v>
      </c>
      <c r="P503" t="s">
        <v>552</v>
      </c>
      <c r="Q503" t="s">
        <v>2035</v>
      </c>
      <c r="R503">
        <v>14.53</v>
      </c>
      <c r="S503" s="5">
        <v>44984</v>
      </c>
      <c r="T503" s="5">
        <v>44992</v>
      </c>
      <c r="U503" t="s">
        <v>2924</v>
      </c>
    </row>
    <row r="504" spans="1:21" x14ac:dyDescent="0.25">
      <c r="A504" s="5">
        <v>45138</v>
      </c>
      <c r="B504" s="7">
        <f>Table1[[#This Row],[TotalPrice]] * (1 - Table1[[#This Row],[Discount]])</f>
        <v>2540.25</v>
      </c>
      <c r="C504" s="7">
        <f>Table1[[#This Row],[Net Sales]] * 0.2</f>
        <v>508.05</v>
      </c>
      <c r="D504" t="s">
        <v>23</v>
      </c>
      <c r="E504" t="s">
        <v>24</v>
      </c>
      <c r="F504">
        <v>5</v>
      </c>
      <c r="G504">
        <v>508.05</v>
      </c>
      <c r="H504" t="s">
        <v>34</v>
      </c>
      <c r="I504" t="s">
        <v>36</v>
      </c>
      <c r="J504" s="3">
        <v>0</v>
      </c>
      <c r="K504" t="s">
        <v>39</v>
      </c>
      <c r="L504">
        <v>2540.25</v>
      </c>
      <c r="M504" t="s">
        <v>45</v>
      </c>
      <c r="N504" t="s">
        <v>50</v>
      </c>
      <c r="O504">
        <v>1</v>
      </c>
      <c r="P504" t="s">
        <v>553</v>
      </c>
      <c r="Q504" t="s">
        <v>2036</v>
      </c>
      <c r="R504">
        <v>35.630000000000003</v>
      </c>
      <c r="S504" s="5">
        <v>45138</v>
      </c>
      <c r="T504" s="5">
        <v>45147</v>
      </c>
      <c r="U504" t="s">
        <v>2926</v>
      </c>
    </row>
    <row r="505" spans="1:21" x14ac:dyDescent="0.25">
      <c r="A505" s="5">
        <v>44988</v>
      </c>
      <c r="B505" s="7">
        <f>Table1[[#This Row],[TotalPrice]] * (1 - Table1[[#This Row],[Discount]])</f>
        <v>4911.9957249999998</v>
      </c>
      <c r="C505" s="7">
        <f>Table1[[#This Row],[Net Sales]] * 0.2</f>
        <v>982.39914499999998</v>
      </c>
      <c r="D505" t="s">
        <v>23</v>
      </c>
      <c r="E505" t="s">
        <v>24</v>
      </c>
      <c r="F505">
        <v>13</v>
      </c>
      <c r="G505">
        <v>522.97</v>
      </c>
      <c r="H505" t="s">
        <v>33</v>
      </c>
      <c r="I505" t="s">
        <v>36</v>
      </c>
      <c r="J505" s="3">
        <v>0.15</v>
      </c>
      <c r="K505" t="s">
        <v>40</v>
      </c>
      <c r="L505">
        <v>5778.8185000000003</v>
      </c>
      <c r="M505" t="s">
        <v>46</v>
      </c>
      <c r="N505" t="s">
        <v>48</v>
      </c>
      <c r="O505">
        <v>0</v>
      </c>
      <c r="P505" t="s">
        <v>554</v>
      </c>
      <c r="Q505" t="s">
        <v>2037</v>
      </c>
      <c r="R505">
        <v>33.9</v>
      </c>
      <c r="S505" s="5">
        <v>44988</v>
      </c>
      <c r="T505" s="5">
        <v>44995</v>
      </c>
      <c r="U505" t="s">
        <v>2926</v>
      </c>
    </row>
    <row r="506" spans="1:21" x14ac:dyDescent="0.25">
      <c r="A506" s="5">
        <v>45042</v>
      </c>
      <c r="B506" s="7">
        <f>Table1[[#This Row],[TotalPrice]] * (1 - Table1[[#This Row],[Discount]])</f>
        <v>3583.6424999999999</v>
      </c>
      <c r="C506" s="7">
        <f>Table1[[#This Row],[Net Sales]] * 0.2</f>
        <v>716.72850000000005</v>
      </c>
      <c r="D506" t="s">
        <v>20</v>
      </c>
      <c r="E506" t="s">
        <v>24</v>
      </c>
      <c r="F506">
        <v>17</v>
      </c>
      <c r="G506">
        <v>260.25</v>
      </c>
      <c r="H506" t="s">
        <v>34</v>
      </c>
      <c r="I506" t="s">
        <v>35</v>
      </c>
      <c r="J506" s="3">
        <v>0.1</v>
      </c>
      <c r="K506" t="s">
        <v>39</v>
      </c>
      <c r="L506">
        <v>3981.8249999999998</v>
      </c>
      <c r="M506" t="s">
        <v>45</v>
      </c>
      <c r="N506" t="s">
        <v>49</v>
      </c>
      <c r="O506">
        <v>0</v>
      </c>
      <c r="P506" t="s">
        <v>555</v>
      </c>
      <c r="Q506" t="s">
        <v>2038</v>
      </c>
      <c r="R506">
        <v>23.26</v>
      </c>
      <c r="S506" s="5">
        <v>45042</v>
      </c>
      <c r="T506" s="5">
        <v>45044</v>
      </c>
      <c r="U506" t="s">
        <v>2923</v>
      </c>
    </row>
    <row r="507" spans="1:21" x14ac:dyDescent="0.25">
      <c r="A507" s="5">
        <v>45584</v>
      </c>
      <c r="B507" s="7">
        <f>Table1[[#This Row],[TotalPrice]] * (1 - Table1[[#This Row],[Discount]])</f>
        <v>2669.1606000000002</v>
      </c>
      <c r="C507" s="7">
        <f>Table1[[#This Row],[Net Sales]] * 0.2</f>
        <v>533.83212000000003</v>
      </c>
      <c r="D507" t="s">
        <v>19</v>
      </c>
      <c r="E507" t="s">
        <v>25</v>
      </c>
      <c r="F507">
        <v>6</v>
      </c>
      <c r="G507">
        <v>549.21</v>
      </c>
      <c r="H507" t="s">
        <v>31</v>
      </c>
      <c r="I507" t="s">
        <v>36</v>
      </c>
      <c r="J507" s="3">
        <v>0.1</v>
      </c>
      <c r="K507" t="s">
        <v>37</v>
      </c>
      <c r="L507">
        <v>2965.7339999999999</v>
      </c>
      <c r="M507" t="s">
        <v>45</v>
      </c>
      <c r="N507" t="s">
        <v>50</v>
      </c>
      <c r="O507">
        <v>1</v>
      </c>
      <c r="P507" t="s">
        <v>556</v>
      </c>
      <c r="Q507" t="s">
        <v>2039</v>
      </c>
      <c r="R507">
        <v>12.29</v>
      </c>
      <c r="S507" s="5">
        <v>45584</v>
      </c>
      <c r="T507" s="5">
        <v>45592</v>
      </c>
      <c r="U507" t="s">
        <v>2922</v>
      </c>
    </row>
    <row r="508" spans="1:21" x14ac:dyDescent="0.25">
      <c r="A508" s="5">
        <v>45473</v>
      </c>
      <c r="B508" s="7">
        <f>Table1[[#This Row],[TotalPrice]] * (1 - Table1[[#This Row],[Discount]])</f>
        <v>5801.3932249999998</v>
      </c>
      <c r="C508" s="7">
        <f>Table1[[#This Row],[Net Sales]] * 0.2</f>
        <v>1160.2786450000001</v>
      </c>
      <c r="D508" t="s">
        <v>22</v>
      </c>
      <c r="E508" t="s">
        <v>30</v>
      </c>
      <c r="F508">
        <v>17</v>
      </c>
      <c r="G508">
        <v>472.33</v>
      </c>
      <c r="H508" t="s">
        <v>33</v>
      </c>
      <c r="I508" t="s">
        <v>36</v>
      </c>
      <c r="J508" s="3">
        <v>0.15</v>
      </c>
      <c r="K508" t="s">
        <v>40</v>
      </c>
      <c r="L508">
        <v>6825.1684999999998</v>
      </c>
      <c r="M508" t="s">
        <v>46</v>
      </c>
      <c r="N508" t="s">
        <v>50</v>
      </c>
      <c r="O508">
        <v>0</v>
      </c>
      <c r="P508" t="s">
        <v>557</v>
      </c>
      <c r="Q508" t="s">
        <v>2040</v>
      </c>
      <c r="R508">
        <v>22.63</v>
      </c>
      <c r="S508" s="5">
        <v>45473</v>
      </c>
      <c r="T508" s="5">
        <v>45477</v>
      </c>
      <c r="U508" t="s">
        <v>2925</v>
      </c>
    </row>
    <row r="509" spans="1:21" x14ac:dyDescent="0.25">
      <c r="A509" s="5">
        <v>45576</v>
      </c>
      <c r="B509" s="7">
        <f>Table1[[#This Row],[TotalPrice]] * (1 - Table1[[#This Row],[Discount]])</f>
        <v>5371.47</v>
      </c>
      <c r="C509" s="7">
        <f>Table1[[#This Row],[Net Sales]] * 0.2</f>
        <v>1074.2940000000001</v>
      </c>
      <c r="D509" t="s">
        <v>23</v>
      </c>
      <c r="E509" t="s">
        <v>24</v>
      </c>
      <c r="F509">
        <v>9</v>
      </c>
      <c r="G509">
        <v>596.83000000000004</v>
      </c>
      <c r="H509" t="s">
        <v>32</v>
      </c>
      <c r="I509" t="s">
        <v>36</v>
      </c>
      <c r="J509" s="3">
        <v>0</v>
      </c>
      <c r="K509" t="s">
        <v>37</v>
      </c>
      <c r="L509">
        <v>5371.47</v>
      </c>
      <c r="M509" t="s">
        <v>47</v>
      </c>
      <c r="N509" t="s">
        <v>50</v>
      </c>
      <c r="O509">
        <v>0</v>
      </c>
      <c r="P509" t="s">
        <v>558</v>
      </c>
      <c r="Q509" t="s">
        <v>1627</v>
      </c>
      <c r="R509">
        <v>6.43</v>
      </c>
      <c r="S509" s="5">
        <v>45576</v>
      </c>
      <c r="T509" s="5">
        <v>45584</v>
      </c>
      <c r="U509" t="s">
        <v>2926</v>
      </c>
    </row>
    <row r="510" spans="1:21" x14ac:dyDescent="0.25">
      <c r="A510" s="5">
        <v>45822</v>
      </c>
      <c r="B510" s="7">
        <f>Table1[[#This Row],[TotalPrice]] * (1 - Table1[[#This Row],[Discount]])</f>
        <v>1871.586</v>
      </c>
      <c r="C510" s="7">
        <f>Table1[[#This Row],[Net Sales]] * 0.2</f>
        <v>374.31720000000001</v>
      </c>
      <c r="D510" t="s">
        <v>22</v>
      </c>
      <c r="E510" t="s">
        <v>28</v>
      </c>
      <c r="F510">
        <v>15</v>
      </c>
      <c r="G510">
        <v>154.04</v>
      </c>
      <c r="H510" t="s">
        <v>34</v>
      </c>
      <c r="I510" t="s">
        <v>36</v>
      </c>
      <c r="J510" s="3">
        <v>0.1</v>
      </c>
      <c r="K510" t="s">
        <v>38</v>
      </c>
      <c r="L510">
        <v>2079.54</v>
      </c>
      <c r="M510" t="s">
        <v>47</v>
      </c>
      <c r="N510" t="s">
        <v>48</v>
      </c>
      <c r="O510">
        <v>1</v>
      </c>
      <c r="P510" t="s">
        <v>559</v>
      </c>
      <c r="Q510" t="s">
        <v>2041</v>
      </c>
      <c r="R510">
        <v>24.53</v>
      </c>
      <c r="S510" s="5">
        <v>45822</v>
      </c>
      <c r="T510" s="5">
        <v>45831</v>
      </c>
      <c r="U510" t="s">
        <v>2925</v>
      </c>
    </row>
    <row r="511" spans="1:21" x14ac:dyDescent="0.25">
      <c r="A511" s="5">
        <v>45648</v>
      </c>
      <c r="B511" s="7">
        <f>Table1[[#This Row],[TotalPrice]] * (1 - Table1[[#This Row],[Discount]])</f>
        <v>7296.4152000000004</v>
      </c>
      <c r="C511" s="7">
        <f>Table1[[#This Row],[Net Sales]] * 0.2</f>
        <v>1459.2830400000003</v>
      </c>
      <c r="D511" t="s">
        <v>19</v>
      </c>
      <c r="E511" t="s">
        <v>24</v>
      </c>
      <c r="F511">
        <v>18</v>
      </c>
      <c r="G511">
        <v>500.44</v>
      </c>
      <c r="H511" t="s">
        <v>34</v>
      </c>
      <c r="I511" t="s">
        <v>35</v>
      </c>
      <c r="J511" s="3">
        <v>0.1</v>
      </c>
      <c r="K511" t="s">
        <v>42</v>
      </c>
      <c r="L511">
        <v>8107.1280000000006</v>
      </c>
      <c r="M511" t="s">
        <v>45</v>
      </c>
      <c r="O511">
        <v>0</v>
      </c>
      <c r="P511" t="s">
        <v>560</v>
      </c>
      <c r="Q511" t="s">
        <v>2042</v>
      </c>
      <c r="R511">
        <v>8.8699999999999992</v>
      </c>
      <c r="S511" s="5">
        <v>45648</v>
      </c>
      <c r="T511" s="5">
        <v>45656</v>
      </c>
      <c r="U511" t="s">
        <v>2922</v>
      </c>
    </row>
    <row r="512" spans="1:21" x14ac:dyDescent="0.25">
      <c r="A512" s="5">
        <v>45404</v>
      </c>
      <c r="B512" s="7">
        <f>Table1[[#This Row],[TotalPrice]] * (1 - Table1[[#This Row],[Discount]])</f>
        <v>1910.85</v>
      </c>
      <c r="C512" s="7">
        <f>Table1[[#This Row],[Net Sales]] * 0.2</f>
        <v>382.17</v>
      </c>
      <c r="D512" t="s">
        <v>23</v>
      </c>
      <c r="E512" t="s">
        <v>29</v>
      </c>
      <c r="F512">
        <v>5</v>
      </c>
      <c r="G512">
        <v>382.17</v>
      </c>
      <c r="H512" t="s">
        <v>33</v>
      </c>
      <c r="I512" t="s">
        <v>35</v>
      </c>
      <c r="J512" s="3">
        <v>0</v>
      </c>
      <c r="K512" t="s">
        <v>41</v>
      </c>
      <c r="L512">
        <v>1910.85</v>
      </c>
      <c r="M512" t="s">
        <v>45</v>
      </c>
      <c r="N512" t="s">
        <v>48</v>
      </c>
      <c r="O512">
        <v>0</v>
      </c>
      <c r="P512" t="s">
        <v>561</v>
      </c>
      <c r="Q512" t="s">
        <v>2043</v>
      </c>
      <c r="R512">
        <v>17.72</v>
      </c>
      <c r="S512" s="5">
        <v>45404</v>
      </c>
      <c r="T512" s="5">
        <v>45407</v>
      </c>
      <c r="U512" t="s">
        <v>2926</v>
      </c>
    </row>
    <row r="513" spans="1:21" x14ac:dyDescent="0.25">
      <c r="A513" s="5">
        <v>45682</v>
      </c>
      <c r="B513" s="7">
        <f>Table1[[#This Row],[TotalPrice]] * (1 - Table1[[#This Row],[Discount]])</f>
        <v>792.30795000000001</v>
      </c>
      <c r="C513" s="7">
        <f>Table1[[#This Row],[Net Sales]] * 0.2</f>
        <v>158.46159</v>
      </c>
      <c r="D513" t="s">
        <v>21</v>
      </c>
      <c r="E513" t="s">
        <v>27</v>
      </c>
      <c r="F513">
        <v>3</v>
      </c>
      <c r="G513">
        <v>365.54</v>
      </c>
      <c r="H513" t="s">
        <v>31</v>
      </c>
      <c r="I513" t="s">
        <v>36</v>
      </c>
      <c r="J513" s="3">
        <v>0.15</v>
      </c>
      <c r="K513" t="s">
        <v>39</v>
      </c>
      <c r="L513">
        <v>932.12700000000007</v>
      </c>
      <c r="M513" t="s">
        <v>43</v>
      </c>
      <c r="O513">
        <v>0</v>
      </c>
      <c r="P513" t="s">
        <v>562</v>
      </c>
      <c r="Q513" t="s">
        <v>2044</v>
      </c>
      <c r="R513">
        <v>45.89</v>
      </c>
      <c r="S513" s="5">
        <v>45682</v>
      </c>
      <c r="T513" s="5">
        <v>45686</v>
      </c>
      <c r="U513" t="s">
        <v>2924</v>
      </c>
    </row>
    <row r="514" spans="1:21" x14ac:dyDescent="0.25">
      <c r="A514" s="5">
        <v>45609</v>
      </c>
      <c r="B514" s="7">
        <f>Table1[[#This Row],[TotalPrice]] * (1 - Table1[[#This Row],[Discount]])</f>
        <v>975.84462499999995</v>
      </c>
      <c r="C514" s="7">
        <f>Table1[[#This Row],[Net Sales]] * 0.2</f>
        <v>195.168925</v>
      </c>
      <c r="D514" t="s">
        <v>21</v>
      </c>
      <c r="E514" t="s">
        <v>24</v>
      </c>
      <c r="F514">
        <v>5</v>
      </c>
      <c r="G514">
        <v>270.13</v>
      </c>
      <c r="H514" t="s">
        <v>33</v>
      </c>
      <c r="I514" t="s">
        <v>36</v>
      </c>
      <c r="J514" s="3">
        <v>0.15</v>
      </c>
      <c r="K514" t="s">
        <v>37</v>
      </c>
      <c r="L514">
        <v>1148.0525</v>
      </c>
      <c r="M514" t="s">
        <v>45</v>
      </c>
      <c r="O514">
        <v>0</v>
      </c>
      <c r="P514" t="s">
        <v>563</v>
      </c>
      <c r="Q514" t="s">
        <v>2045</v>
      </c>
      <c r="R514">
        <v>15.74</v>
      </c>
      <c r="S514" s="5">
        <v>45609</v>
      </c>
      <c r="T514" s="5">
        <v>45615</v>
      </c>
      <c r="U514" t="s">
        <v>2924</v>
      </c>
    </row>
    <row r="515" spans="1:21" x14ac:dyDescent="0.25">
      <c r="A515" s="5">
        <v>45001</v>
      </c>
      <c r="B515" s="7">
        <f>Table1[[#This Row],[TotalPrice]] * (1 - Table1[[#This Row],[Discount]])</f>
        <v>693.81674999999996</v>
      </c>
      <c r="C515" s="7">
        <f>Table1[[#This Row],[Net Sales]] * 0.2</f>
        <v>138.76335</v>
      </c>
      <c r="D515" t="s">
        <v>19</v>
      </c>
      <c r="E515" t="s">
        <v>29</v>
      </c>
      <c r="F515">
        <v>2</v>
      </c>
      <c r="G515">
        <v>480.15</v>
      </c>
      <c r="H515" t="s">
        <v>34</v>
      </c>
      <c r="I515" t="s">
        <v>36</v>
      </c>
      <c r="J515" s="3">
        <v>0.15</v>
      </c>
      <c r="K515" t="s">
        <v>41</v>
      </c>
      <c r="L515">
        <v>816.255</v>
      </c>
      <c r="M515" t="s">
        <v>43</v>
      </c>
      <c r="O515">
        <v>0</v>
      </c>
      <c r="P515" t="s">
        <v>564</v>
      </c>
      <c r="Q515" t="s">
        <v>2046</v>
      </c>
      <c r="R515">
        <v>42.07</v>
      </c>
      <c r="S515" s="5">
        <v>45001</v>
      </c>
      <c r="T515" s="5">
        <v>45006</v>
      </c>
      <c r="U515" t="s">
        <v>2922</v>
      </c>
    </row>
    <row r="516" spans="1:21" x14ac:dyDescent="0.25">
      <c r="A516" s="5">
        <v>45052</v>
      </c>
      <c r="B516" s="7">
        <f>Table1[[#This Row],[TotalPrice]] * (1 - Table1[[#This Row],[Discount]])</f>
        <v>6047.3465999999999</v>
      </c>
      <c r="C516" s="7">
        <f>Table1[[#This Row],[Net Sales]] * 0.2</f>
        <v>1209.4693199999999</v>
      </c>
      <c r="D516" t="s">
        <v>21</v>
      </c>
      <c r="E516" t="s">
        <v>24</v>
      </c>
      <c r="F516">
        <v>18</v>
      </c>
      <c r="G516">
        <v>414.77</v>
      </c>
      <c r="H516" t="s">
        <v>33</v>
      </c>
      <c r="I516" t="s">
        <v>35</v>
      </c>
      <c r="J516" s="3">
        <v>0.1</v>
      </c>
      <c r="K516" t="s">
        <v>37</v>
      </c>
      <c r="L516">
        <v>6719.2739999999994</v>
      </c>
      <c r="M516" t="s">
        <v>45</v>
      </c>
      <c r="O516">
        <v>1</v>
      </c>
      <c r="P516" t="s">
        <v>565</v>
      </c>
      <c r="Q516" t="s">
        <v>2047</v>
      </c>
      <c r="R516">
        <v>28.55</v>
      </c>
      <c r="S516" s="5">
        <v>45052</v>
      </c>
      <c r="T516" s="5">
        <v>45061</v>
      </c>
      <c r="U516" t="s">
        <v>2924</v>
      </c>
    </row>
    <row r="517" spans="1:21" x14ac:dyDescent="0.25">
      <c r="A517" s="5">
        <v>45611</v>
      </c>
      <c r="B517" s="7">
        <f>Table1[[#This Row],[TotalPrice]] * (1 - Table1[[#This Row],[Discount]])</f>
        <v>982.4</v>
      </c>
      <c r="C517" s="7">
        <f>Table1[[#This Row],[Net Sales]] * 0.2</f>
        <v>196.48000000000002</v>
      </c>
      <c r="D517" t="s">
        <v>19</v>
      </c>
      <c r="E517" t="s">
        <v>28</v>
      </c>
      <c r="F517">
        <v>10</v>
      </c>
      <c r="G517">
        <v>98.24</v>
      </c>
      <c r="H517" t="s">
        <v>33</v>
      </c>
      <c r="I517" t="s">
        <v>35</v>
      </c>
      <c r="J517" s="3">
        <v>0</v>
      </c>
      <c r="K517" t="s">
        <v>39</v>
      </c>
      <c r="L517">
        <v>982.4</v>
      </c>
      <c r="M517" t="s">
        <v>45</v>
      </c>
      <c r="N517" t="s">
        <v>48</v>
      </c>
      <c r="O517">
        <v>1</v>
      </c>
      <c r="P517" t="s">
        <v>566</v>
      </c>
      <c r="Q517" t="s">
        <v>1835</v>
      </c>
      <c r="R517">
        <v>21.01</v>
      </c>
      <c r="S517" s="5">
        <v>45611</v>
      </c>
      <c r="T517" s="5">
        <v>45613</v>
      </c>
      <c r="U517" t="s">
        <v>2922</v>
      </c>
    </row>
    <row r="518" spans="1:21" x14ac:dyDescent="0.25">
      <c r="A518" s="5">
        <v>45471</v>
      </c>
      <c r="B518" s="7">
        <f>Table1[[#This Row],[TotalPrice]] * (1 - Table1[[#This Row],[Discount]])</f>
        <v>1232.454</v>
      </c>
      <c r="C518" s="7">
        <f>Table1[[#This Row],[Net Sales]] * 0.2</f>
        <v>246.49080000000001</v>
      </c>
      <c r="D518" t="s">
        <v>22</v>
      </c>
      <c r="E518" t="s">
        <v>24</v>
      </c>
      <c r="F518">
        <v>6</v>
      </c>
      <c r="G518">
        <v>227.6</v>
      </c>
      <c r="H518" t="s">
        <v>34</v>
      </c>
      <c r="I518" t="s">
        <v>36</v>
      </c>
      <c r="J518" s="3">
        <v>0.05</v>
      </c>
      <c r="K518" t="s">
        <v>40</v>
      </c>
      <c r="L518">
        <v>1297.32</v>
      </c>
      <c r="M518" t="s">
        <v>46</v>
      </c>
      <c r="N518" t="s">
        <v>48</v>
      </c>
      <c r="O518">
        <v>0</v>
      </c>
      <c r="P518" t="s">
        <v>567</v>
      </c>
      <c r="Q518" t="s">
        <v>2048</v>
      </c>
      <c r="R518">
        <v>38.22</v>
      </c>
      <c r="S518" s="5">
        <v>45471</v>
      </c>
      <c r="T518" s="5">
        <v>45478</v>
      </c>
      <c r="U518" t="s">
        <v>2925</v>
      </c>
    </row>
    <row r="519" spans="1:21" x14ac:dyDescent="0.25">
      <c r="A519" s="5">
        <v>45788</v>
      </c>
      <c r="B519" s="7">
        <f>Table1[[#This Row],[TotalPrice]] * (1 - Table1[[#This Row],[Discount]])</f>
        <v>491.76962500000002</v>
      </c>
      <c r="C519" s="7">
        <f>Table1[[#This Row],[Net Sales]] * 0.2</f>
        <v>98.353925000000004</v>
      </c>
      <c r="D519" t="s">
        <v>22</v>
      </c>
      <c r="E519" t="s">
        <v>28</v>
      </c>
      <c r="F519">
        <v>5</v>
      </c>
      <c r="G519">
        <v>136.13</v>
      </c>
      <c r="H519" t="s">
        <v>33</v>
      </c>
      <c r="I519" t="s">
        <v>36</v>
      </c>
      <c r="J519" s="3">
        <v>0.15</v>
      </c>
      <c r="K519" t="s">
        <v>40</v>
      </c>
      <c r="L519">
        <v>578.55250000000001</v>
      </c>
      <c r="M519" t="s">
        <v>43</v>
      </c>
      <c r="O519">
        <v>0</v>
      </c>
      <c r="P519" t="s">
        <v>568</v>
      </c>
      <c r="Q519" t="s">
        <v>2049</v>
      </c>
      <c r="R519">
        <v>10.02</v>
      </c>
      <c r="S519" s="5">
        <v>45788</v>
      </c>
      <c r="T519" s="5">
        <v>45797</v>
      </c>
      <c r="U519" t="s">
        <v>2925</v>
      </c>
    </row>
    <row r="520" spans="1:21" x14ac:dyDescent="0.25">
      <c r="A520" s="5">
        <v>44983</v>
      </c>
      <c r="B520" s="7">
        <f>Table1[[#This Row],[TotalPrice]] * (1 - Table1[[#This Row],[Discount]])</f>
        <v>1980.9765</v>
      </c>
      <c r="C520" s="7">
        <f>Table1[[#This Row],[Net Sales]] * 0.2</f>
        <v>396.19530000000003</v>
      </c>
      <c r="D520" t="s">
        <v>22</v>
      </c>
      <c r="E520" t="s">
        <v>29</v>
      </c>
      <c r="F520">
        <v>5</v>
      </c>
      <c r="G520">
        <v>489.13</v>
      </c>
      <c r="H520" t="s">
        <v>33</v>
      </c>
      <c r="I520" t="s">
        <v>36</v>
      </c>
      <c r="J520" s="3">
        <v>0.1</v>
      </c>
      <c r="K520" t="s">
        <v>41</v>
      </c>
      <c r="L520">
        <v>2201.085</v>
      </c>
      <c r="M520" t="s">
        <v>44</v>
      </c>
      <c r="N520" t="s">
        <v>48</v>
      </c>
      <c r="O520">
        <v>0</v>
      </c>
      <c r="P520" t="s">
        <v>569</v>
      </c>
      <c r="Q520" t="s">
        <v>2050</v>
      </c>
      <c r="R520">
        <v>44.73</v>
      </c>
      <c r="S520" s="5">
        <v>44983</v>
      </c>
      <c r="T520" s="5">
        <v>44989</v>
      </c>
      <c r="U520" t="s">
        <v>2925</v>
      </c>
    </row>
    <row r="521" spans="1:21" x14ac:dyDescent="0.25">
      <c r="A521" s="5">
        <v>45412</v>
      </c>
      <c r="B521" s="7">
        <f>Table1[[#This Row],[TotalPrice]] * (1 - Table1[[#This Row],[Discount]])</f>
        <v>1657.44</v>
      </c>
      <c r="C521" s="7">
        <f>Table1[[#This Row],[Net Sales]] * 0.2</f>
        <v>331.48800000000006</v>
      </c>
      <c r="D521" t="s">
        <v>20</v>
      </c>
      <c r="E521" t="s">
        <v>24</v>
      </c>
      <c r="F521">
        <v>4</v>
      </c>
      <c r="G521">
        <v>414.36</v>
      </c>
      <c r="H521" t="s">
        <v>32</v>
      </c>
      <c r="I521" t="s">
        <v>36</v>
      </c>
      <c r="J521" s="3">
        <v>0</v>
      </c>
      <c r="K521" t="s">
        <v>42</v>
      </c>
      <c r="L521">
        <v>1657.44</v>
      </c>
      <c r="M521" t="s">
        <v>46</v>
      </c>
      <c r="N521" t="s">
        <v>48</v>
      </c>
      <c r="O521">
        <v>0</v>
      </c>
      <c r="P521" t="s">
        <v>570</v>
      </c>
      <c r="Q521" t="s">
        <v>2051</v>
      </c>
      <c r="R521">
        <v>8.02</v>
      </c>
      <c r="S521" s="5">
        <v>45412</v>
      </c>
      <c r="T521" s="5">
        <v>45419</v>
      </c>
      <c r="U521" t="s">
        <v>2923</v>
      </c>
    </row>
    <row r="522" spans="1:21" x14ac:dyDescent="0.25">
      <c r="A522" s="5">
        <v>45727</v>
      </c>
      <c r="B522" s="7">
        <f>Table1[[#This Row],[TotalPrice]] * (1 - Table1[[#This Row],[Discount]])</f>
        <v>599.35709999999995</v>
      </c>
      <c r="C522" s="7">
        <f>Table1[[#This Row],[Net Sales]] * 0.2</f>
        <v>119.87142</v>
      </c>
      <c r="D522" t="s">
        <v>19</v>
      </c>
      <c r="E522" t="s">
        <v>24</v>
      </c>
      <c r="F522">
        <v>6</v>
      </c>
      <c r="G522">
        <v>138.26</v>
      </c>
      <c r="H522" t="s">
        <v>31</v>
      </c>
      <c r="I522" t="s">
        <v>36</v>
      </c>
      <c r="J522" s="3">
        <v>0.15</v>
      </c>
      <c r="K522" t="s">
        <v>37</v>
      </c>
      <c r="L522">
        <v>705.12599999999998</v>
      </c>
      <c r="M522" t="s">
        <v>43</v>
      </c>
      <c r="O522">
        <v>1</v>
      </c>
      <c r="P522" t="s">
        <v>571</v>
      </c>
      <c r="Q522" t="s">
        <v>2052</v>
      </c>
      <c r="R522">
        <v>31.4</v>
      </c>
      <c r="S522" s="5">
        <v>45727</v>
      </c>
      <c r="T522" s="5">
        <v>45729</v>
      </c>
      <c r="U522" t="s">
        <v>2922</v>
      </c>
    </row>
    <row r="523" spans="1:21" x14ac:dyDescent="0.25">
      <c r="A523" s="5">
        <v>45838</v>
      </c>
      <c r="B523" s="7">
        <f>Table1[[#This Row],[TotalPrice]] * (1 - Table1[[#This Row],[Discount]])</f>
        <v>5280.3830999999991</v>
      </c>
      <c r="C523" s="7">
        <f>Table1[[#This Row],[Net Sales]] * 0.2</f>
        <v>1056.0766199999998</v>
      </c>
      <c r="D523" t="s">
        <v>19</v>
      </c>
      <c r="E523" t="s">
        <v>25</v>
      </c>
      <c r="F523">
        <v>12</v>
      </c>
      <c r="G523">
        <v>487.57</v>
      </c>
      <c r="H523" t="s">
        <v>32</v>
      </c>
      <c r="I523" t="s">
        <v>35</v>
      </c>
      <c r="J523" s="3">
        <v>0.05</v>
      </c>
      <c r="K523" t="s">
        <v>37</v>
      </c>
      <c r="L523">
        <v>5558.2979999999998</v>
      </c>
      <c r="M523" t="s">
        <v>47</v>
      </c>
      <c r="O523">
        <v>0</v>
      </c>
      <c r="P523" t="s">
        <v>572</v>
      </c>
      <c r="Q523" t="s">
        <v>2053</v>
      </c>
      <c r="R523">
        <v>37.33</v>
      </c>
      <c r="S523" s="5">
        <v>45838</v>
      </c>
      <c r="T523" s="5">
        <v>45848</v>
      </c>
      <c r="U523" t="s">
        <v>2922</v>
      </c>
    </row>
    <row r="524" spans="1:21" x14ac:dyDescent="0.25">
      <c r="A524" s="5">
        <v>45445</v>
      </c>
      <c r="B524" s="7">
        <f>Table1[[#This Row],[TotalPrice]] * (1 - Table1[[#This Row],[Discount]])</f>
        <v>7712.7649999999994</v>
      </c>
      <c r="C524" s="7">
        <f>Table1[[#This Row],[Net Sales]] * 0.2</f>
        <v>1542.5529999999999</v>
      </c>
      <c r="D524" t="s">
        <v>21</v>
      </c>
      <c r="E524" t="s">
        <v>27</v>
      </c>
      <c r="F524">
        <v>20</v>
      </c>
      <c r="G524">
        <v>427.3</v>
      </c>
      <c r="H524" t="s">
        <v>33</v>
      </c>
      <c r="I524" t="s">
        <v>35</v>
      </c>
      <c r="J524" s="3">
        <v>0.05</v>
      </c>
      <c r="K524" t="s">
        <v>39</v>
      </c>
      <c r="L524">
        <v>8118.7</v>
      </c>
      <c r="M524" t="s">
        <v>44</v>
      </c>
      <c r="N524" t="s">
        <v>48</v>
      </c>
      <c r="O524">
        <v>1</v>
      </c>
      <c r="P524" t="s">
        <v>573</v>
      </c>
      <c r="Q524" t="s">
        <v>2054</v>
      </c>
      <c r="R524">
        <v>25.19</v>
      </c>
      <c r="S524" s="5">
        <v>45445</v>
      </c>
      <c r="T524" s="5">
        <v>45451</v>
      </c>
      <c r="U524" t="s">
        <v>2924</v>
      </c>
    </row>
    <row r="525" spans="1:21" x14ac:dyDescent="0.25">
      <c r="A525" s="5">
        <v>45536</v>
      </c>
      <c r="B525" s="7">
        <f>Table1[[#This Row],[TotalPrice]] * (1 - Table1[[#This Row],[Discount]])</f>
        <v>6807.9151999999985</v>
      </c>
      <c r="C525" s="7">
        <f>Table1[[#This Row],[Net Sales]] * 0.2</f>
        <v>1361.5830399999998</v>
      </c>
      <c r="D525" t="s">
        <v>20</v>
      </c>
      <c r="E525" t="s">
        <v>24</v>
      </c>
      <c r="F525">
        <v>16</v>
      </c>
      <c r="G525">
        <v>588.91999999999996</v>
      </c>
      <c r="H525" t="s">
        <v>34</v>
      </c>
      <c r="I525" t="s">
        <v>35</v>
      </c>
      <c r="J525" s="3">
        <v>0.15</v>
      </c>
      <c r="K525" t="s">
        <v>38</v>
      </c>
      <c r="L525">
        <v>8009.311999999999</v>
      </c>
      <c r="M525" t="s">
        <v>47</v>
      </c>
      <c r="N525" t="s">
        <v>48</v>
      </c>
      <c r="O525">
        <v>0</v>
      </c>
      <c r="P525" t="s">
        <v>574</v>
      </c>
      <c r="Q525" t="s">
        <v>2055</v>
      </c>
      <c r="R525">
        <v>7.89</v>
      </c>
      <c r="S525" s="5">
        <v>45536</v>
      </c>
      <c r="T525" s="5">
        <v>45540</v>
      </c>
      <c r="U525" t="s">
        <v>2923</v>
      </c>
    </row>
    <row r="526" spans="1:21" x14ac:dyDescent="0.25">
      <c r="A526" s="5">
        <v>45668</v>
      </c>
      <c r="B526" s="7">
        <f>Table1[[#This Row],[TotalPrice]] * (1 - Table1[[#This Row],[Discount]])</f>
        <v>2087.1270000000004</v>
      </c>
      <c r="C526" s="7">
        <f>Table1[[#This Row],[Net Sales]] * 0.2</f>
        <v>417.42540000000008</v>
      </c>
      <c r="D526" t="s">
        <v>20</v>
      </c>
      <c r="E526" t="s">
        <v>24</v>
      </c>
      <c r="F526">
        <v>6</v>
      </c>
      <c r="G526">
        <v>429.45</v>
      </c>
      <c r="H526" t="s">
        <v>31</v>
      </c>
      <c r="I526" t="s">
        <v>36</v>
      </c>
      <c r="J526" s="3">
        <v>0.1</v>
      </c>
      <c r="K526" t="s">
        <v>38</v>
      </c>
      <c r="L526">
        <v>2319.0300000000002</v>
      </c>
      <c r="M526" t="s">
        <v>47</v>
      </c>
      <c r="O526">
        <v>0</v>
      </c>
      <c r="P526" t="s">
        <v>575</v>
      </c>
      <c r="Q526" t="s">
        <v>2056</v>
      </c>
      <c r="R526">
        <v>47.18</v>
      </c>
      <c r="S526" s="5">
        <v>45668</v>
      </c>
      <c r="T526" s="5">
        <v>45675</v>
      </c>
      <c r="U526" t="s">
        <v>2923</v>
      </c>
    </row>
    <row r="527" spans="1:21" x14ac:dyDescent="0.25">
      <c r="A527" s="5">
        <v>45747</v>
      </c>
      <c r="B527" s="7">
        <f>Table1[[#This Row],[TotalPrice]] * (1 - Table1[[#This Row],[Discount]])</f>
        <v>343.91</v>
      </c>
      <c r="C527" s="7">
        <f>Table1[[#This Row],[Net Sales]] * 0.2</f>
        <v>68.782000000000011</v>
      </c>
      <c r="D527" t="s">
        <v>20</v>
      </c>
      <c r="E527" t="s">
        <v>25</v>
      </c>
      <c r="F527">
        <v>1</v>
      </c>
      <c r="G527">
        <v>476</v>
      </c>
      <c r="H527" t="s">
        <v>32</v>
      </c>
      <c r="I527" t="s">
        <v>35</v>
      </c>
      <c r="J527" s="3">
        <v>0.15</v>
      </c>
      <c r="K527" t="s">
        <v>40</v>
      </c>
      <c r="L527">
        <v>404.6</v>
      </c>
      <c r="M527" t="s">
        <v>47</v>
      </c>
      <c r="N527" t="s">
        <v>48</v>
      </c>
      <c r="O527">
        <v>0</v>
      </c>
      <c r="P527" t="s">
        <v>576</v>
      </c>
      <c r="Q527" t="s">
        <v>2057</v>
      </c>
      <c r="R527">
        <v>18.95</v>
      </c>
      <c r="S527" s="5">
        <v>45747</v>
      </c>
      <c r="T527" s="5">
        <v>45750</v>
      </c>
      <c r="U527" t="s">
        <v>2923</v>
      </c>
    </row>
    <row r="528" spans="1:21" x14ac:dyDescent="0.25">
      <c r="A528" s="5">
        <v>45624</v>
      </c>
      <c r="B528" s="7">
        <f>Table1[[#This Row],[TotalPrice]] * (1 - Table1[[#This Row],[Discount]])</f>
        <v>1836.38</v>
      </c>
      <c r="C528" s="7">
        <f>Table1[[#This Row],[Net Sales]] * 0.2</f>
        <v>367.27600000000007</v>
      </c>
      <c r="D528" t="s">
        <v>20</v>
      </c>
      <c r="E528" t="s">
        <v>25</v>
      </c>
      <c r="F528">
        <v>13</v>
      </c>
      <c r="G528">
        <v>141.26</v>
      </c>
      <c r="H528" t="s">
        <v>31</v>
      </c>
      <c r="I528" t="s">
        <v>36</v>
      </c>
      <c r="J528" s="3">
        <v>0</v>
      </c>
      <c r="K528" t="s">
        <v>39</v>
      </c>
      <c r="L528">
        <v>1836.38</v>
      </c>
      <c r="M528" t="s">
        <v>43</v>
      </c>
      <c r="O528">
        <v>0</v>
      </c>
      <c r="P528" t="s">
        <v>577</v>
      </c>
      <c r="Q528" t="s">
        <v>1871</v>
      </c>
      <c r="R528">
        <v>23.68</v>
      </c>
      <c r="S528" s="5">
        <v>45624</v>
      </c>
      <c r="T528" s="5">
        <v>45631</v>
      </c>
      <c r="U528" t="s">
        <v>2923</v>
      </c>
    </row>
    <row r="529" spans="1:21" x14ac:dyDescent="0.25">
      <c r="A529" s="5">
        <v>45112</v>
      </c>
      <c r="B529" s="7">
        <f>Table1[[#This Row],[TotalPrice]] * (1 - Table1[[#This Row],[Discount]])</f>
        <v>543.28387499999997</v>
      </c>
      <c r="C529" s="7">
        <f>Table1[[#This Row],[Net Sales]] * 0.2</f>
        <v>108.656775</v>
      </c>
      <c r="D529" t="s">
        <v>21</v>
      </c>
      <c r="E529" t="s">
        <v>27</v>
      </c>
      <c r="F529">
        <v>3</v>
      </c>
      <c r="G529">
        <v>250.65</v>
      </c>
      <c r="H529" t="s">
        <v>34</v>
      </c>
      <c r="I529" t="s">
        <v>36</v>
      </c>
      <c r="J529" s="3">
        <v>0.15</v>
      </c>
      <c r="K529" t="s">
        <v>37</v>
      </c>
      <c r="L529">
        <v>639.15750000000003</v>
      </c>
      <c r="M529" t="s">
        <v>45</v>
      </c>
      <c r="N529" t="s">
        <v>49</v>
      </c>
      <c r="O529">
        <v>0</v>
      </c>
      <c r="P529" t="s">
        <v>578</v>
      </c>
      <c r="Q529" t="s">
        <v>2058</v>
      </c>
      <c r="R529">
        <v>44.46</v>
      </c>
      <c r="S529" s="5">
        <v>45112</v>
      </c>
      <c r="T529" s="5">
        <v>45114</v>
      </c>
      <c r="U529" t="s">
        <v>2924</v>
      </c>
    </row>
    <row r="530" spans="1:21" x14ac:dyDescent="0.25">
      <c r="A530" s="5">
        <v>45589</v>
      </c>
      <c r="B530" s="7">
        <f>Table1[[#This Row],[TotalPrice]] * (1 - Table1[[#This Row],[Discount]])</f>
        <v>5164.312574999999</v>
      </c>
      <c r="C530" s="7">
        <f>Table1[[#This Row],[Net Sales]] * 0.2</f>
        <v>1032.8625149999998</v>
      </c>
      <c r="D530" t="s">
        <v>23</v>
      </c>
      <c r="E530" t="s">
        <v>28</v>
      </c>
      <c r="F530">
        <v>19</v>
      </c>
      <c r="G530">
        <v>301.17</v>
      </c>
      <c r="H530" t="s">
        <v>34</v>
      </c>
      <c r="I530" t="s">
        <v>36</v>
      </c>
      <c r="J530" s="3">
        <v>0.05</v>
      </c>
      <c r="K530" t="s">
        <v>38</v>
      </c>
      <c r="L530">
        <v>5436.1184999999996</v>
      </c>
      <c r="M530" t="s">
        <v>46</v>
      </c>
      <c r="N530" t="s">
        <v>50</v>
      </c>
      <c r="O530">
        <v>0</v>
      </c>
      <c r="P530" t="s">
        <v>579</v>
      </c>
      <c r="Q530" t="s">
        <v>2059</v>
      </c>
      <c r="R530">
        <v>5.71</v>
      </c>
      <c r="S530" s="5">
        <v>45589</v>
      </c>
      <c r="T530" s="5">
        <v>45599</v>
      </c>
      <c r="U530" t="s">
        <v>2926</v>
      </c>
    </row>
    <row r="531" spans="1:21" x14ac:dyDescent="0.25">
      <c r="A531" s="5">
        <v>45755</v>
      </c>
      <c r="B531" s="7">
        <f>Table1[[#This Row],[TotalPrice]] * (1 - Table1[[#This Row],[Discount]])</f>
        <v>174.57930000000002</v>
      </c>
      <c r="C531" s="7">
        <f>Table1[[#This Row],[Net Sales]] * 0.2</f>
        <v>34.915860000000002</v>
      </c>
      <c r="D531" t="s">
        <v>21</v>
      </c>
      <c r="E531" t="s">
        <v>27</v>
      </c>
      <c r="F531">
        <v>7</v>
      </c>
      <c r="G531">
        <v>30.79</v>
      </c>
      <c r="H531" t="s">
        <v>33</v>
      </c>
      <c r="I531" t="s">
        <v>36</v>
      </c>
      <c r="J531" s="3">
        <v>0.1</v>
      </c>
      <c r="K531" t="s">
        <v>42</v>
      </c>
      <c r="L531">
        <v>193.977</v>
      </c>
      <c r="M531" t="s">
        <v>47</v>
      </c>
      <c r="N531" t="s">
        <v>50</v>
      </c>
      <c r="O531">
        <v>1</v>
      </c>
      <c r="P531" t="s">
        <v>580</v>
      </c>
      <c r="Q531" t="s">
        <v>2060</v>
      </c>
      <c r="R531">
        <v>11.39</v>
      </c>
      <c r="S531" s="5">
        <v>45755</v>
      </c>
      <c r="T531" s="5">
        <v>45763</v>
      </c>
      <c r="U531" t="s">
        <v>2924</v>
      </c>
    </row>
    <row r="532" spans="1:21" x14ac:dyDescent="0.25">
      <c r="A532" s="5">
        <v>45448</v>
      </c>
      <c r="B532" s="7">
        <f>Table1[[#This Row],[TotalPrice]] * (1 - Table1[[#This Row],[Discount]])</f>
        <v>405.75600000000003</v>
      </c>
      <c r="C532" s="7">
        <f>Table1[[#This Row],[Net Sales]] * 0.2</f>
        <v>81.151200000000017</v>
      </c>
      <c r="D532" t="s">
        <v>19</v>
      </c>
      <c r="E532" t="s">
        <v>24</v>
      </c>
      <c r="F532">
        <v>1</v>
      </c>
      <c r="G532">
        <v>561.6</v>
      </c>
      <c r="H532" t="s">
        <v>32</v>
      </c>
      <c r="I532" t="s">
        <v>35</v>
      </c>
      <c r="J532" s="3">
        <v>0.15</v>
      </c>
      <c r="K532" t="s">
        <v>38</v>
      </c>
      <c r="L532">
        <v>477.36</v>
      </c>
      <c r="M532" t="s">
        <v>46</v>
      </c>
      <c r="N532" t="s">
        <v>49</v>
      </c>
      <c r="O532">
        <v>0</v>
      </c>
      <c r="P532" t="s">
        <v>581</v>
      </c>
      <c r="Q532" t="s">
        <v>1682</v>
      </c>
      <c r="R532">
        <v>38.020000000000003</v>
      </c>
      <c r="S532" s="5">
        <v>45448</v>
      </c>
      <c r="T532" s="5">
        <v>45453</v>
      </c>
      <c r="U532" t="s">
        <v>2922</v>
      </c>
    </row>
    <row r="533" spans="1:21" x14ac:dyDescent="0.25">
      <c r="A533" s="5">
        <v>45680</v>
      </c>
      <c r="B533" s="7">
        <f>Table1[[#This Row],[TotalPrice]] * (1 - Table1[[#This Row],[Discount]])</f>
        <v>2239.172</v>
      </c>
      <c r="C533" s="7">
        <f>Table1[[#This Row],[Net Sales]] * 0.2</f>
        <v>447.83440000000002</v>
      </c>
      <c r="D533" t="s">
        <v>23</v>
      </c>
      <c r="E533" t="s">
        <v>25</v>
      </c>
      <c r="F533">
        <v>16</v>
      </c>
      <c r="G533">
        <v>193.7</v>
      </c>
      <c r="H533" t="s">
        <v>32</v>
      </c>
      <c r="I533" t="s">
        <v>36</v>
      </c>
      <c r="J533" s="3">
        <v>0.15</v>
      </c>
      <c r="K533" t="s">
        <v>42</v>
      </c>
      <c r="L533">
        <v>2634.32</v>
      </c>
      <c r="M533" t="s">
        <v>45</v>
      </c>
      <c r="N533" t="s">
        <v>49</v>
      </c>
      <c r="O533">
        <v>0</v>
      </c>
      <c r="P533" t="s">
        <v>582</v>
      </c>
      <c r="Q533" t="s">
        <v>2061</v>
      </c>
      <c r="R533">
        <v>6.83</v>
      </c>
      <c r="S533" s="5">
        <v>45680</v>
      </c>
      <c r="T533" s="5">
        <v>45686</v>
      </c>
      <c r="U533" t="s">
        <v>2926</v>
      </c>
    </row>
    <row r="534" spans="1:21" x14ac:dyDescent="0.25">
      <c r="A534" s="5">
        <v>45600</v>
      </c>
      <c r="B534" s="7">
        <f>Table1[[#This Row],[TotalPrice]] * (1 - Table1[[#This Row],[Discount]])</f>
        <v>4756.6352749999987</v>
      </c>
      <c r="C534" s="7">
        <f>Table1[[#This Row],[Net Sales]] * 0.2</f>
        <v>951.32705499999975</v>
      </c>
      <c r="D534" t="s">
        <v>22</v>
      </c>
      <c r="E534" t="s">
        <v>29</v>
      </c>
      <c r="F534">
        <v>17</v>
      </c>
      <c r="G534">
        <v>310.02999999999997</v>
      </c>
      <c r="H534" t="s">
        <v>34</v>
      </c>
      <c r="I534" t="s">
        <v>36</v>
      </c>
      <c r="J534" s="3">
        <v>0.05</v>
      </c>
      <c r="K534" t="s">
        <v>40</v>
      </c>
      <c r="L534">
        <v>5006.9844999999987</v>
      </c>
      <c r="M534" t="s">
        <v>43</v>
      </c>
      <c r="N534" t="s">
        <v>48</v>
      </c>
      <c r="O534">
        <v>0</v>
      </c>
      <c r="P534" t="s">
        <v>583</v>
      </c>
      <c r="Q534" t="s">
        <v>2062</v>
      </c>
      <c r="R534">
        <v>8.06</v>
      </c>
      <c r="S534" s="5">
        <v>45600</v>
      </c>
      <c r="T534" s="5">
        <v>45608</v>
      </c>
      <c r="U534" t="s">
        <v>2925</v>
      </c>
    </row>
    <row r="535" spans="1:21" x14ac:dyDescent="0.25">
      <c r="A535" s="5">
        <v>45292</v>
      </c>
      <c r="B535" s="7">
        <f>Table1[[#This Row],[TotalPrice]] * (1 - Table1[[#This Row],[Discount]])</f>
        <v>1922.362975</v>
      </c>
      <c r="C535" s="7">
        <f>Table1[[#This Row],[Net Sales]] * 0.2</f>
        <v>384.47259500000001</v>
      </c>
      <c r="D535" t="s">
        <v>23</v>
      </c>
      <c r="E535" t="s">
        <v>30</v>
      </c>
      <c r="F535">
        <v>13</v>
      </c>
      <c r="G535">
        <v>204.67</v>
      </c>
      <c r="H535" t="s">
        <v>32</v>
      </c>
      <c r="I535" t="s">
        <v>36</v>
      </c>
      <c r="J535" s="3">
        <v>0.15</v>
      </c>
      <c r="K535" t="s">
        <v>38</v>
      </c>
      <c r="L535">
        <v>2261.6035000000002</v>
      </c>
      <c r="M535" t="s">
        <v>43</v>
      </c>
      <c r="O535">
        <v>0</v>
      </c>
      <c r="P535" t="s">
        <v>584</v>
      </c>
      <c r="Q535" t="s">
        <v>2063</v>
      </c>
      <c r="R535">
        <v>6.76</v>
      </c>
      <c r="S535" s="5">
        <v>45292</v>
      </c>
      <c r="T535" s="5">
        <v>45296</v>
      </c>
      <c r="U535" t="s">
        <v>2926</v>
      </c>
    </row>
    <row r="536" spans="1:21" x14ac:dyDescent="0.25">
      <c r="A536" s="5">
        <v>45391</v>
      </c>
      <c r="B536" s="7">
        <f>Table1[[#This Row],[TotalPrice]] * (1 - Table1[[#This Row],[Discount]])</f>
        <v>750.33</v>
      </c>
      <c r="C536" s="7">
        <f>Table1[[#This Row],[Net Sales]] * 0.2</f>
        <v>150.066</v>
      </c>
      <c r="D536" t="s">
        <v>22</v>
      </c>
      <c r="E536" t="s">
        <v>30</v>
      </c>
      <c r="F536">
        <v>3</v>
      </c>
      <c r="G536">
        <v>250.11</v>
      </c>
      <c r="H536" t="s">
        <v>34</v>
      </c>
      <c r="I536" t="s">
        <v>35</v>
      </c>
      <c r="J536" s="3">
        <v>0</v>
      </c>
      <c r="K536" t="s">
        <v>38</v>
      </c>
      <c r="L536">
        <v>750.33</v>
      </c>
      <c r="M536" t="s">
        <v>44</v>
      </c>
      <c r="N536" t="s">
        <v>48</v>
      </c>
      <c r="O536">
        <v>0</v>
      </c>
      <c r="P536" t="s">
        <v>585</v>
      </c>
      <c r="Q536" t="s">
        <v>2064</v>
      </c>
      <c r="R536">
        <v>36.35</v>
      </c>
      <c r="S536" s="5">
        <v>45391</v>
      </c>
      <c r="T536" s="5">
        <v>45399</v>
      </c>
      <c r="U536" t="s">
        <v>2925</v>
      </c>
    </row>
    <row r="537" spans="1:21" x14ac:dyDescent="0.25">
      <c r="A537" s="5">
        <v>45674</v>
      </c>
      <c r="B537" s="7">
        <f>Table1[[#This Row],[TotalPrice]] * (1 - Table1[[#This Row],[Discount]])</f>
        <v>6321.84</v>
      </c>
      <c r="C537" s="7">
        <f>Table1[[#This Row],[Net Sales]] * 0.2</f>
        <v>1264.3680000000002</v>
      </c>
      <c r="D537" t="s">
        <v>21</v>
      </c>
      <c r="E537" t="s">
        <v>26</v>
      </c>
      <c r="F537">
        <v>12</v>
      </c>
      <c r="G537">
        <v>526.82000000000005</v>
      </c>
      <c r="H537" t="s">
        <v>32</v>
      </c>
      <c r="I537" t="s">
        <v>36</v>
      </c>
      <c r="J537" s="3">
        <v>0</v>
      </c>
      <c r="K537" t="s">
        <v>39</v>
      </c>
      <c r="L537">
        <v>6321.84</v>
      </c>
      <c r="M537" t="s">
        <v>45</v>
      </c>
      <c r="N537" t="s">
        <v>50</v>
      </c>
      <c r="O537">
        <v>0</v>
      </c>
      <c r="P537" t="s">
        <v>586</v>
      </c>
      <c r="Q537" t="s">
        <v>2065</v>
      </c>
      <c r="R537">
        <v>29.75</v>
      </c>
      <c r="S537" s="5">
        <v>45674</v>
      </c>
      <c r="T537" s="5">
        <v>45682</v>
      </c>
      <c r="U537" t="s">
        <v>2924</v>
      </c>
    </row>
    <row r="538" spans="1:21" x14ac:dyDescent="0.25">
      <c r="A538" s="5">
        <v>45557</v>
      </c>
      <c r="B538" s="7">
        <f>Table1[[#This Row],[TotalPrice]] * (1 - Table1[[#This Row],[Discount]])</f>
        <v>10351.799999999999</v>
      </c>
      <c r="C538" s="7">
        <f>Table1[[#This Row],[Net Sales]] * 0.2</f>
        <v>2070.36</v>
      </c>
      <c r="D538" t="s">
        <v>19</v>
      </c>
      <c r="E538" t="s">
        <v>27</v>
      </c>
      <c r="F538">
        <v>18</v>
      </c>
      <c r="G538">
        <v>575.1</v>
      </c>
      <c r="H538" t="s">
        <v>34</v>
      </c>
      <c r="I538" t="s">
        <v>35</v>
      </c>
      <c r="J538" s="3">
        <v>0</v>
      </c>
      <c r="K538" t="s">
        <v>42</v>
      </c>
      <c r="L538">
        <v>10351.799999999999</v>
      </c>
      <c r="M538" t="s">
        <v>43</v>
      </c>
      <c r="N538" t="s">
        <v>48</v>
      </c>
      <c r="O538">
        <v>0</v>
      </c>
      <c r="P538" t="s">
        <v>587</v>
      </c>
      <c r="Q538" t="s">
        <v>2066</v>
      </c>
      <c r="R538">
        <v>35.32</v>
      </c>
      <c r="S538" s="5">
        <v>45557</v>
      </c>
      <c r="T538" s="5">
        <v>45564</v>
      </c>
      <c r="U538" t="s">
        <v>2922</v>
      </c>
    </row>
    <row r="539" spans="1:21" x14ac:dyDescent="0.25">
      <c r="A539" s="5">
        <v>44946</v>
      </c>
      <c r="B539" s="7">
        <f>Table1[[#This Row],[TotalPrice]] * (1 - Table1[[#This Row],[Discount]])</f>
        <v>2109.3696</v>
      </c>
      <c r="C539" s="7">
        <f>Table1[[#This Row],[Net Sales]] * 0.2</f>
        <v>421.87392</v>
      </c>
      <c r="D539" t="s">
        <v>19</v>
      </c>
      <c r="E539" t="s">
        <v>28</v>
      </c>
      <c r="F539">
        <v>8</v>
      </c>
      <c r="G539">
        <v>325.52</v>
      </c>
      <c r="H539" t="s">
        <v>33</v>
      </c>
      <c r="I539" t="s">
        <v>36</v>
      </c>
      <c r="J539" s="3">
        <v>0.1</v>
      </c>
      <c r="K539" t="s">
        <v>39</v>
      </c>
      <c r="L539">
        <v>2343.7440000000001</v>
      </c>
      <c r="M539" t="s">
        <v>46</v>
      </c>
      <c r="N539" t="s">
        <v>50</v>
      </c>
      <c r="O539">
        <v>0</v>
      </c>
      <c r="P539" t="s">
        <v>588</v>
      </c>
      <c r="Q539" t="s">
        <v>2067</v>
      </c>
      <c r="R539">
        <v>45.59</v>
      </c>
      <c r="S539" s="5">
        <v>44946</v>
      </c>
      <c r="T539" s="5">
        <v>44951</v>
      </c>
      <c r="U539" t="s">
        <v>2922</v>
      </c>
    </row>
    <row r="540" spans="1:21" x14ac:dyDescent="0.25">
      <c r="A540" s="5">
        <v>45303</v>
      </c>
      <c r="B540" s="7">
        <f>Table1[[#This Row],[TotalPrice]] * (1 - Table1[[#This Row],[Discount]])</f>
        <v>1589.4711</v>
      </c>
      <c r="C540" s="7">
        <f>Table1[[#This Row],[Net Sales]] * 0.2</f>
        <v>317.89422000000002</v>
      </c>
      <c r="D540" t="s">
        <v>21</v>
      </c>
      <c r="E540" t="s">
        <v>28</v>
      </c>
      <c r="F540">
        <v>14</v>
      </c>
      <c r="G540">
        <v>157.13999999999999</v>
      </c>
      <c r="H540" t="s">
        <v>32</v>
      </c>
      <c r="I540" t="s">
        <v>35</v>
      </c>
      <c r="J540" s="3">
        <v>0.15</v>
      </c>
      <c r="K540" t="s">
        <v>41</v>
      </c>
      <c r="L540">
        <v>1869.9659999999999</v>
      </c>
      <c r="M540" t="s">
        <v>44</v>
      </c>
      <c r="N540" t="s">
        <v>49</v>
      </c>
      <c r="O540">
        <v>0</v>
      </c>
      <c r="P540" t="s">
        <v>589</v>
      </c>
      <c r="Q540" t="s">
        <v>2068</v>
      </c>
      <c r="R540">
        <v>36.04</v>
      </c>
      <c r="S540" s="5">
        <v>45303</v>
      </c>
      <c r="T540" s="5">
        <v>45313</v>
      </c>
      <c r="U540" t="s">
        <v>2924</v>
      </c>
    </row>
    <row r="541" spans="1:21" x14ac:dyDescent="0.25">
      <c r="A541" s="5">
        <v>45390</v>
      </c>
      <c r="B541" s="7">
        <f>Table1[[#This Row],[TotalPrice]] * (1 - Table1[[#This Row],[Discount]])</f>
        <v>904.84649999999999</v>
      </c>
      <c r="C541" s="7">
        <f>Table1[[#This Row],[Net Sales]] * 0.2</f>
        <v>180.9693</v>
      </c>
      <c r="D541" t="s">
        <v>22</v>
      </c>
      <c r="E541" t="s">
        <v>24</v>
      </c>
      <c r="F541">
        <v>10</v>
      </c>
      <c r="G541">
        <v>100.26</v>
      </c>
      <c r="H541" t="s">
        <v>34</v>
      </c>
      <c r="I541" t="s">
        <v>35</v>
      </c>
      <c r="J541" s="3">
        <v>0.05</v>
      </c>
      <c r="K541" t="s">
        <v>40</v>
      </c>
      <c r="L541">
        <v>952.47</v>
      </c>
      <c r="M541" t="s">
        <v>44</v>
      </c>
      <c r="N541" t="s">
        <v>49</v>
      </c>
      <c r="O541">
        <v>0</v>
      </c>
      <c r="P541" t="s">
        <v>590</v>
      </c>
      <c r="Q541" t="s">
        <v>2069</v>
      </c>
      <c r="R541">
        <v>36.71</v>
      </c>
      <c r="S541" s="5">
        <v>45390</v>
      </c>
      <c r="T541" s="5">
        <v>45397</v>
      </c>
      <c r="U541" t="s">
        <v>2925</v>
      </c>
    </row>
    <row r="542" spans="1:21" x14ac:dyDescent="0.25">
      <c r="A542" s="5">
        <v>45043</v>
      </c>
      <c r="B542" s="7">
        <f>Table1[[#This Row],[TotalPrice]] * (1 - Table1[[#This Row],[Discount]])</f>
        <v>4990.32</v>
      </c>
      <c r="C542" s="7">
        <f>Table1[[#This Row],[Net Sales]] * 0.2</f>
        <v>998.06399999999996</v>
      </c>
      <c r="D542" t="s">
        <v>22</v>
      </c>
      <c r="E542" t="s">
        <v>24</v>
      </c>
      <c r="F542">
        <v>9</v>
      </c>
      <c r="G542">
        <v>554.48</v>
      </c>
      <c r="H542" t="s">
        <v>33</v>
      </c>
      <c r="I542" t="s">
        <v>35</v>
      </c>
      <c r="J542" s="3">
        <v>0</v>
      </c>
      <c r="K542" t="s">
        <v>40</v>
      </c>
      <c r="L542">
        <v>4990.32</v>
      </c>
      <c r="M542" t="s">
        <v>43</v>
      </c>
      <c r="O542">
        <v>0</v>
      </c>
      <c r="P542" t="s">
        <v>591</v>
      </c>
      <c r="Q542" t="s">
        <v>2070</v>
      </c>
      <c r="R542">
        <v>48.26</v>
      </c>
      <c r="S542" s="5">
        <v>45043</v>
      </c>
      <c r="T542" s="5">
        <v>45047</v>
      </c>
      <c r="U542" t="s">
        <v>2925</v>
      </c>
    </row>
    <row r="543" spans="1:21" x14ac:dyDescent="0.25">
      <c r="A543" s="5">
        <v>45490</v>
      </c>
      <c r="B543" s="7">
        <f>Table1[[#This Row],[TotalPrice]] * (1 - Table1[[#This Row],[Discount]])</f>
        <v>1086.5243999999998</v>
      </c>
      <c r="C543" s="7">
        <f>Table1[[#This Row],[Net Sales]] * 0.2</f>
        <v>217.30487999999997</v>
      </c>
      <c r="D543" t="s">
        <v>21</v>
      </c>
      <c r="E543" t="s">
        <v>25</v>
      </c>
      <c r="F543">
        <v>4</v>
      </c>
      <c r="G543">
        <v>375.96</v>
      </c>
      <c r="H543" t="s">
        <v>33</v>
      </c>
      <c r="I543" t="s">
        <v>36</v>
      </c>
      <c r="J543" s="3">
        <v>0.15</v>
      </c>
      <c r="K543" t="s">
        <v>40</v>
      </c>
      <c r="L543">
        <v>1278.2639999999999</v>
      </c>
      <c r="M543" t="s">
        <v>46</v>
      </c>
      <c r="O543">
        <v>0</v>
      </c>
      <c r="P543" t="s">
        <v>592</v>
      </c>
      <c r="Q543" t="s">
        <v>2071</v>
      </c>
      <c r="R543">
        <v>44.99</v>
      </c>
      <c r="S543" s="5">
        <v>45490</v>
      </c>
      <c r="T543" s="5">
        <v>45498</v>
      </c>
      <c r="U543" t="s">
        <v>2924</v>
      </c>
    </row>
    <row r="544" spans="1:21" x14ac:dyDescent="0.25">
      <c r="A544" s="5">
        <v>45339</v>
      </c>
      <c r="B544" s="7">
        <f>Table1[[#This Row],[TotalPrice]] * (1 - Table1[[#This Row],[Discount]])</f>
        <v>6792.94</v>
      </c>
      <c r="C544" s="7">
        <f>Table1[[#This Row],[Net Sales]] * 0.2</f>
        <v>1358.588</v>
      </c>
      <c r="D544" t="s">
        <v>22</v>
      </c>
      <c r="E544" t="s">
        <v>28</v>
      </c>
      <c r="F544">
        <v>14</v>
      </c>
      <c r="G544">
        <v>485.21</v>
      </c>
      <c r="H544" t="s">
        <v>32</v>
      </c>
      <c r="I544" t="s">
        <v>36</v>
      </c>
      <c r="J544" s="3">
        <v>0</v>
      </c>
      <c r="K544" t="s">
        <v>39</v>
      </c>
      <c r="L544">
        <v>6792.94</v>
      </c>
      <c r="M544" t="s">
        <v>43</v>
      </c>
      <c r="N544" t="s">
        <v>48</v>
      </c>
      <c r="O544">
        <v>0</v>
      </c>
      <c r="P544" t="s">
        <v>593</v>
      </c>
      <c r="Q544" t="s">
        <v>2072</v>
      </c>
      <c r="R544">
        <v>41.72</v>
      </c>
      <c r="S544" s="5">
        <v>45339</v>
      </c>
      <c r="T544" s="5">
        <v>45345</v>
      </c>
      <c r="U544" t="s">
        <v>2925</v>
      </c>
    </row>
    <row r="545" spans="1:21" x14ac:dyDescent="0.25">
      <c r="A545" s="5">
        <v>45316</v>
      </c>
      <c r="B545" s="7">
        <f>Table1[[#This Row],[TotalPrice]] * (1 - Table1[[#This Row],[Discount]])</f>
        <v>3025.1439</v>
      </c>
      <c r="C545" s="7">
        <f>Table1[[#This Row],[Net Sales]] * 0.2</f>
        <v>605.02877999999998</v>
      </c>
      <c r="D545" t="s">
        <v>20</v>
      </c>
      <c r="E545" t="s">
        <v>28</v>
      </c>
      <c r="F545">
        <v>9</v>
      </c>
      <c r="G545">
        <v>372.44</v>
      </c>
      <c r="H545" t="s">
        <v>32</v>
      </c>
      <c r="I545" t="s">
        <v>35</v>
      </c>
      <c r="J545" s="3">
        <v>0.05</v>
      </c>
      <c r="K545" t="s">
        <v>41</v>
      </c>
      <c r="L545">
        <v>3184.3620000000001</v>
      </c>
      <c r="M545" t="s">
        <v>44</v>
      </c>
      <c r="N545" t="s">
        <v>48</v>
      </c>
      <c r="O545">
        <v>0</v>
      </c>
      <c r="P545" t="s">
        <v>594</v>
      </c>
      <c r="Q545" t="s">
        <v>2073</v>
      </c>
      <c r="R545">
        <v>41.87</v>
      </c>
      <c r="S545" s="5">
        <v>45316</v>
      </c>
      <c r="T545" s="5">
        <v>45324</v>
      </c>
      <c r="U545" t="s">
        <v>2923</v>
      </c>
    </row>
    <row r="546" spans="1:21" x14ac:dyDescent="0.25">
      <c r="A546" s="5">
        <v>45375</v>
      </c>
      <c r="B546" s="7">
        <f>Table1[[#This Row],[TotalPrice]] * (1 - Table1[[#This Row],[Discount]])</f>
        <v>983.71</v>
      </c>
      <c r="C546" s="7">
        <f>Table1[[#This Row],[Net Sales]] * 0.2</f>
        <v>196.74200000000002</v>
      </c>
      <c r="D546" t="s">
        <v>22</v>
      </c>
      <c r="E546" t="s">
        <v>24</v>
      </c>
      <c r="F546">
        <v>7</v>
      </c>
      <c r="G546">
        <v>140.53</v>
      </c>
      <c r="H546" t="s">
        <v>34</v>
      </c>
      <c r="I546" t="s">
        <v>36</v>
      </c>
      <c r="J546" s="3">
        <v>0</v>
      </c>
      <c r="K546" t="s">
        <v>39</v>
      </c>
      <c r="L546">
        <v>983.71</v>
      </c>
      <c r="M546" t="s">
        <v>46</v>
      </c>
      <c r="O546">
        <v>1</v>
      </c>
      <c r="P546" t="s">
        <v>595</v>
      </c>
      <c r="Q546" t="s">
        <v>2074</v>
      </c>
      <c r="R546">
        <v>24.53</v>
      </c>
      <c r="S546" s="5">
        <v>45375</v>
      </c>
      <c r="T546" s="5">
        <v>45384</v>
      </c>
      <c r="U546" t="s">
        <v>2925</v>
      </c>
    </row>
    <row r="547" spans="1:21" x14ac:dyDescent="0.25">
      <c r="A547" s="5">
        <v>45102</v>
      </c>
      <c r="B547" s="7">
        <f>Table1[[#This Row],[TotalPrice]] * (1 - Table1[[#This Row],[Discount]])</f>
        <v>3962.2983749999999</v>
      </c>
      <c r="C547" s="7">
        <f>Table1[[#This Row],[Net Sales]] * 0.2</f>
        <v>792.45967500000006</v>
      </c>
      <c r="D547" t="s">
        <v>21</v>
      </c>
      <c r="E547" t="s">
        <v>26</v>
      </c>
      <c r="F547">
        <v>15</v>
      </c>
      <c r="G547">
        <v>365.61</v>
      </c>
      <c r="H547" t="s">
        <v>34</v>
      </c>
      <c r="I547" t="s">
        <v>36</v>
      </c>
      <c r="J547" s="3">
        <v>0.15</v>
      </c>
      <c r="K547" t="s">
        <v>42</v>
      </c>
      <c r="L547">
        <v>4661.5275000000001</v>
      </c>
      <c r="M547" t="s">
        <v>47</v>
      </c>
      <c r="N547" t="s">
        <v>48</v>
      </c>
      <c r="O547">
        <v>0</v>
      </c>
      <c r="P547" t="s">
        <v>596</v>
      </c>
      <c r="Q547" t="s">
        <v>2075</v>
      </c>
      <c r="R547">
        <v>35.840000000000003</v>
      </c>
      <c r="S547" s="5">
        <v>45102</v>
      </c>
      <c r="T547" s="5">
        <v>45104</v>
      </c>
      <c r="U547" t="s">
        <v>2924</v>
      </c>
    </row>
    <row r="548" spans="1:21" x14ac:dyDescent="0.25">
      <c r="A548" s="5">
        <v>45033</v>
      </c>
      <c r="B548" s="7">
        <f>Table1[[#This Row],[TotalPrice]] * (1 - Table1[[#This Row],[Discount]])</f>
        <v>5114.8665000000001</v>
      </c>
      <c r="C548" s="7">
        <f>Table1[[#This Row],[Net Sales]] * 0.2</f>
        <v>1022.9733000000001</v>
      </c>
      <c r="D548" t="s">
        <v>20</v>
      </c>
      <c r="E548" t="s">
        <v>24</v>
      </c>
      <c r="F548">
        <v>20</v>
      </c>
      <c r="G548">
        <v>353.97</v>
      </c>
      <c r="H548" t="s">
        <v>31</v>
      </c>
      <c r="I548" t="s">
        <v>35</v>
      </c>
      <c r="J548" s="3">
        <v>0.15</v>
      </c>
      <c r="K548" t="s">
        <v>39</v>
      </c>
      <c r="L548">
        <v>6017.4900000000007</v>
      </c>
      <c r="M548" t="s">
        <v>47</v>
      </c>
      <c r="N548" t="s">
        <v>50</v>
      </c>
      <c r="O548">
        <v>1</v>
      </c>
      <c r="P548" t="s">
        <v>597</v>
      </c>
      <c r="Q548" t="s">
        <v>2076</v>
      </c>
      <c r="R548">
        <v>22.05</v>
      </c>
      <c r="S548" s="5">
        <v>45033</v>
      </c>
      <c r="T548" s="5">
        <v>45036</v>
      </c>
      <c r="U548" t="s">
        <v>2923</v>
      </c>
    </row>
    <row r="549" spans="1:21" x14ac:dyDescent="0.25">
      <c r="A549" s="5">
        <v>45105</v>
      </c>
      <c r="B549" s="7">
        <f>Table1[[#This Row],[TotalPrice]] * (1 - Table1[[#This Row],[Discount]])</f>
        <v>4106.34</v>
      </c>
      <c r="C549" s="7">
        <f>Table1[[#This Row],[Net Sales]] * 0.2</f>
        <v>821.26800000000003</v>
      </c>
      <c r="D549" t="s">
        <v>19</v>
      </c>
      <c r="E549" t="s">
        <v>27</v>
      </c>
      <c r="F549">
        <v>14</v>
      </c>
      <c r="G549">
        <v>293.31</v>
      </c>
      <c r="H549" t="s">
        <v>34</v>
      </c>
      <c r="I549" t="s">
        <v>35</v>
      </c>
      <c r="J549" s="3">
        <v>0</v>
      </c>
      <c r="K549" t="s">
        <v>38</v>
      </c>
      <c r="L549">
        <v>4106.34</v>
      </c>
      <c r="M549" t="s">
        <v>44</v>
      </c>
      <c r="O549">
        <v>0</v>
      </c>
      <c r="P549" t="s">
        <v>598</v>
      </c>
      <c r="Q549" t="s">
        <v>2077</v>
      </c>
      <c r="R549">
        <v>21.61</v>
      </c>
      <c r="S549" s="5">
        <v>45105</v>
      </c>
      <c r="T549" s="5">
        <v>45107</v>
      </c>
      <c r="U549" t="s">
        <v>2922</v>
      </c>
    </row>
    <row r="550" spans="1:21" x14ac:dyDescent="0.25">
      <c r="A550" s="5">
        <v>45388</v>
      </c>
      <c r="B550" s="7">
        <f>Table1[[#This Row],[TotalPrice]] * (1 - Table1[[#This Row],[Discount]])</f>
        <v>2871.14275</v>
      </c>
      <c r="C550" s="7">
        <f>Table1[[#This Row],[Net Sales]] * 0.2</f>
        <v>574.22855000000004</v>
      </c>
      <c r="D550" t="s">
        <v>22</v>
      </c>
      <c r="E550" t="s">
        <v>27</v>
      </c>
      <c r="F550">
        <v>10</v>
      </c>
      <c r="G550">
        <v>397.39</v>
      </c>
      <c r="H550" t="s">
        <v>34</v>
      </c>
      <c r="I550" t="s">
        <v>36</v>
      </c>
      <c r="J550" s="3">
        <v>0.15</v>
      </c>
      <c r="K550" t="s">
        <v>38</v>
      </c>
      <c r="L550">
        <v>3377.8150000000001</v>
      </c>
      <c r="M550" t="s">
        <v>44</v>
      </c>
      <c r="O550">
        <v>0</v>
      </c>
      <c r="P550" t="s">
        <v>599</v>
      </c>
      <c r="Q550" t="s">
        <v>2078</v>
      </c>
      <c r="R550">
        <v>25.27</v>
      </c>
      <c r="S550" s="5">
        <v>45388</v>
      </c>
      <c r="T550" s="5">
        <v>45398</v>
      </c>
      <c r="U550" t="s">
        <v>2925</v>
      </c>
    </row>
    <row r="551" spans="1:21" x14ac:dyDescent="0.25">
      <c r="A551" s="5">
        <v>45705</v>
      </c>
      <c r="B551" s="7">
        <f>Table1[[#This Row],[TotalPrice]] * (1 - Table1[[#This Row],[Discount]])</f>
        <v>196.7</v>
      </c>
      <c r="C551" s="7">
        <f>Table1[[#This Row],[Net Sales]] * 0.2</f>
        <v>39.340000000000003</v>
      </c>
      <c r="D551" t="s">
        <v>20</v>
      </c>
      <c r="E551" t="s">
        <v>27</v>
      </c>
      <c r="F551">
        <v>2</v>
      </c>
      <c r="G551">
        <v>98.35</v>
      </c>
      <c r="H551" t="s">
        <v>33</v>
      </c>
      <c r="I551" t="s">
        <v>36</v>
      </c>
      <c r="J551" s="3">
        <v>0</v>
      </c>
      <c r="K551" t="s">
        <v>37</v>
      </c>
      <c r="L551">
        <v>196.7</v>
      </c>
      <c r="M551" t="s">
        <v>46</v>
      </c>
      <c r="N551" t="s">
        <v>48</v>
      </c>
      <c r="O551">
        <v>0</v>
      </c>
      <c r="P551" t="s">
        <v>600</v>
      </c>
      <c r="Q551" t="s">
        <v>2079</v>
      </c>
      <c r="R551">
        <v>28.65</v>
      </c>
      <c r="S551" s="5">
        <v>45705</v>
      </c>
      <c r="T551" s="5">
        <v>45707</v>
      </c>
      <c r="U551" t="s">
        <v>2923</v>
      </c>
    </row>
    <row r="552" spans="1:21" x14ac:dyDescent="0.25">
      <c r="A552" s="5">
        <v>44934</v>
      </c>
      <c r="B552" s="7">
        <f>Table1[[#This Row],[TotalPrice]] * (1 - Table1[[#This Row],[Discount]])</f>
        <v>3490.02</v>
      </c>
      <c r="C552" s="7">
        <f>Table1[[#This Row],[Net Sales]] * 0.2</f>
        <v>698.00400000000002</v>
      </c>
      <c r="D552" t="s">
        <v>20</v>
      </c>
      <c r="E552" t="s">
        <v>26</v>
      </c>
      <c r="F552">
        <v>6</v>
      </c>
      <c r="G552">
        <v>581.66999999999996</v>
      </c>
      <c r="H552" t="s">
        <v>32</v>
      </c>
      <c r="I552" t="s">
        <v>35</v>
      </c>
      <c r="J552" s="3">
        <v>0</v>
      </c>
      <c r="K552" t="s">
        <v>39</v>
      </c>
      <c r="L552">
        <v>3490.02</v>
      </c>
      <c r="M552" t="s">
        <v>46</v>
      </c>
      <c r="O552">
        <v>0</v>
      </c>
      <c r="P552" t="s">
        <v>601</v>
      </c>
      <c r="Q552" t="s">
        <v>2080</v>
      </c>
      <c r="R552">
        <v>39.4</v>
      </c>
      <c r="S552" s="5">
        <v>44934</v>
      </c>
      <c r="T552" s="5">
        <v>44937</v>
      </c>
      <c r="U552" t="s">
        <v>2923</v>
      </c>
    </row>
    <row r="553" spans="1:21" x14ac:dyDescent="0.25">
      <c r="A553" s="5">
        <v>45281</v>
      </c>
      <c r="B553" s="7">
        <f>Table1[[#This Row],[TotalPrice]] * (1 - Table1[[#This Row],[Discount]])</f>
        <v>521.45547499999998</v>
      </c>
      <c r="C553" s="7">
        <f>Table1[[#This Row],[Net Sales]] * 0.2</f>
        <v>104.291095</v>
      </c>
      <c r="D553" t="s">
        <v>20</v>
      </c>
      <c r="E553" t="s">
        <v>25</v>
      </c>
      <c r="F553">
        <v>19</v>
      </c>
      <c r="G553">
        <v>30.41</v>
      </c>
      <c r="H553" t="s">
        <v>34</v>
      </c>
      <c r="I553" t="s">
        <v>36</v>
      </c>
      <c r="J553" s="3">
        <v>0.05</v>
      </c>
      <c r="K553" t="s">
        <v>39</v>
      </c>
      <c r="L553">
        <v>548.90049999999997</v>
      </c>
      <c r="M553" t="s">
        <v>46</v>
      </c>
      <c r="N553" t="s">
        <v>48</v>
      </c>
      <c r="O553">
        <v>0</v>
      </c>
      <c r="P553" t="s">
        <v>602</v>
      </c>
      <c r="Q553" t="s">
        <v>2081</v>
      </c>
      <c r="R553">
        <v>48.33</v>
      </c>
      <c r="S553" s="5">
        <v>45281</v>
      </c>
      <c r="T553" s="5">
        <v>45291</v>
      </c>
      <c r="U553" t="s">
        <v>2923</v>
      </c>
    </row>
    <row r="554" spans="1:21" x14ac:dyDescent="0.25">
      <c r="A554" s="5">
        <v>45486</v>
      </c>
      <c r="B554" s="7">
        <f>Table1[[#This Row],[TotalPrice]] * (1 - Table1[[#This Row],[Discount]])</f>
        <v>4480.7985000000008</v>
      </c>
      <c r="C554" s="7">
        <f>Table1[[#This Row],[Net Sales]] * 0.2</f>
        <v>896.15970000000016</v>
      </c>
      <c r="D554" t="s">
        <v>21</v>
      </c>
      <c r="E554" t="s">
        <v>28</v>
      </c>
      <c r="F554">
        <v>15</v>
      </c>
      <c r="G554">
        <v>368.79</v>
      </c>
      <c r="H554" t="s">
        <v>33</v>
      </c>
      <c r="I554" t="s">
        <v>35</v>
      </c>
      <c r="J554" s="3">
        <v>0.1</v>
      </c>
      <c r="K554" t="s">
        <v>42</v>
      </c>
      <c r="L554">
        <v>4978.6650000000009</v>
      </c>
      <c r="M554" t="s">
        <v>44</v>
      </c>
      <c r="N554" t="s">
        <v>50</v>
      </c>
      <c r="O554">
        <v>0</v>
      </c>
      <c r="P554" t="s">
        <v>603</v>
      </c>
      <c r="Q554" t="s">
        <v>2082</v>
      </c>
      <c r="R554">
        <v>16.899999999999999</v>
      </c>
      <c r="S554" s="5">
        <v>45486</v>
      </c>
      <c r="T554" s="5">
        <v>45488</v>
      </c>
      <c r="U554" t="s">
        <v>2924</v>
      </c>
    </row>
    <row r="555" spans="1:21" x14ac:dyDescent="0.25">
      <c r="A555" s="5">
        <v>45374</v>
      </c>
      <c r="B555" s="7">
        <f>Table1[[#This Row],[TotalPrice]] * (1 - Table1[[#This Row],[Discount]])</f>
        <v>162.01340000000002</v>
      </c>
      <c r="C555" s="7">
        <f>Table1[[#This Row],[Net Sales]] * 0.2</f>
        <v>32.402680000000004</v>
      </c>
      <c r="D555" t="s">
        <v>23</v>
      </c>
      <c r="E555" t="s">
        <v>28</v>
      </c>
      <c r="F555">
        <v>4</v>
      </c>
      <c r="G555">
        <v>56.06</v>
      </c>
      <c r="H555" t="s">
        <v>34</v>
      </c>
      <c r="I555" t="s">
        <v>36</v>
      </c>
      <c r="J555" s="3">
        <v>0.15</v>
      </c>
      <c r="K555" t="s">
        <v>40</v>
      </c>
      <c r="L555">
        <v>190.60400000000001</v>
      </c>
      <c r="M555" t="s">
        <v>47</v>
      </c>
      <c r="N555" t="s">
        <v>49</v>
      </c>
      <c r="O555">
        <v>0</v>
      </c>
      <c r="P555" t="s">
        <v>604</v>
      </c>
      <c r="Q555" t="s">
        <v>2083</v>
      </c>
      <c r="R555">
        <v>10.77</v>
      </c>
      <c r="S555" s="5">
        <v>45374</v>
      </c>
      <c r="T555" s="5">
        <v>45383</v>
      </c>
      <c r="U555" t="s">
        <v>2926</v>
      </c>
    </row>
    <row r="556" spans="1:21" x14ac:dyDescent="0.25">
      <c r="A556" s="5">
        <v>45370</v>
      </c>
      <c r="B556" s="7">
        <f>Table1[[#This Row],[TotalPrice]] * (1 - Table1[[#This Row],[Discount]])</f>
        <v>109.55</v>
      </c>
      <c r="C556" s="7">
        <f>Table1[[#This Row],[Net Sales]] * 0.2</f>
        <v>21.91</v>
      </c>
      <c r="D556" t="s">
        <v>23</v>
      </c>
      <c r="E556" t="s">
        <v>27</v>
      </c>
      <c r="F556">
        <v>7</v>
      </c>
      <c r="G556">
        <v>15.65</v>
      </c>
      <c r="H556" t="s">
        <v>34</v>
      </c>
      <c r="I556" t="s">
        <v>35</v>
      </c>
      <c r="J556" s="3">
        <v>0</v>
      </c>
      <c r="K556" t="s">
        <v>40</v>
      </c>
      <c r="L556">
        <v>109.55</v>
      </c>
      <c r="M556" t="s">
        <v>46</v>
      </c>
      <c r="O556">
        <v>0</v>
      </c>
      <c r="P556" t="s">
        <v>605</v>
      </c>
      <c r="Q556" t="s">
        <v>2084</v>
      </c>
      <c r="R556">
        <v>13.28</v>
      </c>
      <c r="S556" s="5">
        <v>45370</v>
      </c>
      <c r="T556" s="5">
        <v>45376</v>
      </c>
      <c r="U556" t="s">
        <v>2926</v>
      </c>
    </row>
    <row r="557" spans="1:21" x14ac:dyDescent="0.25">
      <c r="A557" s="5">
        <v>45797</v>
      </c>
      <c r="B557" s="7">
        <f>Table1[[#This Row],[TotalPrice]] * (1 - Table1[[#This Row],[Discount]])</f>
        <v>3427.65</v>
      </c>
      <c r="C557" s="7">
        <f>Table1[[#This Row],[Net Sales]] * 0.2</f>
        <v>685.53000000000009</v>
      </c>
      <c r="D557" t="s">
        <v>22</v>
      </c>
      <c r="E557" t="s">
        <v>29</v>
      </c>
      <c r="F557">
        <v>9</v>
      </c>
      <c r="G557">
        <v>380.85</v>
      </c>
      <c r="H557" t="s">
        <v>31</v>
      </c>
      <c r="I557" t="s">
        <v>35</v>
      </c>
      <c r="J557" s="3">
        <v>0</v>
      </c>
      <c r="K557" t="s">
        <v>40</v>
      </c>
      <c r="L557">
        <v>3427.65</v>
      </c>
      <c r="M557" t="s">
        <v>47</v>
      </c>
      <c r="N557" t="s">
        <v>48</v>
      </c>
      <c r="O557">
        <v>0</v>
      </c>
      <c r="P557" t="s">
        <v>606</v>
      </c>
      <c r="Q557" t="s">
        <v>1931</v>
      </c>
      <c r="R557">
        <v>33.4</v>
      </c>
      <c r="S557" s="5">
        <v>45797</v>
      </c>
      <c r="T557" s="5">
        <v>45806</v>
      </c>
      <c r="U557" t="s">
        <v>2925</v>
      </c>
    </row>
    <row r="558" spans="1:21" x14ac:dyDescent="0.25">
      <c r="A558" s="5">
        <v>45676</v>
      </c>
      <c r="B558" s="7">
        <f>Table1[[#This Row],[TotalPrice]] * (1 - Table1[[#This Row],[Discount]])</f>
        <v>6459.31</v>
      </c>
      <c r="C558" s="7">
        <f>Table1[[#This Row],[Net Sales]] * 0.2</f>
        <v>1291.8620000000001</v>
      </c>
      <c r="D558" t="s">
        <v>20</v>
      </c>
      <c r="E558" t="s">
        <v>27</v>
      </c>
      <c r="F558">
        <v>11</v>
      </c>
      <c r="G558">
        <v>587.21</v>
      </c>
      <c r="H558" t="s">
        <v>33</v>
      </c>
      <c r="I558" t="s">
        <v>35</v>
      </c>
      <c r="J558" s="3">
        <v>0</v>
      </c>
      <c r="K558" t="s">
        <v>40</v>
      </c>
      <c r="L558">
        <v>6459.31</v>
      </c>
      <c r="M558" t="s">
        <v>46</v>
      </c>
      <c r="N558" t="s">
        <v>50</v>
      </c>
      <c r="O558">
        <v>0</v>
      </c>
      <c r="P558" t="s">
        <v>607</v>
      </c>
      <c r="Q558" t="s">
        <v>2085</v>
      </c>
      <c r="R558">
        <v>34.32</v>
      </c>
      <c r="S558" s="5">
        <v>45676</v>
      </c>
      <c r="T558" s="5">
        <v>45683</v>
      </c>
      <c r="U558" t="s">
        <v>2923</v>
      </c>
    </row>
    <row r="559" spans="1:21" x14ac:dyDescent="0.25">
      <c r="A559" s="5">
        <v>45074</v>
      </c>
      <c r="B559" s="7">
        <f>Table1[[#This Row],[TotalPrice]] * (1 - Table1[[#This Row],[Discount]])</f>
        <v>7632.0225</v>
      </c>
      <c r="C559" s="7">
        <f>Table1[[#This Row],[Net Sales]] * 0.2</f>
        <v>1526.4045000000001</v>
      </c>
      <c r="D559" t="s">
        <v>20</v>
      </c>
      <c r="E559" t="s">
        <v>30</v>
      </c>
      <c r="F559">
        <v>17</v>
      </c>
      <c r="G559">
        <v>554.25</v>
      </c>
      <c r="H559" t="s">
        <v>32</v>
      </c>
      <c r="I559" t="s">
        <v>35</v>
      </c>
      <c r="J559" s="3">
        <v>0.1</v>
      </c>
      <c r="K559" t="s">
        <v>41</v>
      </c>
      <c r="L559">
        <v>8480.0249999999996</v>
      </c>
      <c r="M559" t="s">
        <v>46</v>
      </c>
      <c r="O559">
        <v>0</v>
      </c>
      <c r="P559" t="s">
        <v>608</v>
      </c>
      <c r="Q559" t="s">
        <v>2086</v>
      </c>
      <c r="R559">
        <v>8.66</v>
      </c>
      <c r="S559" s="5">
        <v>45074</v>
      </c>
      <c r="T559" s="5">
        <v>45078</v>
      </c>
      <c r="U559" t="s">
        <v>2923</v>
      </c>
    </row>
    <row r="560" spans="1:21" x14ac:dyDescent="0.25">
      <c r="A560" s="5">
        <v>45227</v>
      </c>
      <c r="B560" s="7">
        <f>Table1[[#This Row],[TotalPrice]] * (1 - Table1[[#This Row],[Discount]])</f>
        <v>889.17352499999993</v>
      </c>
      <c r="C560" s="7">
        <f>Table1[[#This Row],[Net Sales]] * 0.2</f>
        <v>177.83470499999999</v>
      </c>
      <c r="D560" t="s">
        <v>19</v>
      </c>
      <c r="E560" t="s">
        <v>30</v>
      </c>
      <c r="F560">
        <v>3</v>
      </c>
      <c r="G560">
        <v>410.23</v>
      </c>
      <c r="H560" t="s">
        <v>32</v>
      </c>
      <c r="I560" t="s">
        <v>35</v>
      </c>
      <c r="J560" s="3">
        <v>0.15</v>
      </c>
      <c r="K560" t="s">
        <v>41</v>
      </c>
      <c r="L560">
        <v>1046.0864999999999</v>
      </c>
      <c r="M560" t="s">
        <v>45</v>
      </c>
      <c r="N560" t="s">
        <v>48</v>
      </c>
      <c r="O560">
        <v>0</v>
      </c>
      <c r="P560" t="s">
        <v>609</v>
      </c>
      <c r="Q560" t="s">
        <v>2087</v>
      </c>
      <c r="R560">
        <v>6.04</v>
      </c>
      <c r="S560" s="5">
        <v>45227</v>
      </c>
      <c r="T560" s="5">
        <v>45233</v>
      </c>
      <c r="U560" t="s">
        <v>2922</v>
      </c>
    </row>
    <row r="561" spans="1:21" x14ac:dyDescent="0.25">
      <c r="A561" s="5">
        <v>45255</v>
      </c>
      <c r="B561" s="7">
        <f>Table1[[#This Row],[TotalPrice]] * (1 - Table1[[#This Row],[Discount]])</f>
        <v>496.15</v>
      </c>
      <c r="C561" s="7">
        <f>Table1[[#This Row],[Net Sales]] * 0.2</f>
        <v>99.23</v>
      </c>
      <c r="D561" t="s">
        <v>23</v>
      </c>
      <c r="E561" t="s">
        <v>28</v>
      </c>
      <c r="F561">
        <v>5</v>
      </c>
      <c r="G561">
        <v>99.23</v>
      </c>
      <c r="H561" t="s">
        <v>31</v>
      </c>
      <c r="I561" t="s">
        <v>36</v>
      </c>
      <c r="J561" s="3">
        <v>0</v>
      </c>
      <c r="K561" t="s">
        <v>37</v>
      </c>
      <c r="L561">
        <v>496.15</v>
      </c>
      <c r="M561" t="s">
        <v>46</v>
      </c>
      <c r="O561">
        <v>0</v>
      </c>
      <c r="P561" t="s">
        <v>610</v>
      </c>
      <c r="Q561" t="s">
        <v>2088</v>
      </c>
      <c r="R561">
        <v>37.659999999999997</v>
      </c>
      <c r="S561" s="5">
        <v>45255</v>
      </c>
      <c r="T561" s="5">
        <v>45262</v>
      </c>
      <c r="U561" t="s">
        <v>2926</v>
      </c>
    </row>
    <row r="562" spans="1:21" x14ac:dyDescent="0.25">
      <c r="A562" s="5">
        <v>45613</v>
      </c>
      <c r="B562" s="7">
        <f>Table1[[#This Row],[TotalPrice]] * (1 - Table1[[#This Row],[Discount]])</f>
        <v>4528.62</v>
      </c>
      <c r="C562" s="7">
        <f>Table1[[#This Row],[Net Sales]] * 0.2</f>
        <v>905.72400000000005</v>
      </c>
      <c r="D562" t="s">
        <v>20</v>
      </c>
      <c r="E562" t="s">
        <v>28</v>
      </c>
      <c r="F562">
        <v>9</v>
      </c>
      <c r="G562">
        <v>503.18</v>
      </c>
      <c r="H562" t="s">
        <v>31</v>
      </c>
      <c r="I562" t="s">
        <v>35</v>
      </c>
      <c r="J562" s="3">
        <v>0</v>
      </c>
      <c r="K562" t="s">
        <v>41</v>
      </c>
      <c r="L562">
        <v>4528.62</v>
      </c>
      <c r="M562" t="s">
        <v>44</v>
      </c>
      <c r="N562" t="s">
        <v>49</v>
      </c>
      <c r="O562">
        <v>1</v>
      </c>
      <c r="P562" t="s">
        <v>611</v>
      </c>
      <c r="Q562" t="s">
        <v>2089</v>
      </c>
      <c r="R562">
        <v>46.02</v>
      </c>
      <c r="S562" s="5">
        <v>45613</v>
      </c>
      <c r="T562" s="5">
        <v>45620</v>
      </c>
      <c r="U562" t="s">
        <v>2923</v>
      </c>
    </row>
    <row r="563" spans="1:21" x14ac:dyDescent="0.25">
      <c r="A563" s="5">
        <v>45315</v>
      </c>
      <c r="B563" s="7">
        <f>Table1[[#This Row],[TotalPrice]] * (1 - Table1[[#This Row],[Discount]])</f>
        <v>1907.595075</v>
      </c>
      <c r="C563" s="7">
        <f>Table1[[#This Row],[Net Sales]] * 0.2</f>
        <v>381.51901500000002</v>
      </c>
      <c r="D563" t="s">
        <v>22</v>
      </c>
      <c r="E563" t="s">
        <v>28</v>
      </c>
      <c r="F563">
        <v>17</v>
      </c>
      <c r="G563">
        <v>155.31</v>
      </c>
      <c r="H563" t="s">
        <v>33</v>
      </c>
      <c r="I563" t="s">
        <v>36</v>
      </c>
      <c r="J563" s="3">
        <v>0.15</v>
      </c>
      <c r="K563" t="s">
        <v>42</v>
      </c>
      <c r="L563">
        <v>2244.2294999999999</v>
      </c>
      <c r="M563" t="s">
        <v>45</v>
      </c>
      <c r="N563" t="s">
        <v>50</v>
      </c>
      <c r="O563">
        <v>0</v>
      </c>
      <c r="P563" t="s">
        <v>612</v>
      </c>
      <c r="Q563" t="s">
        <v>2090</v>
      </c>
      <c r="R563">
        <v>27.1</v>
      </c>
      <c r="S563" s="5">
        <v>45315</v>
      </c>
      <c r="T563" s="5">
        <v>45320</v>
      </c>
      <c r="U563" t="s">
        <v>2925</v>
      </c>
    </row>
    <row r="564" spans="1:21" x14ac:dyDescent="0.25">
      <c r="A564" s="5">
        <v>45096</v>
      </c>
      <c r="B564" s="7">
        <f>Table1[[#This Row],[TotalPrice]] * (1 - Table1[[#This Row],[Discount]])</f>
        <v>1536.417925</v>
      </c>
      <c r="C564" s="7">
        <f>Table1[[#This Row],[Net Sales]] * 0.2</f>
        <v>307.28358500000002</v>
      </c>
      <c r="D564" t="s">
        <v>21</v>
      </c>
      <c r="E564" t="s">
        <v>27</v>
      </c>
      <c r="F564">
        <v>7</v>
      </c>
      <c r="G564">
        <v>303.79000000000002</v>
      </c>
      <c r="H564" t="s">
        <v>34</v>
      </c>
      <c r="I564" t="s">
        <v>35</v>
      </c>
      <c r="J564" s="3">
        <v>0.15</v>
      </c>
      <c r="K564" t="s">
        <v>39</v>
      </c>
      <c r="L564">
        <v>1807.5505000000001</v>
      </c>
      <c r="M564" t="s">
        <v>45</v>
      </c>
      <c r="N564" t="s">
        <v>49</v>
      </c>
      <c r="O564">
        <v>0</v>
      </c>
      <c r="P564" t="s">
        <v>613</v>
      </c>
      <c r="Q564" t="s">
        <v>2091</v>
      </c>
      <c r="R564">
        <v>38.85</v>
      </c>
      <c r="S564" s="5">
        <v>45096</v>
      </c>
      <c r="T564" s="5">
        <v>45106</v>
      </c>
      <c r="U564" t="s">
        <v>2924</v>
      </c>
    </row>
    <row r="565" spans="1:21" x14ac:dyDescent="0.25">
      <c r="A565" s="5">
        <v>45670</v>
      </c>
      <c r="B565" s="7">
        <f>Table1[[#This Row],[TotalPrice]] * (1 - Table1[[#This Row],[Discount]])</f>
        <v>4483.75</v>
      </c>
      <c r="C565" s="7">
        <f>Table1[[#This Row],[Net Sales]] * 0.2</f>
        <v>896.75</v>
      </c>
      <c r="D565" t="s">
        <v>19</v>
      </c>
      <c r="E565" t="s">
        <v>25</v>
      </c>
      <c r="F565">
        <v>17</v>
      </c>
      <c r="G565">
        <v>263.75</v>
      </c>
      <c r="H565" t="s">
        <v>31</v>
      </c>
      <c r="I565" t="s">
        <v>36</v>
      </c>
      <c r="J565" s="3">
        <v>0</v>
      </c>
      <c r="K565" t="s">
        <v>38</v>
      </c>
      <c r="L565">
        <v>4483.75</v>
      </c>
      <c r="M565" t="s">
        <v>43</v>
      </c>
      <c r="O565">
        <v>1</v>
      </c>
      <c r="P565" t="s">
        <v>614</v>
      </c>
      <c r="Q565" t="s">
        <v>2092</v>
      </c>
      <c r="R565">
        <v>12.97</v>
      </c>
      <c r="S565" s="5">
        <v>45670</v>
      </c>
      <c r="T565" s="5">
        <v>45675</v>
      </c>
      <c r="U565" t="s">
        <v>2922</v>
      </c>
    </row>
    <row r="566" spans="1:21" x14ac:dyDescent="0.25">
      <c r="A566" s="5">
        <v>45315</v>
      </c>
      <c r="B566" s="7">
        <f>Table1[[#This Row],[TotalPrice]] * (1 - Table1[[#This Row],[Discount]])</f>
        <v>582.94079999999997</v>
      </c>
      <c r="C566" s="7">
        <f>Table1[[#This Row],[Net Sales]] * 0.2</f>
        <v>116.58816</v>
      </c>
      <c r="D566" t="s">
        <v>19</v>
      </c>
      <c r="E566" t="s">
        <v>25</v>
      </c>
      <c r="F566">
        <v>4</v>
      </c>
      <c r="G566">
        <v>179.92</v>
      </c>
      <c r="H566" t="s">
        <v>34</v>
      </c>
      <c r="I566" t="s">
        <v>36</v>
      </c>
      <c r="J566" s="3">
        <v>0.1</v>
      </c>
      <c r="K566" t="s">
        <v>41</v>
      </c>
      <c r="L566">
        <v>647.71199999999999</v>
      </c>
      <c r="M566" t="s">
        <v>43</v>
      </c>
      <c r="N566" t="s">
        <v>50</v>
      </c>
      <c r="O566">
        <v>0</v>
      </c>
      <c r="P566" t="s">
        <v>615</v>
      </c>
      <c r="Q566" t="s">
        <v>2093</v>
      </c>
      <c r="R566">
        <v>35.26</v>
      </c>
      <c r="S566" s="5">
        <v>45315</v>
      </c>
      <c r="T566" s="5">
        <v>45323</v>
      </c>
      <c r="U566" t="s">
        <v>2922</v>
      </c>
    </row>
    <row r="567" spans="1:21" x14ac:dyDescent="0.25">
      <c r="A567" s="5">
        <v>45663</v>
      </c>
      <c r="B567" s="7">
        <f>Table1[[#This Row],[TotalPrice]] * (1 - Table1[[#This Row],[Discount]])</f>
        <v>528</v>
      </c>
      <c r="C567" s="7">
        <f>Table1[[#This Row],[Net Sales]] * 0.2</f>
        <v>105.60000000000001</v>
      </c>
      <c r="D567" t="s">
        <v>20</v>
      </c>
      <c r="E567" t="s">
        <v>30</v>
      </c>
      <c r="F567">
        <v>2</v>
      </c>
      <c r="G567">
        <v>264</v>
      </c>
      <c r="H567" t="s">
        <v>34</v>
      </c>
      <c r="I567" t="s">
        <v>36</v>
      </c>
      <c r="J567" s="3">
        <v>0</v>
      </c>
      <c r="K567" t="s">
        <v>42</v>
      </c>
      <c r="L567">
        <v>528</v>
      </c>
      <c r="M567" t="s">
        <v>44</v>
      </c>
      <c r="N567" t="s">
        <v>49</v>
      </c>
      <c r="O567">
        <v>0</v>
      </c>
      <c r="P567" t="s">
        <v>616</v>
      </c>
      <c r="Q567" t="s">
        <v>2094</v>
      </c>
      <c r="R567">
        <v>26.73</v>
      </c>
      <c r="S567" s="5">
        <v>45663</v>
      </c>
      <c r="T567" s="5">
        <v>45671</v>
      </c>
      <c r="U567" t="s">
        <v>2923</v>
      </c>
    </row>
    <row r="568" spans="1:21" x14ac:dyDescent="0.25">
      <c r="A568" s="5">
        <v>45659</v>
      </c>
      <c r="B568" s="7">
        <f>Table1[[#This Row],[TotalPrice]] * (1 - Table1[[#This Row],[Discount]])</f>
        <v>1458.3317</v>
      </c>
      <c r="C568" s="7">
        <f>Table1[[#This Row],[Net Sales]] * 0.2</f>
        <v>291.66633999999999</v>
      </c>
      <c r="D568" t="s">
        <v>22</v>
      </c>
      <c r="E568" t="s">
        <v>24</v>
      </c>
      <c r="F568">
        <v>4</v>
      </c>
      <c r="G568">
        <v>403.97</v>
      </c>
      <c r="H568" t="s">
        <v>32</v>
      </c>
      <c r="I568" t="s">
        <v>35</v>
      </c>
      <c r="J568" s="3">
        <v>0.05</v>
      </c>
      <c r="K568" t="s">
        <v>38</v>
      </c>
      <c r="L568">
        <v>1535.086</v>
      </c>
      <c r="M568" t="s">
        <v>47</v>
      </c>
      <c r="N568" t="s">
        <v>50</v>
      </c>
      <c r="O568">
        <v>0</v>
      </c>
      <c r="P568" t="s">
        <v>617</v>
      </c>
      <c r="Q568" t="s">
        <v>2095</v>
      </c>
      <c r="R568">
        <v>39.92</v>
      </c>
      <c r="S568" s="5">
        <v>45659</v>
      </c>
      <c r="T568" s="5">
        <v>45666</v>
      </c>
      <c r="U568" t="s">
        <v>2925</v>
      </c>
    </row>
    <row r="569" spans="1:21" x14ac:dyDescent="0.25">
      <c r="A569" s="5">
        <v>44979</v>
      </c>
      <c r="B569" s="7">
        <f>Table1[[#This Row],[TotalPrice]] * (1 - Table1[[#This Row],[Discount]])</f>
        <v>278.5104</v>
      </c>
      <c r="C569" s="7">
        <f>Table1[[#This Row],[Net Sales]] * 0.2</f>
        <v>55.702080000000002</v>
      </c>
      <c r="D569" t="s">
        <v>21</v>
      </c>
      <c r="E569" t="s">
        <v>26</v>
      </c>
      <c r="F569">
        <v>4</v>
      </c>
      <c r="G569">
        <v>85.96</v>
      </c>
      <c r="H569" t="s">
        <v>32</v>
      </c>
      <c r="I569" t="s">
        <v>36</v>
      </c>
      <c r="J569" s="3">
        <v>0.1</v>
      </c>
      <c r="K569" t="s">
        <v>39</v>
      </c>
      <c r="L569">
        <v>309.45600000000002</v>
      </c>
      <c r="M569" t="s">
        <v>45</v>
      </c>
      <c r="O569">
        <v>0</v>
      </c>
      <c r="P569" t="s">
        <v>618</v>
      </c>
      <c r="Q569" t="s">
        <v>2096</v>
      </c>
      <c r="R569">
        <v>32.119999999999997</v>
      </c>
      <c r="S569" s="5">
        <v>44979</v>
      </c>
      <c r="T569" s="5">
        <v>44988</v>
      </c>
      <c r="U569" t="s">
        <v>2924</v>
      </c>
    </row>
    <row r="570" spans="1:21" x14ac:dyDescent="0.25">
      <c r="A570" s="5">
        <v>45694</v>
      </c>
      <c r="B570" s="7">
        <f>Table1[[#This Row],[TotalPrice]] * (1 - Table1[[#This Row],[Discount]])</f>
        <v>151.4538</v>
      </c>
      <c r="C570" s="7">
        <f>Table1[[#This Row],[Net Sales]] * 0.2</f>
        <v>30.290760000000002</v>
      </c>
      <c r="D570" t="s">
        <v>19</v>
      </c>
      <c r="E570" t="s">
        <v>26</v>
      </c>
      <c r="F570">
        <v>2</v>
      </c>
      <c r="G570">
        <v>93.49</v>
      </c>
      <c r="H570" t="s">
        <v>32</v>
      </c>
      <c r="I570" t="s">
        <v>35</v>
      </c>
      <c r="J570" s="3">
        <v>0.1</v>
      </c>
      <c r="K570" t="s">
        <v>38</v>
      </c>
      <c r="L570">
        <v>168.28200000000001</v>
      </c>
      <c r="M570" t="s">
        <v>46</v>
      </c>
      <c r="N570" t="s">
        <v>50</v>
      </c>
      <c r="O570">
        <v>0</v>
      </c>
      <c r="P570" t="s">
        <v>619</v>
      </c>
      <c r="Q570" t="s">
        <v>2097</v>
      </c>
      <c r="R570">
        <v>26.31</v>
      </c>
      <c r="S570" s="5">
        <v>45694</v>
      </c>
      <c r="T570" s="5">
        <v>45704</v>
      </c>
      <c r="U570" t="s">
        <v>2922</v>
      </c>
    </row>
    <row r="571" spans="1:21" x14ac:dyDescent="0.25">
      <c r="A571" s="5">
        <v>45561</v>
      </c>
      <c r="B571" s="7">
        <f>Table1[[#This Row],[TotalPrice]] * (1 - Table1[[#This Row],[Discount]])</f>
        <v>1432.438975</v>
      </c>
      <c r="C571" s="7">
        <f>Table1[[#This Row],[Net Sales]] * 0.2</f>
        <v>286.48779500000001</v>
      </c>
      <c r="D571" t="s">
        <v>19</v>
      </c>
      <c r="E571" t="s">
        <v>26</v>
      </c>
      <c r="F571">
        <v>11</v>
      </c>
      <c r="G571">
        <v>144.29</v>
      </c>
      <c r="H571" t="s">
        <v>31</v>
      </c>
      <c r="I571" t="s">
        <v>36</v>
      </c>
      <c r="J571" s="3">
        <v>0.05</v>
      </c>
      <c r="K571" t="s">
        <v>42</v>
      </c>
      <c r="L571">
        <v>1507.8305</v>
      </c>
      <c r="M571" t="s">
        <v>45</v>
      </c>
      <c r="N571" t="s">
        <v>50</v>
      </c>
      <c r="O571">
        <v>0</v>
      </c>
      <c r="P571" t="s">
        <v>620</v>
      </c>
      <c r="Q571" t="s">
        <v>1959</v>
      </c>
      <c r="R571">
        <v>11.91</v>
      </c>
      <c r="S571" s="5">
        <v>45561</v>
      </c>
      <c r="T571" s="5">
        <v>45565</v>
      </c>
      <c r="U571" t="s">
        <v>2922</v>
      </c>
    </row>
    <row r="572" spans="1:21" x14ac:dyDescent="0.25">
      <c r="A572" s="5">
        <v>45744</v>
      </c>
      <c r="B572" s="7">
        <f>Table1[[#This Row],[TotalPrice]] * (1 - Table1[[#This Row],[Discount]])</f>
        <v>9958.14</v>
      </c>
      <c r="C572" s="7">
        <f>Table1[[#This Row],[Net Sales]] * 0.2</f>
        <v>1991.6279999999999</v>
      </c>
      <c r="D572" t="s">
        <v>21</v>
      </c>
      <c r="E572" t="s">
        <v>27</v>
      </c>
      <c r="F572">
        <v>18</v>
      </c>
      <c r="G572">
        <v>553.23</v>
      </c>
      <c r="H572" t="s">
        <v>34</v>
      </c>
      <c r="I572" t="s">
        <v>35</v>
      </c>
      <c r="J572" s="3">
        <v>0</v>
      </c>
      <c r="K572" t="s">
        <v>39</v>
      </c>
      <c r="L572">
        <v>9958.14</v>
      </c>
      <c r="M572" t="s">
        <v>47</v>
      </c>
      <c r="N572" t="s">
        <v>48</v>
      </c>
      <c r="O572">
        <v>0</v>
      </c>
      <c r="P572" t="s">
        <v>621</v>
      </c>
      <c r="Q572" t="s">
        <v>2098</v>
      </c>
      <c r="R572">
        <v>31.76</v>
      </c>
      <c r="S572" s="5">
        <v>45744</v>
      </c>
      <c r="T572" s="5">
        <v>45748</v>
      </c>
      <c r="U572" t="s">
        <v>2924</v>
      </c>
    </row>
    <row r="573" spans="1:21" x14ac:dyDescent="0.25">
      <c r="A573" s="5">
        <v>45108</v>
      </c>
      <c r="B573" s="7">
        <f>Table1[[#This Row],[TotalPrice]] * (1 - Table1[[#This Row],[Discount]])</f>
        <v>1854.3667499999999</v>
      </c>
      <c r="C573" s="7">
        <f>Table1[[#This Row],[Net Sales]] * 0.2</f>
        <v>370.87335000000002</v>
      </c>
      <c r="D573" t="s">
        <v>19</v>
      </c>
      <c r="E573" t="s">
        <v>27</v>
      </c>
      <c r="F573">
        <v>9</v>
      </c>
      <c r="G573">
        <v>228.3</v>
      </c>
      <c r="H573" t="s">
        <v>31</v>
      </c>
      <c r="I573" t="s">
        <v>36</v>
      </c>
      <c r="J573" s="3">
        <v>0.05</v>
      </c>
      <c r="K573" t="s">
        <v>37</v>
      </c>
      <c r="L573">
        <v>1951.9649999999999</v>
      </c>
      <c r="M573" t="s">
        <v>46</v>
      </c>
      <c r="N573" t="s">
        <v>48</v>
      </c>
      <c r="O573">
        <v>0</v>
      </c>
      <c r="P573" t="s">
        <v>622</v>
      </c>
      <c r="Q573" t="s">
        <v>2099</v>
      </c>
      <c r="R573">
        <v>8.75</v>
      </c>
      <c r="S573" s="5">
        <v>45108</v>
      </c>
      <c r="T573" s="5">
        <v>45116</v>
      </c>
      <c r="U573" t="s">
        <v>2922</v>
      </c>
    </row>
    <row r="574" spans="1:21" x14ac:dyDescent="0.25">
      <c r="A574" s="5">
        <v>45045</v>
      </c>
      <c r="B574" s="7">
        <f>Table1[[#This Row],[TotalPrice]] * (1 - Table1[[#This Row],[Discount]])</f>
        <v>1337.7798</v>
      </c>
      <c r="C574" s="7">
        <f>Table1[[#This Row],[Net Sales]] * 0.2</f>
        <v>267.55596000000003</v>
      </c>
      <c r="D574" t="s">
        <v>23</v>
      </c>
      <c r="E574" t="s">
        <v>26</v>
      </c>
      <c r="F574">
        <v>7</v>
      </c>
      <c r="G574">
        <v>235.94</v>
      </c>
      <c r="H574" t="s">
        <v>34</v>
      </c>
      <c r="I574" t="s">
        <v>35</v>
      </c>
      <c r="J574" s="3">
        <v>0.1</v>
      </c>
      <c r="K574" t="s">
        <v>38</v>
      </c>
      <c r="L574">
        <v>1486.422</v>
      </c>
      <c r="M574" t="s">
        <v>44</v>
      </c>
      <c r="N574" t="s">
        <v>48</v>
      </c>
      <c r="O574">
        <v>0</v>
      </c>
      <c r="P574" t="s">
        <v>623</v>
      </c>
      <c r="Q574" t="s">
        <v>2100</v>
      </c>
      <c r="R574">
        <v>8.44</v>
      </c>
      <c r="S574" s="5">
        <v>45045</v>
      </c>
      <c r="T574" s="5">
        <v>45050</v>
      </c>
      <c r="U574" t="s">
        <v>2926</v>
      </c>
    </row>
    <row r="575" spans="1:21" x14ac:dyDescent="0.25">
      <c r="A575" s="5">
        <v>45046</v>
      </c>
      <c r="B575" s="7">
        <f>Table1[[#This Row],[TotalPrice]] * (1 - Table1[[#This Row],[Discount]])</f>
        <v>6281.84</v>
      </c>
      <c r="C575" s="7">
        <f>Table1[[#This Row],[Net Sales]] * 0.2</f>
        <v>1256.3680000000002</v>
      </c>
      <c r="D575" t="s">
        <v>19</v>
      </c>
      <c r="E575" t="s">
        <v>30</v>
      </c>
      <c r="F575">
        <v>17</v>
      </c>
      <c r="G575">
        <v>369.52</v>
      </c>
      <c r="H575" t="s">
        <v>33</v>
      </c>
      <c r="I575" t="s">
        <v>35</v>
      </c>
      <c r="J575" s="3">
        <v>0</v>
      </c>
      <c r="K575" t="s">
        <v>40</v>
      </c>
      <c r="L575">
        <v>6281.84</v>
      </c>
      <c r="M575" t="s">
        <v>44</v>
      </c>
      <c r="O575">
        <v>0</v>
      </c>
      <c r="P575" t="s">
        <v>624</v>
      </c>
      <c r="Q575" t="s">
        <v>2101</v>
      </c>
      <c r="R575">
        <v>17.12</v>
      </c>
      <c r="S575" s="5">
        <v>45046</v>
      </c>
      <c r="T575" s="5">
        <v>45052</v>
      </c>
      <c r="U575" t="s">
        <v>2922</v>
      </c>
    </row>
    <row r="576" spans="1:21" x14ac:dyDescent="0.25">
      <c r="A576" s="5">
        <v>45365</v>
      </c>
      <c r="B576" s="7">
        <f>Table1[[#This Row],[TotalPrice]] * (1 - Table1[[#This Row],[Discount]])</f>
        <v>1136.72</v>
      </c>
      <c r="C576" s="7">
        <f>Table1[[#This Row],[Net Sales]] * 0.2</f>
        <v>227.34400000000002</v>
      </c>
      <c r="D576" t="s">
        <v>23</v>
      </c>
      <c r="E576" t="s">
        <v>25</v>
      </c>
      <c r="F576">
        <v>8</v>
      </c>
      <c r="G576">
        <v>142.09</v>
      </c>
      <c r="H576" t="s">
        <v>32</v>
      </c>
      <c r="I576" t="s">
        <v>35</v>
      </c>
      <c r="J576" s="3">
        <v>0</v>
      </c>
      <c r="K576" t="s">
        <v>37</v>
      </c>
      <c r="L576">
        <v>1136.72</v>
      </c>
      <c r="M576" t="s">
        <v>45</v>
      </c>
      <c r="N576" t="s">
        <v>50</v>
      </c>
      <c r="O576">
        <v>0</v>
      </c>
      <c r="P576" t="s">
        <v>625</v>
      </c>
      <c r="Q576" t="s">
        <v>2102</v>
      </c>
      <c r="R576">
        <v>38.97</v>
      </c>
      <c r="S576" s="5">
        <v>45365</v>
      </c>
      <c r="T576" s="5">
        <v>45371</v>
      </c>
      <c r="U576" t="s">
        <v>2926</v>
      </c>
    </row>
    <row r="577" spans="1:21" x14ac:dyDescent="0.25">
      <c r="A577" s="5">
        <v>45104</v>
      </c>
      <c r="B577" s="7">
        <f>Table1[[#This Row],[TotalPrice]] * (1 - Table1[[#This Row],[Discount]])</f>
        <v>1078.569675</v>
      </c>
      <c r="C577" s="7">
        <f>Table1[[#This Row],[Net Sales]] * 0.2</f>
        <v>215.71393499999999</v>
      </c>
      <c r="D577" t="s">
        <v>22</v>
      </c>
      <c r="E577" t="s">
        <v>27</v>
      </c>
      <c r="F577">
        <v>3</v>
      </c>
      <c r="G577">
        <v>497.61</v>
      </c>
      <c r="H577" t="s">
        <v>31</v>
      </c>
      <c r="I577" t="s">
        <v>35</v>
      </c>
      <c r="J577" s="3">
        <v>0.15</v>
      </c>
      <c r="K577" t="s">
        <v>38</v>
      </c>
      <c r="L577">
        <v>1268.9055000000001</v>
      </c>
      <c r="M577" t="s">
        <v>47</v>
      </c>
      <c r="N577" t="s">
        <v>48</v>
      </c>
      <c r="O577">
        <v>1</v>
      </c>
      <c r="P577" t="s">
        <v>626</v>
      </c>
      <c r="Q577" t="s">
        <v>2103</v>
      </c>
      <c r="R577">
        <v>13.97</v>
      </c>
      <c r="S577" s="5">
        <v>45104</v>
      </c>
      <c r="T577" s="5">
        <v>45109</v>
      </c>
      <c r="U577" t="s">
        <v>2925</v>
      </c>
    </row>
    <row r="578" spans="1:21" x14ac:dyDescent="0.25">
      <c r="A578" s="5">
        <v>45392</v>
      </c>
      <c r="B578" s="7">
        <f>Table1[[#This Row],[TotalPrice]] * (1 - Table1[[#This Row],[Discount]])</f>
        <v>180.12</v>
      </c>
      <c r="C578" s="7">
        <f>Table1[[#This Row],[Net Sales]] * 0.2</f>
        <v>36.024000000000001</v>
      </c>
      <c r="D578" t="s">
        <v>21</v>
      </c>
      <c r="E578" t="s">
        <v>24</v>
      </c>
      <c r="F578">
        <v>19</v>
      </c>
      <c r="G578">
        <v>9.48</v>
      </c>
      <c r="H578" t="s">
        <v>32</v>
      </c>
      <c r="I578" t="s">
        <v>35</v>
      </c>
      <c r="J578" s="3">
        <v>0</v>
      </c>
      <c r="K578" t="s">
        <v>40</v>
      </c>
      <c r="L578">
        <v>180.12</v>
      </c>
      <c r="M578" t="s">
        <v>43</v>
      </c>
      <c r="O578">
        <v>0</v>
      </c>
      <c r="P578" t="s">
        <v>627</v>
      </c>
      <c r="Q578" t="s">
        <v>2104</v>
      </c>
      <c r="R578">
        <v>22.33</v>
      </c>
      <c r="S578" s="5">
        <v>45392</v>
      </c>
      <c r="T578" s="5">
        <v>45394</v>
      </c>
      <c r="U578" t="s">
        <v>2924</v>
      </c>
    </row>
    <row r="579" spans="1:21" x14ac:dyDescent="0.25">
      <c r="A579" s="5">
        <v>45168</v>
      </c>
      <c r="B579" s="7">
        <f>Table1[[#This Row],[TotalPrice]] * (1 - Table1[[#This Row],[Discount]])</f>
        <v>319.4606</v>
      </c>
      <c r="C579" s="7">
        <f>Table1[[#This Row],[Net Sales]] * 0.2</f>
        <v>63.892120000000006</v>
      </c>
      <c r="D579" t="s">
        <v>22</v>
      </c>
      <c r="E579" t="s">
        <v>30</v>
      </c>
      <c r="F579">
        <v>8</v>
      </c>
      <c r="G579">
        <v>55.27</v>
      </c>
      <c r="H579" t="s">
        <v>32</v>
      </c>
      <c r="I579" t="s">
        <v>35</v>
      </c>
      <c r="J579" s="3">
        <v>0.15</v>
      </c>
      <c r="K579" t="s">
        <v>42</v>
      </c>
      <c r="L579">
        <v>375.83600000000001</v>
      </c>
      <c r="M579" t="s">
        <v>47</v>
      </c>
      <c r="N579" t="s">
        <v>50</v>
      </c>
      <c r="O579">
        <v>0</v>
      </c>
      <c r="P579" t="s">
        <v>628</v>
      </c>
      <c r="Q579" t="s">
        <v>2105</v>
      </c>
      <c r="R579">
        <v>16.84</v>
      </c>
      <c r="S579" s="5">
        <v>45168</v>
      </c>
      <c r="T579" s="5">
        <v>45170</v>
      </c>
      <c r="U579" t="s">
        <v>2925</v>
      </c>
    </row>
    <row r="580" spans="1:21" x14ac:dyDescent="0.25">
      <c r="A580" s="5">
        <v>45222</v>
      </c>
      <c r="B580" s="7">
        <f>Table1[[#This Row],[TotalPrice]] * (1 - Table1[[#This Row],[Discount]])</f>
        <v>398.13787499999995</v>
      </c>
      <c r="C580" s="7">
        <f>Table1[[#This Row],[Net Sales]] * 0.2</f>
        <v>79.627574999999993</v>
      </c>
      <c r="D580" t="s">
        <v>23</v>
      </c>
      <c r="E580" t="s">
        <v>24</v>
      </c>
      <c r="F580">
        <v>17</v>
      </c>
      <c r="G580">
        <v>25.95</v>
      </c>
      <c r="H580" t="s">
        <v>31</v>
      </c>
      <c r="I580" t="s">
        <v>35</v>
      </c>
      <c r="J580" s="3">
        <v>0.05</v>
      </c>
      <c r="K580" t="s">
        <v>42</v>
      </c>
      <c r="L580">
        <v>419.09249999999997</v>
      </c>
      <c r="M580" t="s">
        <v>44</v>
      </c>
      <c r="O580">
        <v>0</v>
      </c>
      <c r="P580" t="s">
        <v>629</v>
      </c>
      <c r="Q580" t="s">
        <v>2106</v>
      </c>
      <c r="R580">
        <v>27.68</v>
      </c>
      <c r="S580" s="5">
        <v>45222</v>
      </c>
      <c r="T580" s="5">
        <v>45229</v>
      </c>
      <c r="U580" t="s">
        <v>2926</v>
      </c>
    </row>
    <row r="581" spans="1:21" x14ac:dyDescent="0.25">
      <c r="A581" s="5">
        <v>45008</v>
      </c>
      <c r="B581" s="7">
        <f>Table1[[#This Row],[TotalPrice]] * (1 - Table1[[#This Row],[Discount]])</f>
        <v>3056.6970000000001</v>
      </c>
      <c r="C581" s="7">
        <f>Table1[[#This Row],[Net Sales]] * 0.2</f>
        <v>611.33940000000007</v>
      </c>
      <c r="D581" t="s">
        <v>21</v>
      </c>
      <c r="E581" t="s">
        <v>26</v>
      </c>
      <c r="F581">
        <v>18</v>
      </c>
      <c r="G581">
        <v>209.65</v>
      </c>
      <c r="H581" t="s">
        <v>32</v>
      </c>
      <c r="I581" t="s">
        <v>35</v>
      </c>
      <c r="J581" s="3">
        <v>0.1</v>
      </c>
      <c r="K581" t="s">
        <v>40</v>
      </c>
      <c r="L581">
        <v>3396.33</v>
      </c>
      <c r="M581" t="s">
        <v>46</v>
      </c>
      <c r="O581">
        <v>0</v>
      </c>
      <c r="P581" t="s">
        <v>630</v>
      </c>
      <c r="Q581" t="s">
        <v>2107</v>
      </c>
      <c r="R581">
        <v>42.04</v>
      </c>
      <c r="S581" s="5">
        <v>45008</v>
      </c>
      <c r="T581" s="5">
        <v>45015</v>
      </c>
      <c r="U581" t="s">
        <v>2924</v>
      </c>
    </row>
    <row r="582" spans="1:21" x14ac:dyDescent="0.25">
      <c r="A582" s="5">
        <v>45556</v>
      </c>
      <c r="B582" s="7">
        <f>Table1[[#This Row],[TotalPrice]] * (1 - Table1[[#This Row],[Discount]])</f>
        <v>711.66972499999997</v>
      </c>
      <c r="C582" s="7">
        <f>Table1[[#This Row],[Net Sales]] * 0.2</f>
        <v>142.333945</v>
      </c>
      <c r="D582" t="s">
        <v>22</v>
      </c>
      <c r="E582" t="s">
        <v>24</v>
      </c>
      <c r="F582">
        <v>13</v>
      </c>
      <c r="G582">
        <v>75.77</v>
      </c>
      <c r="H582" t="s">
        <v>31</v>
      </c>
      <c r="I582" t="s">
        <v>35</v>
      </c>
      <c r="J582" s="3">
        <v>0.15</v>
      </c>
      <c r="K582" t="s">
        <v>39</v>
      </c>
      <c r="L582">
        <v>837.25850000000003</v>
      </c>
      <c r="M582" t="s">
        <v>46</v>
      </c>
      <c r="N582" t="s">
        <v>49</v>
      </c>
      <c r="O582">
        <v>0</v>
      </c>
      <c r="P582" t="s">
        <v>631</v>
      </c>
      <c r="Q582" t="s">
        <v>2108</v>
      </c>
      <c r="R582">
        <v>41.94</v>
      </c>
      <c r="S582" s="5">
        <v>45556</v>
      </c>
      <c r="T582" s="5">
        <v>45565</v>
      </c>
      <c r="U582" t="s">
        <v>2925</v>
      </c>
    </row>
    <row r="583" spans="1:21" x14ac:dyDescent="0.25">
      <c r="A583" s="5">
        <v>45652</v>
      </c>
      <c r="B583" s="7">
        <f>Table1[[#This Row],[TotalPrice]] * (1 - Table1[[#This Row],[Discount]])</f>
        <v>1246.752</v>
      </c>
      <c r="C583" s="7">
        <f>Table1[[#This Row],[Net Sales]] * 0.2</f>
        <v>249.35040000000001</v>
      </c>
      <c r="D583" t="s">
        <v>23</v>
      </c>
      <c r="E583" t="s">
        <v>29</v>
      </c>
      <c r="F583">
        <v>5</v>
      </c>
      <c r="G583">
        <v>307.83999999999997</v>
      </c>
      <c r="H583" t="s">
        <v>31</v>
      </c>
      <c r="I583" t="s">
        <v>35</v>
      </c>
      <c r="J583" s="3">
        <v>0.1</v>
      </c>
      <c r="K583" t="s">
        <v>42</v>
      </c>
      <c r="L583">
        <v>1385.28</v>
      </c>
      <c r="M583" t="s">
        <v>43</v>
      </c>
      <c r="N583" t="s">
        <v>49</v>
      </c>
      <c r="O583">
        <v>0</v>
      </c>
      <c r="P583" t="s">
        <v>632</v>
      </c>
      <c r="Q583" t="s">
        <v>2109</v>
      </c>
      <c r="R583">
        <v>13.61</v>
      </c>
      <c r="S583" s="5">
        <v>45652</v>
      </c>
      <c r="T583" s="5">
        <v>45660</v>
      </c>
      <c r="U583" t="s">
        <v>2926</v>
      </c>
    </row>
    <row r="584" spans="1:21" x14ac:dyDescent="0.25">
      <c r="A584" s="5">
        <v>44983</v>
      </c>
      <c r="B584" s="7">
        <f>Table1[[#This Row],[TotalPrice]] * (1 - Table1[[#This Row],[Discount]])</f>
        <v>84.5</v>
      </c>
      <c r="C584" s="7">
        <f>Table1[[#This Row],[Net Sales]] * 0.2</f>
        <v>16.900000000000002</v>
      </c>
      <c r="D584" t="s">
        <v>19</v>
      </c>
      <c r="E584" t="s">
        <v>25</v>
      </c>
      <c r="F584">
        <v>13</v>
      </c>
      <c r="G584">
        <v>6.5</v>
      </c>
      <c r="H584" t="s">
        <v>32</v>
      </c>
      <c r="I584" t="s">
        <v>35</v>
      </c>
      <c r="J584" s="3">
        <v>0</v>
      </c>
      <c r="K584" t="s">
        <v>41</v>
      </c>
      <c r="L584">
        <v>84.5</v>
      </c>
      <c r="M584" t="s">
        <v>47</v>
      </c>
      <c r="O584">
        <v>0</v>
      </c>
      <c r="P584" t="s">
        <v>633</v>
      </c>
      <c r="Q584" t="s">
        <v>2110</v>
      </c>
      <c r="R584">
        <v>20.02</v>
      </c>
      <c r="S584" s="5">
        <v>44983</v>
      </c>
      <c r="T584" s="5">
        <v>44988</v>
      </c>
      <c r="U584" t="s">
        <v>2922</v>
      </c>
    </row>
    <row r="585" spans="1:21" x14ac:dyDescent="0.25">
      <c r="A585" s="5">
        <v>45636</v>
      </c>
      <c r="B585" s="7">
        <f>Table1[[#This Row],[TotalPrice]] * (1 - Table1[[#This Row],[Discount]])</f>
        <v>566.32000000000005</v>
      </c>
      <c r="C585" s="7">
        <f>Table1[[#This Row],[Net Sales]] * 0.2</f>
        <v>113.26400000000001</v>
      </c>
      <c r="D585" t="s">
        <v>21</v>
      </c>
      <c r="E585" t="s">
        <v>28</v>
      </c>
      <c r="F585">
        <v>8</v>
      </c>
      <c r="G585">
        <v>70.790000000000006</v>
      </c>
      <c r="H585" t="s">
        <v>31</v>
      </c>
      <c r="I585" t="s">
        <v>35</v>
      </c>
      <c r="J585" s="3">
        <v>0</v>
      </c>
      <c r="K585" t="s">
        <v>41</v>
      </c>
      <c r="L585">
        <v>566.32000000000005</v>
      </c>
      <c r="M585" t="s">
        <v>43</v>
      </c>
      <c r="O585">
        <v>0</v>
      </c>
      <c r="P585" t="s">
        <v>634</v>
      </c>
      <c r="Q585" t="s">
        <v>2111</v>
      </c>
      <c r="R585">
        <v>46.35</v>
      </c>
      <c r="S585" s="5">
        <v>45636</v>
      </c>
      <c r="T585" s="5">
        <v>45640</v>
      </c>
      <c r="U585" t="s">
        <v>2924</v>
      </c>
    </row>
    <row r="586" spans="1:21" x14ac:dyDescent="0.25">
      <c r="A586" s="5">
        <v>45658</v>
      </c>
      <c r="B586" s="7">
        <f>Table1[[#This Row],[TotalPrice]] * (1 - Table1[[#This Row],[Discount]])</f>
        <v>8051.3190000000013</v>
      </c>
      <c r="C586" s="7">
        <f>Table1[[#This Row],[Net Sales]] * 0.2</f>
        <v>1610.2638000000004</v>
      </c>
      <c r="D586" t="s">
        <v>19</v>
      </c>
      <c r="E586" t="s">
        <v>24</v>
      </c>
      <c r="F586">
        <v>17</v>
      </c>
      <c r="G586">
        <v>584.70000000000005</v>
      </c>
      <c r="H586" t="s">
        <v>34</v>
      </c>
      <c r="I586" t="s">
        <v>36</v>
      </c>
      <c r="J586" s="3">
        <v>0.1</v>
      </c>
      <c r="K586" t="s">
        <v>37</v>
      </c>
      <c r="L586">
        <v>8945.9100000000017</v>
      </c>
      <c r="M586" t="s">
        <v>43</v>
      </c>
      <c r="O586">
        <v>1</v>
      </c>
      <c r="P586" t="s">
        <v>635</v>
      </c>
      <c r="Q586" t="s">
        <v>2112</v>
      </c>
      <c r="R586">
        <v>46.59</v>
      </c>
      <c r="S586" s="5">
        <v>45658</v>
      </c>
      <c r="T586" s="5">
        <v>45660</v>
      </c>
      <c r="U586" t="s">
        <v>2922</v>
      </c>
    </row>
    <row r="587" spans="1:21" x14ac:dyDescent="0.25">
      <c r="A587" s="5">
        <v>45730</v>
      </c>
      <c r="B587" s="7">
        <f>Table1[[#This Row],[TotalPrice]] * (1 - Table1[[#This Row],[Discount]])</f>
        <v>67.250299999999996</v>
      </c>
      <c r="C587" s="7">
        <f>Table1[[#This Row],[Net Sales]] * 0.2</f>
        <v>13.450060000000001</v>
      </c>
      <c r="D587" t="s">
        <v>19</v>
      </c>
      <c r="E587" t="s">
        <v>25</v>
      </c>
      <c r="F587">
        <v>4</v>
      </c>
      <c r="G587">
        <v>23.27</v>
      </c>
      <c r="H587" t="s">
        <v>33</v>
      </c>
      <c r="I587" t="s">
        <v>35</v>
      </c>
      <c r="J587" s="3">
        <v>0.15</v>
      </c>
      <c r="K587" t="s">
        <v>41</v>
      </c>
      <c r="L587">
        <v>79.117999999999995</v>
      </c>
      <c r="M587" t="s">
        <v>43</v>
      </c>
      <c r="N587" t="s">
        <v>49</v>
      </c>
      <c r="O587">
        <v>0</v>
      </c>
      <c r="P587" t="s">
        <v>636</v>
      </c>
      <c r="Q587" t="s">
        <v>2113</v>
      </c>
      <c r="R587">
        <v>32.86</v>
      </c>
      <c r="S587" s="5">
        <v>45730</v>
      </c>
      <c r="T587" s="5">
        <v>45737</v>
      </c>
      <c r="U587" t="s">
        <v>2922</v>
      </c>
    </row>
    <row r="588" spans="1:21" x14ac:dyDescent="0.25">
      <c r="A588" s="5">
        <v>45307</v>
      </c>
      <c r="B588" s="7">
        <f>Table1[[#This Row],[TotalPrice]] * (1 - Table1[[#This Row],[Discount]])</f>
        <v>1785.7665</v>
      </c>
      <c r="C588" s="7">
        <f>Table1[[#This Row],[Net Sales]] * 0.2</f>
        <v>357.1533</v>
      </c>
      <c r="D588" t="s">
        <v>20</v>
      </c>
      <c r="E588" t="s">
        <v>29</v>
      </c>
      <c r="F588">
        <v>5</v>
      </c>
      <c r="G588">
        <v>440.93</v>
      </c>
      <c r="H588" t="s">
        <v>31</v>
      </c>
      <c r="I588" t="s">
        <v>35</v>
      </c>
      <c r="J588" s="3">
        <v>0.1</v>
      </c>
      <c r="K588" t="s">
        <v>40</v>
      </c>
      <c r="L588">
        <v>1984.1849999999999</v>
      </c>
      <c r="M588" t="s">
        <v>44</v>
      </c>
      <c r="O588">
        <v>0</v>
      </c>
      <c r="P588" t="s">
        <v>637</v>
      </c>
      <c r="Q588" t="s">
        <v>2114</v>
      </c>
      <c r="R588">
        <v>23.84</v>
      </c>
      <c r="S588" s="5">
        <v>45307</v>
      </c>
      <c r="T588" s="5">
        <v>45311</v>
      </c>
      <c r="U588" t="s">
        <v>2923</v>
      </c>
    </row>
    <row r="589" spans="1:21" x14ac:dyDescent="0.25">
      <c r="A589" s="5">
        <v>45401</v>
      </c>
      <c r="B589" s="7">
        <f>Table1[[#This Row],[TotalPrice]] * (1 - Table1[[#This Row],[Discount]])</f>
        <v>2784.5</v>
      </c>
      <c r="C589" s="7">
        <f>Table1[[#This Row],[Net Sales]] * 0.2</f>
        <v>556.9</v>
      </c>
      <c r="D589" t="s">
        <v>23</v>
      </c>
      <c r="E589" t="s">
        <v>29</v>
      </c>
      <c r="F589">
        <v>10</v>
      </c>
      <c r="G589">
        <v>278.45</v>
      </c>
      <c r="H589" t="s">
        <v>34</v>
      </c>
      <c r="I589" t="s">
        <v>35</v>
      </c>
      <c r="J589" s="3">
        <v>0</v>
      </c>
      <c r="K589" t="s">
        <v>37</v>
      </c>
      <c r="L589">
        <v>2784.5</v>
      </c>
      <c r="M589" t="s">
        <v>45</v>
      </c>
      <c r="N589" t="s">
        <v>49</v>
      </c>
      <c r="O589">
        <v>0</v>
      </c>
      <c r="P589" t="s">
        <v>638</v>
      </c>
      <c r="Q589" t="s">
        <v>2115</v>
      </c>
      <c r="R589">
        <v>11.13</v>
      </c>
      <c r="S589" s="5">
        <v>45401</v>
      </c>
      <c r="T589" s="5">
        <v>45407</v>
      </c>
      <c r="U589" t="s">
        <v>2926</v>
      </c>
    </row>
    <row r="590" spans="1:21" x14ac:dyDescent="0.25">
      <c r="A590" s="5">
        <v>45268</v>
      </c>
      <c r="B590" s="7">
        <f>Table1[[#This Row],[TotalPrice]] * (1 - Table1[[#This Row],[Discount]])</f>
        <v>4828.9706499999984</v>
      </c>
      <c r="C590" s="7">
        <f>Table1[[#This Row],[Net Sales]] * 0.2</f>
        <v>965.79412999999977</v>
      </c>
      <c r="D590" t="s">
        <v>21</v>
      </c>
      <c r="E590" t="s">
        <v>28</v>
      </c>
      <c r="F590">
        <v>14</v>
      </c>
      <c r="G590">
        <v>382.19</v>
      </c>
      <c r="H590" t="s">
        <v>31</v>
      </c>
      <c r="I590" t="s">
        <v>35</v>
      </c>
      <c r="J590" s="3">
        <v>0.05</v>
      </c>
      <c r="K590" t="s">
        <v>39</v>
      </c>
      <c r="L590">
        <v>5083.1269999999986</v>
      </c>
      <c r="M590" t="s">
        <v>47</v>
      </c>
      <c r="N590" t="s">
        <v>48</v>
      </c>
      <c r="O590">
        <v>1</v>
      </c>
      <c r="P590" t="s">
        <v>639</v>
      </c>
      <c r="Q590" t="s">
        <v>2116</v>
      </c>
      <c r="R590">
        <v>49.12</v>
      </c>
      <c r="S590" s="5">
        <v>45268</v>
      </c>
      <c r="T590" s="5">
        <v>45271</v>
      </c>
      <c r="U590" t="s">
        <v>2924</v>
      </c>
    </row>
    <row r="591" spans="1:21" x14ac:dyDescent="0.25">
      <c r="A591" s="5">
        <v>45000</v>
      </c>
      <c r="B591" s="7">
        <f>Table1[[#This Row],[TotalPrice]] * (1 - Table1[[#This Row],[Discount]])</f>
        <v>2937.5111499999998</v>
      </c>
      <c r="C591" s="7">
        <f>Table1[[#This Row],[Net Sales]] * 0.2</f>
        <v>587.50222999999994</v>
      </c>
      <c r="D591" t="s">
        <v>21</v>
      </c>
      <c r="E591" t="s">
        <v>28</v>
      </c>
      <c r="F591">
        <v>14</v>
      </c>
      <c r="G591">
        <v>232.49</v>
      </c>
      <c r="H591" t="s">
        <v>34</v>
      </c>
      <c r="I591" t="s">
        <v>35</v>
      </c>
      <c r="J591" s="3">
        <v>0.05</v>
      </c>
      <c r="K591" t="s">
        <v>41</v>
      </c>
      <c r="L591">
        <v>3092.1170000000002</v>
      </c>
      <c r="M591" t="s">
        <v>43</v>
      </c>
      <c r="N591" t="s">
        <v>49</v>
      </c>
      <c r="O591">
        <v>1</v>
      </c>
      <c r="P591" t="s">
        <v>640</v>
      </c>
      <c r="Q591" t="s">
        <v>2117</v>
      </c>
      <c r="R591">
        <v>5.32</v>
      </c>
      <c r="S591" s="5">
        <v>45000</v>
      </c>
      <c r="T591" s="5">
        <v>45004</v>
      </c>
      <c r="U591" t="s">
        <v>2924</v>
      </c>
    </row>
    <row r="592" spans="1:21" x14ac:dyDescent="0.25">
      <c r="A592" s="5">
        <v>45695</v>
      </c>
      <c r="B592" s="7">
        <f>Table1[[#This Row],[TotalPrice]] * (1 - Table1[[#This Row],[Discount]])</f>
        <v>184.36032499999999</v>
      </c>
      <c r="C592" s="7">
        <f>Table1[[#This Row],[Net Sales]] * 0.2</f>
        <v>36.872064999999999</v>
      </c>
      <c r="D592" t="s">
        <v>20</v>
      </c>
      <c r="E592" t="s">
        <v>24</v>
      </c>
      <c r="F592">
        <v>17</v>
      </c>
      <c r="G592">
        <v>15.01</v>
      </c>
      <c r="H592" t="s">
        <v>34</v>
      </c>
      <c r="I592" t="s">
        <v>35</v>
      </c>
      <c r="J592" s="3">
        <v>0.15</v>
      </c>
      <c r="K592" t="s">
        <v>41</v>
      </c>
      <c r="L592">
        <v>216.89449999999999</v>
      </c>
      <c r="M592" t="s">
        <v>46</v>
      </c>
      <c r="N592" t="s">
        <v>49</v>
      </c>
      <c r="O592">
        <v>1</v>
      </c>
      <c r="P592" t="s">
        <v>641</v>
      </c>
      <c r="Q592" t="s">
        <v>2118</v>
      </c>
      <c r="R592">
        <v>22</v>
      </c>
      <c r="S592" s="5">
        <v>45695</v>
      </c>
      <c r="T592" s="5">
        <v>45701</v>
      </c>
      <c r="U592" t="s">
        <v>2923</v>
      </c>
    </row>
    <row r="593" spans="1:21" x14ac:dyDescent="0.25">
      <c r="A593" s="5">
        <v>45835</v>
      </c>
      <c r="B593" s="7">
        <f>Table1[[#This Row],[TotalPrice]] * (1 - Table1[[#This Row],[Discount]])</f>
        <v>291.96777499999996</v>
      </c>
      <c r="C593" s="7">
        <f>Table1[[#This Row],[Net Sales]] * 0.2</f>
        <v>58.393554999999992</v>
      </c>
      <c r="D593" t="s">
        <v>21</v>
      </c>
      <c r="E593" t="s">
        <v>28</v>
      </c>
      <c r="F593">
        <v>11</v>
      </c>
      <c r="G593">
        <v>29.41</v>
      </c>
      <c r="H593" t="s">
        <v>34</v>
      </c>
      <c r="I593" t="s">
        <v>36</v>
      </c>
      <c r="J593" s="3">
        <v>0.05</v>
      </c>
      <c r="K593" t="s">
        <v>40</v>
      </c>
      <c r="L593">
        <v>307.33449999999999</v>
      </c>
      <c r="M593" t="s">
        <v>45</v>
      </c>
      <c r="N593" t="s">
        <v>49</v>
      </c>
      <c r="O593">
        <v>0</v>
      </c>
      <c r="P593" t="s">
        <v>642</v>
      </c>
      <c r="Q593" t="s">
        <v>2119</v>
      </c>
      <c r="R593">
        <v>6.16</v>
      </c>
      <c r="S593" s="5">
        <v>45835</v>
      </c>
      <c r="T593" s="5">
        <v>45840</v>
      </c>
      <c r="U593" t="s">
        <v>2924</v>
      </c>
    </row>
    <row r="594" spans="1:21" x14ac:dyDescent="0.25">
      <c r="A594" s="5">
        <v>45643</v>
      </c>
      <c r="B594" s="7">
        <f>Table1[[#This Row],[TotalPrice]] * (1 - Table1[[#This Row],[Discount]])</f>
        <v>438.78647499999994</v>
      </c>
      <c r="C594" s="7">
        <f>Table1[[#This Row],[Net Sales]] * 0.2</f>
        <v>87.757294999999999</v>
      </c>
      <c r="D594" t="s">
        <v>22</v>
      </c>
      <c r="E594" t="s">
        <v>29</v>
      </c>
      <c r="F594">
        <v>1</v>
      </c>
      <c r="G594">
        <v>486.19</v>
      </c>
      <c r="H594" t="s">
        <v>31</v>
      </c>
      <c r="I594" t="s">
        <v>36</v>
      </c>
      <c r="J594" s="3">
        <v>0.05</v>
      </c>
      <c r="K594" t="s">
        <v>39</v>
      </c>
      <c r="L594">
        <v>461.88049999999998</v>
      </c>
      <c r="M594" t="s">
        <v>43</v>
      </c>
      <c r="N594" t="s">
        <v>49</v>
      </c>
      <c r="O594">
        <v>0</v>
      </c>
      <c r="P594" t="s">
        <v>643</v>
      </c>
      <c r="Q594" t="s">
        <v>2120</v>
      </c>
      <c r="R594">
        <v>41.73</v>
      </c>
      <c r="S594" s="5">
        <v>45643</v>
      </c>
      <c r="T594" s="5">
        <v>45646</v>
      </c>
      <c r="U594" t="s">
        <v>2925</v>
      </c>
    </row>
    <row r="595" spans="1:21" x14ac:dyDescent="0.25">
      <c r="A595" s="5">
        <v>45415</v>
      </c>
      <c r="B595" s="7">
        <f>Table1[[#This Row],[TotalPrice]] * (1 - Table1[[#This Row],[Discount]])</f>
        <v>1444.0180499999999</v>
      </c>
      <c r="C595" s="7">
        <f>Table1[[#This Row],[Net Sales]] * 0.2</f>
        <v>288.80360999999999</v>
      </c>
      <c r="D595" t="s">
        <v>20</v>
      </c>
      <c r="E595" t="s">
        <v>24</v>
      </c>
      <c r="F595">
        <v>6</v>
      </c>
      <c r="G595">
        <v>266.67</v>
      </c>
      <c r="H595" t="s">
        <v>31</v>
      </c>
      <c r="I595" t="s">
        <v>35</v>
      </c>
      <c r="J595" s="3">
        <v>0.05</v>
      </c>
      <c r="K595" t="s">
        <v>37</v>
      </c>
      <c r="L595">
        <v>1520.019</v>
      </c>
      <c r="M595" t="s">
        <v>46</v>
      </c>
      <c r="O595">
        <v>0</v>
      </c>
      <c r="P595" t="s">
        <v>644</v>
      </c>
      <c r="Q595" t="s">
        <v>2121</v>
      </c>
      <c r="R595">
        <v>48.49</v>
      </c>
      <c r="S595" s="5">
        <v>45415</v>
      </c>
      <c r="T595" s="5">
        <v>45423</v>
      </c>
      <c r="U595" t="s">
        <v>2923</v>
      </c>
    </row>
    <row r="596" spans="1:21" x14ac:dyDescent="0.25">
      <c r="A596" s="5">
        <v>45286</v>
      </c>
      <c r="B596" s="7">
        <f>Table1[[#This Row],[TotalPrice]] * (1 - Table1[[#This Row],[Discount]])</f>
        <v>730.94400000000007</v>
      </c>
      <c r="C596" s="7">
        <f>Table1[[#This Row],[Net Sales]] * 0.2</f>
        <v>146.18880000000001</v>
      </c>
      <c r="D596" t="s">
        <v>20</v>
      </c>
      <c r="E596" t="s">
        <v>30</v>
      </c>
      <c r="F596">
        <v>3</v>
      </c>
      <c r="G596">
        <v>300.8</v>
      </c>
      <c r="H596" t="s">
        <v>31</v>
      </c>
      <c r="I596" t="s">
        <v>35</v>
      </c>
      <c r="J596" s="3">
        <v>0.1</v>
      </c>
      <c r="K596" t="s">
        <v>40</v>
      </c>
      <c r="L596">
        <v>812.16000000000008</v>
      </c>
      <c r="M596" t="s">
        <v>47</v>
      </c>
      <c r="O596">
        <v>1</v>
      </c>
      <c r="P596" t="s">
        <v>645</v>
      </c>
      <c r="Q596" t="s">
        <v>2029</v>
      </c>
      <c r="R596">
        <v>15.98</v>
      </c>
      <c r="S596" s="5">
        <v>45286</v>
      </c>
      <c r="T596" s="5">
        <v>45292</v>
      </c>
      <c r="U596" t="s">
        <v>2923</v>
      </c>
    </row>
    <row r="597" spans="1:21" x14ac:dyDescent="0.25">
      <c r="A597" s="5">
        <v>45425</v>
      </c>
      <c r="B597" s="7">
        <f>Table1[[#This Row],[TotalPrice]] * (1 - Table1[[#This Row],[Discount]])</f>
        <v>790.52682499999992</v>
      </c>
      <c r="C597" s="7">
        <f>Table1[[#This Row],[Net Sales]] * 0.2</f>
        <v>158.10536500000001</v>
      </c>
      <c r="D597" t="s">
        <v>22</v>
      </c>
      <c r="E597" t="s">
        <v>30</v>
      </c>
      <c r="F597">
        <v>11</v>
      </c>
      <c r="G597">
        <v>79.63</v>
      </c>
      <c r="H597" t="s">
        <v>31</v>
      </c>
      <c r="I597" t="s">
        <v>35</v>
      </c>
      <c r="J597" s="3">
        <v>0.05</v>
      </c>
      <c r="K597" t="s">
        <v>39</v>
      </c>
      <c r="L597">
        <v>832.13349999999991</v>
      </c>
      <c r="M597" t="s">
        <v>43</v>
      </c>
      <c r="O597">
        <v>0</v>
      </c>
      <c r="P597" t="s">
        <v>646</v>
      </c>
      <c r="Q597" t="s">
        <v>2122</v>
      </c>
      <c r="R597">
        <v>43.84</v>
      </c>
      <c r="S597" s="5">
        <v>45425</v>
      </c>
      <c r="T597" s="5">
        <v>45431</v>
      </c>
      <c r="U597" t="s">
        <v>2925</v>
      </c>
    </row>
    <row r="598" spans="1:21" x14ac:dyDescent="0.25">
      <c r="A598" s="5">
        <v>45206</v>
      </c>
      <c r="B598" s="7">
        <f>Table1[[#This Row],[TotalPrice]] * (1 - Table1[[#This Row],[Discount]])</f>
        <v>3034.2</v>
      </c>
      <c r="C598" s="7">
        <f>Table1[[#This Row],[Net Sales]] * 0.2</f>
        <v>606.84</v>
      </c>
      <c r="D598" t="s">
        <v>20</v>
      </c>
      <c r="E598" t="s">
        <v>24</v>
      </c>
      <c r="F598">
        <v>6</v>
      </c>
      <c r="G598">
        <v>505.7</v>
      </c>
      <c r="H598" t="s">
        <v>33</v>
      </c>
      <c r="I598" t="s">
        <v>36</v>
      </c>
      <c r="J598" s="3">
        <v>0</v>
      </c>
      <c r="K598" t="s">
        <v>38</v>
      </c>
      <c r="L598">
        <v>3034.2</v>
      </c>
      <c r="M598" t="s">
        <v>47</v>
      </c>
      <c r="O598">
        <v>0</v>
      </c>
      <c r="P598" t="s">
        <v>647</v>
      </c>
      <c r="Q598" t="s">
        <v>2123</v>
      </c>
      <c r="R598">
        <v>40.380000000000003</v>
      </c>
      <c r="S598" s="5">
        <v>45206</v>
      </c>
      <c r="T598" s="5">
        <v>45215</v>
      </c>
      <c r="U598" t="s">
        <v>2923</v>
      </c>
    </row>
    <row r="599" spans="1:21" x14ac:dyDescent="0.25">
      <c r="A599" s="5">
        <v>45118</v>
      </c>
      <c r="B599" s="7">
        <f>Table1[[#This Row],[TotalPrice]] * (1 - Table1[[#This Row],[Discount]])</f>
        <v>2848.1</v>
      </c>
      <c r="C599" s="7">
        <f>Table1[[#This Row],[Net Sales]] * 0.2</f>
        <v>569.62</v>
      </c>
      <c r="D599" t="s">
        <v>23</v>
      </c>
      <c r="E599" t="s">
        <v>30</v>
      </c>
      <c r="F599">
        <v>5</v>
      </c>
      <c r="G599">
        <v>569.62</v>
      </c>
      <c r="H599" t="s">
        <v>33</v>
      </c>
      <c r="I599" t="s">
        <v>35</v>
      </c>
      <c r="J599" s="3">
        <v>0</v>
      </c>
      <c r="K599" t="s">
        <v>41</v>
      </c>
      <c r="L599">
        <v>2848.1</v>
      </c>
      <c r="M599" t="s">
        <v>46</v>
      </c>
      <c r="N599" t="s">
        <v>48</v>
      </c>
      <c r="O599">
        <v>0</v>
      </c>
      <c r="P599" t="s">
        <v>648</v>
      </c>
      <c r="Q599" t="s">
        <v>2124</v>
      </c>
      <c r="R599">
        <v>48.8</v>
      </c>
      <c r="S599" s="5">
        <v>45118</v>
      </c>
      <c r="T599" s="5">
        <v>45120</v>
      </c>
      <c r="U599" t="s">
        <v>2926</v>
      </c>
    </row>
    <row r="600" spans="1:21" x14ac:dyDescent="0.25">
      <c r="A600" s="5">
        <v>45688</v>
      </c>
      <c r="B600" s="7">
        <f>Table1[[#This Row],[TotalPrice]] * (1 - Table1[[#This Row],[Discount]])</f>
        <v>1557.850375</v>
      </c>
      <c r="C600" s="7">
        <f>Table1[[#This Row],[Net Sales]] * 0.2</f>
        <v>311.57007500000003</v>
      </c>
      <c r="D600" t="s">
        <v>20</v>
      </c>
      <c r="E600" t="s">
        <v>29</v>
      </c>
      <c r="F600">
        <v>19</v>
      </c>
      <c r="G600">
        <v>90.85</v>
      </c>
      <c r="H600" t="s">
        <v>33</v>
      </c>
      <c r="I600" t="s">
        <v>36</v>
      </c>
      <c r="J600" s="3">
        <v>0.05</v>
      </c>
      <c r="K600" t="s">
        <v>38</v>
      </c>
      <c r="L600">
        <v>1639.8425</v>
      </c>
      <c r="M600" t="s">
        <v>45</v>
      </c>
      <c r="N600" t="s">
        <v>49</v>
      </c>
      <c r="O600">
        <v>0</v>
      </c>
      <c r="P600" t="s">
        <v>649</v>
      </c>
      <c r="Q600" t="s">
        <v>2125</v>
      </c>
      <c r="R600">
        <v>22.28</v>
      </c>
      <c r="S600" s="5">
        <v>45688</v>
      </c>
      <c r="T600" s="5">
        <v>45694</v>
      </c>
      <c r="U600" t="s">
        <v>2923</v>
      </c>
    </row>
    <row r="601" spans="1:21" x14ac:dyDescent="0.25">
      <c r="A601" s="5">
        <v>44961</v>
      </c>
      <c r="B601" s="7">
        <f>Table1[[#This Row],[TotalPrice]] * (1 - Table1[[#This Row],[Discount]])</f>
        <v>535.92255</v>
      </c>
      <c r="C601" s="7">
        <f>Table1[[#This Row],[Net Sales]] * 0.2</f>
        <v>107.18451</v>
      </c>
      <c r="D601" t="s">
        <v>20</v>
      </c>
      <c r="E601" t="s">
        <v>27</v>
      </c>
      <c r="F601">
        <v>2</v>
      </c>
      <c r="G601">
        <v>296.91000000000003</v>
      </c>
      <c r="H601" t="s">
        <v>32</v>
      </c>
      <c r="I601" t="s">
        <v>35</v>
      </c>
      <c r="J601" s="3">
        <v>0.05</v>
      </c>
      <c r="K601" t="s">
        <v>40</v>
      </c>
      <c r="L601">
        <v>564.12900000000002</v>
      </c>
      <c r="M601" t="s">
        <v>46</v>
      </c>
      <c r="N601" t="s">
        <v>50</v>
      </c>
      <c r="O601">
        <v>0</v>
      </c>
      <c r="P601" t="s">
        <v>650</v>
      </c>
      <c r="Q601" t="s">
        <v>2126</v>
      </c>
      <c r="R601">
        <v>44.35</v>
      </c>
      <c r="S601" s="5">
        <v>44961</v>
      </c>
      <c r="T601" s="5">
        <v>44964</v>
      </c>
      <c r="U601" t="s">
        <v>2923</v>
      </c>
    </row>
    <row r="602" spans="1:21" x14ac:dyDescent="0.25">
      <c r="A602" s="5">
        <v>45171</v>
      </c>
      <c r="B602" s="7">
        <f>Table1[[#This Row],[TotalPrice]] * (1 - Table1[[#This Row],[Discount]])</f>
        <v>10.027799999999999</v>
      </c>
      <c r="C602" s="7">
        <f>Table1[[#This Row],[Net Sales]] * 0.2</f>
        <v>2.00556</v>
      </c>
      <c r="D602" t="s">
        <v>20</v>
      </c>
      <c r="E602" t="s">
        <v>30</v>
      </c>
      <c r="F602">
        <v>2</v>
      </c>
      <c r="G602">
        <v>6.19</v>
      </c>
      <c r="H602" t="s">
        <v>31</v>
      </c>
      <c r="I602" t="s">
        <v>36</v>
      </c>
      <c r="J602" s="3">
        <v>0.1</v>
      </c>
      <c r="K602" t="s">
        <v>39</v>
      </c>
      <c r="L602">
        <v>11.141999999999999</v>
      </c>
      <c r="M602" t="s">
        <v>45</v>
      </c>
      <c r="N602" t="s">
        <v>48</v>
      </c>
      <c r="O602">
        <v>1</v>
      </c>
      <c r="P602" t="s">
        <v>651</v>
      </c>
      <c r="Q602" t="s">
        <v>2127</v>
      </c>
      <c r="R602">
        <v>47.24</v>
      </c>
      <c r="S602" s="5">
        <v>45171</v>
      </c>
      <c r="T602" s="5">
        <v>45181</v>
      </c>
      <c r="U602" t="s">
        <v>2923</v>
      </c>
    </row>
    <row r="603" spans="1:21" x14ac:dyDescent="0.25">
      <c r="A603" s="5">
        <v>45639</v>
      </c>
      <c r="B603" s="7">
        <f>Table1[[#This Row],[TotalPrice]] * (1 - Table1[[#This Row],[Discount]])</f>
        <v>2696.586749999999</v>
      </c>
      <c r="C603" s="7">
        <f>Table1[[#This Row],[Net Sales]] * 0.2</f>
        <v>539.31734999999981</v>
      </c>
      <c r="D603" t="s">
        <v>22</v>
      </c>
      <c r="E603" t="s">
        <v>28</v>
      </c>
      <c r="F603">
        <v>18</v>
      </c>
      <c r="G603">
        <v>207.35</v>
      </c>
      <c r="H603" t="s">
        <v>34</v>
      </c>
      <c r="I603" t="s">
        <v>35</v>
      </c>
      <c r="J603" s="3">
        <v>0.15</v>
      </c>
      <c r="K603" t="s">
        <v>38</v>
      </c>
      <c r="L603">
        <v>3172.454999999999</v>
      </c>
      <c r="M603" t="s">
        <v>46</v>
      </c>
      <c r="N603" t="s">
        <v>48</v>
      </c>
      <c r="O603">
        <v>0</v>
      </c>
      <c r="P603" t="s">
        <v>652</v>
      </c>
      <c r="Q603" t="s">
        <v>2128</v>
      </c>
      <c r="R603">
        <v>11.17</v>
      </c>
      <c r="S603" s="5">
        <v>45639</v>
      </c>
      <c r="T603" s="5">
        <v>45641</v>
      </c>
      <c r="U603" t="s">
        <v>2925</v>
      </c>
    </row>
    <row r="604" spans="1:21" x14ac:dyDescent="0.25">
      <c r="A604" s="5">
        <v>45212</v>
      </c>
      <c r="B604" s="7">
        <f>Table1[[#This Row],[TotalPrice]] * (1 - Table1[[#This Row],[Discount]])</f>
        <v>376.35</v>
      </c>
      <c r="C604" s="7">
        <f>Table1[[#This Row],[Net Sales]] * 0.2</f>
        <v>75.27000000000001</v>
      </c>
      <c r="D604" t="s">
        <v>22</v>
      </c>
      <c r="E604" t="s">
        <v>29</v>
      </c>
      <c r="F604">
        <v>5</v>
      </c>
      <c r="G604">
        <v>75.27</v>
      </c>
      <c r="H604" t="s">
        <v>32</v>
      </c>
      <c r="I604" t="s">
        <v>35</v>
      </c>
      <c r="J604" s="3">
        <v>0</v>
      </c>
      <c r="K604" t="s">
        <v>40</v>
      </c>
      <c r="L604">
        <v>376.35</v>
      </c>
      <c r="M604" t="s">
        <v>47</v>
      </c>
      <c r="O604">
        <v>0</v>
      </c>
      <c r="P604" t="s">
        <v>653</v>
      </c>
      <c r="Q604" t="s">
        <v>2129</v>
      </c>
      <c r="R604">
        <v>31.61</v>
      </c>
      <c r="S604" s="5">
        <v>45212</v>
      </c>
      <c r="T604" s="5">
        <v>45221</v>
      </c>
      <c r="U604" t="s">
        <v>2925</v>
      </c>
    </row>
    <row r="605" spans="1:21" x14ac:dyDescent="0.25">
      <c r="A605" s="5">
        <v>45568</v>
      </c>
      <c r="B605" s="7">
        <f>Table1[[#This Row],[TotalPrice]] * (1 - Table1[[#This Row],[Discount]])</f>
        <v>330.8445000000001</v>
      </c>
      <c r="C605" s="7">
        <f>Table1[[#This Row],[Net Sales]] * 0.2</f>
        <v>66.168900000000022</v>
      </c>
      <c r="D605" t="s">
        <v>20</v>
      </c>
      <c r="E605" t="s">
        <v>28</v>
      </c>
      <c r="F605">
        <v>3</v>
      </c>
      <c r="G605">
        <v>136.15</v>
      </c>
      <c r="H605" t="s">
        <v>32</v>
      </c>
      <c r="I605" t="s">
        <v>36</v>
      </c>
      <c r="J605" s="3">
        <v>0.1</v>
      </c>
      <c r="K605" t="s">
        <v>41</v>
      </c>
      <c r="L605">
        <v>367.60500000000008</v>
      </c>
      <c r="M605" t="s">
        <v>44</v>
      </c>
      <c r="N605" t="s">
        <v>49</v>
      </c>
      <c r="O605">
        <v>0</v>
      </c>
      <c r="P605" t="s">
        <v>654</v>
      </c>
      <c r="Q605" t="s">
        <v>2130</v>
      </c>
      <c r="R605">
        <v>48.38</v>
      </c>
      <c r="S605" s="5">
        <v>45568</v>
      </c>
      <c r="T605" s="5">
        <v>45572</v>
      </c>
      <c r="U605" t="s">
        <v>2923</v>
      </c>
    </row>
    <row r="606" spans="1:21" x14ac:dyDescent="0.25">
      <c r="A606" s="5">
        <v>45410</v>
      </c>
      <c r="B606" s="7">
        <f>Table1[[#This Row],[TotalPrice]] * (1 - Table1[[#This Row],[Discount]])</f>
        <v>2205.873</v>
      </c>
      <c r="C606" s="7">
        <f>Table1[[#This Row],[Net Sales]] * 0.2</f>
        <v>441.17460000000005</v>
      </c>
      <c r="D606" t="s">
        <v>22</v>
      </c>
      <c r="E606" t="s">
        <v>26</v>
      </c>
      <c r="F606">
        <v>5</v>
      </c>
      <c r="G606">
        <v>544.66</v>
      </c>
      <c r="H606" t="s">
        <v>31</v>
      </c>
      <c r="I606" t="s">
        <v>36</v>
      </c>
      <c r="J606" s="3">
        <v>0.1</v>
      </c>
      <c r="K606" t="s">
        <v>41</v>
      </c>
      <c r="L606">
        <v>2450.9699999999998</v>
      </c>
      <c r="M606" t="s">
        <v>43</v>
      </c>
      <c r="N606" t="s">
        <v>49</v>
      </c>
      <c r="O606">
        <v>0</v>
      </c>
      <c r="P606" t="s">
        <v>655</v>
      </c>
      <c r="Q606" t="s">
        <v>2131</v>
      </c>
      <c r="R606">
        <v>8.39</v>
      </c>
      <c r="S606" s="5">
        <v>45410</v>
      </c>
      <c r="T606" s="5">
        <v>45416</v>
      </c>
      <c r="U606" t="s">
        <v>2925</v>
      </c>
    </row>
    <row r="607" spans="1:21" x14ac:dyDescent="0.25">
      <c r="A607" s="5">
        <v>45329</v>
      </c>
      <c r="B607" s="7">
        <f>Table1[[#This Row],[TotalPrice]] * (1 - Table1[[#This Row],[Discount]])</f>
        <v>3247.7820000000002</v>
      </c>
      <c r="C607" s="7">
        <f>Table1[[#This Row],[Net Sales]] * 0.2</f>
        <v>649.55640000000005</v>
      </c>
      <c r="D607" t="s">
        <v>22</v>
      </c>
      <c r="E607" t="s">
        <v>26</v>
      </c>
      <c r="F607">
        <v>8</v>
      </c>
      <c r="G607">
        <v>561.9</v>
      </c>
      <c r="H607" t="s">
        <v>32</v>
      </c>
      <c r="I607" t="s">
        <v>36</v>
      </c>
      <c r="J607" s="3">
        <v>0.15</v>
      </c>
      <c r="K607" t="s">
        <v>42</v>
      </c>
      <c r="L607">
        <v>3820.92</v>
      </c>
      <c r="M607" t="s">
        <v>43</v>
      </c>
      <c r="N607" t="s">
        <v>48</v>
      </c>
      <c r="O607">
        <v>1</v>
      </c>
      <c r="P607" t="s">
        <v>656</v>
      </c>
      <c r="Q607" t="s">
        <v>2132</v>
      </c>
      <c r="R607">
        <v>15.97</v>
      </c>
      <c r="S607" s="5">
        <v>45329</v>
      </c>
      <c r="T607" s="5">
        <v>45336</v>
      </c>
      <c r="U607" t="s">
        <v>2925</v>
      </c>
    </row>
    <row r="608" spans="1:21" x14ac:dyDescent="0.25">
      <c r="A608" s="5">
        <v>44965</v>
      </c>
      <c r="B608" s="7">
        <f>Table1[[#This Row],[TotalPrice]] * (1 - Table1[[#This Row],[Discount]])</f>
        <v>4529.6415000000006</v>
      </c>
      <c r="C608" s="7">
        <f>Table1[[#This Row],[Net Sales]] * 0.2</f>
        <v>905.92830000000015</v>
      </c>
      <c r="D608" t="s">
        <v>20</v>
      </c>
      <c r="E608" t="s">
        <v>27</v>
      </c>
      <c r="F608">
        <v>20</v>
      </c>
      <c r="G608">
        <v>313.47000000000003</v>
      </c>
      <c r="H608" t="s">
        <v>33</v>
      </c>
      <c r="I608" t="s">
        <v>36</v>
      </c>
      <c r="J608" s="3">
        <v>0.15</v>
      </c>
      <c r="K608" t="s">
        <v>38</v>
      </c>
      <c r="L608">
        <v>5328.9900000000007</v>
      </c>
      <c r="M608" t="s">
        <v>43</v>
      </c>
      <c r="N608" t="s">
        <v>48</v>
      </c>
      <c r="O608">
        <v>0</v>
      </c>
      <c r="P608" t="s">
        <v>657</v>
      </c>
      <c r="Q608" t="s">
        <v>2133</v>
      </c>
      <c r="R608">
        <v>18.170000000000002</v>
      </c>
      <c r="S608" s="5">
        <v>44965</v>
      </c>
      <c r="T608" s="5">
        <v>44968</v>
      </c>
      <c r="U608" t="s">
        <v>2923</v>
      </c>
    </row>
    <row r="609" spans="1:21" x14ac:dyDescent="0.25">
      <c r="A609" s="5">
        <v>45094</v>
      </c>
      <c r="B609" s="7">
        <f>Table1[[#This Row],[TotalPrice]] * (1 - Table1[[#This Row],[Discount]])</f>
        <v>302.33012500000001</v>
      </c>
      <c r="C609" s="7">
        <f>Table1[[#This Row],[Net Sales]] * 0.2</f>
        <v>60.466025000000002</v>
      </c>
      <c r="D609" t="s">
        <v>20</v>
      </c>
      <c r="E609" t="s">
        <v>25</v>
      </c>
      <c r="F609">
        <v>1</v>
      </c>
      <c r="G609">
        <v>418.45</v>
      </c>
      <c r="H609" t="s">
        <v>33</v>
      </c>
      <c r="I609" t="s">
        <v>36</v>
      </c>
      <c r="J609" s="3">
        <v>0.15</v>
      </c>
      <c r="K609" t="s">
        <v>41</v>
      </c>
      <c r="L609">
        <v>355.6825</v>
      </c>
      <c r="M609" t="s">
        <v>47</v>
      </c>
      <c r="N609" t="s">
        <v>50</v>
      </c>
      <c r="O609">
        <v>0</v>
      </c>
      <c r="P609" t="s">
        <v>658</v>
      </c>
      <c r="Q609" t="s">
        <v>2134</v>
      </c>
      <c r="R609">
        <v>35.58</v>
      </c>
      <c r="S609" s="5">
        <v>45094</v>
      </c>
      <c r="T609" s="5">
        <v>45096</v>
      </c>
      <c r="U609" t="s">
        <v>2923</v>
      </c>
    </row>
    <row r="610" spans="1:21" x14ac:dyDescent="0.25">
      <c r="A610" s="5">
        <v>45502</v>
      </c>
      <c r="B610" s="7">
        <f>Table1[[#This Row],[TotalPrice]] * (1 - Table1[[#This Row],[Discount]])</f>
        <v>2726.46</v>
      </c>
      <c r="C610" s="7">
        <f>Table1[[#This Row],[Net Sales]] * 0.2</f>
        <v>545.29200000000003</v>
      </c>
      <c r="D610" t="s">
        <v>23</v>
      </c>
      <c r="E610" t="s">
        <v>28</v>
      </c>
      <c r="F610">
        <v>8</v>
      </c>
      <c r="G610">
        <v>420.75</v>
      </c>
      <c r="H610" t="s">
        <v>31</v>
      </c>
      <c r="I610" t="s">
        <v>35</v>
      </c>
      <c r="J610" s="3">
        <v>0.1</v>
      </c>
      <c r="K610" t="s">
        <v>42</v>
      </c>
      <c r="L610">
        <v>3029.4</v>
      </c>
      <c r="M610" t="s">
        <v>43</v>
      </c>
      <c r="N610" t="s">
        <v>49</v>
      </c>
      <c r="O610">
        <v>1</v>
      </c>
      <c r="P610" t="s">
        <v>659</v>
      </c>
      <c r="Q610" t="s">
        <v>2135</v>
      </c>
      <c r="R610">
        <v>44.61</v>
      </c>
      <c r="S610" s="5">
        <v>45502</v>
      </c>
      <c r="T610" s="5">
        <v>45505</v>
      </c>
      <c r="U610" t="s">
        <v>2926</v>
      </c>
    </row>
    <row r="611" spans="1:21" x14ac:dyDescent="0.25">
      <c r="A611" s="5">
        <v>45320</v>
      </c>
      <c r="B611" s="7">
        <f>Table1[[#This Row],[TotalPrice]] * (1 - Table1[[#This Row],[Discount]])</f>
        <v>8229.76</v>
      </c>
      <c r="C611" s="7">
        <f>Table1[[#This Row],[Net Sales]] * 0.2</f>
        <v>1645.9520000000002</v>
      </c>
      <c r="D611" t="s">
        <v>23</v>
      </c>
      <c r="E611" t="s">
        <v>30</v>
      </c>
      <c r="F611">
        <v>16</v>
      </c>
      <c r="G611">
        <v>514.36</v>
      </c>
      <c r="H611" t="s">
        <v>34</v>
      </c>
      <c r="I611" t="s">
        <v>35</v>
      </c>
      <c r="J611" s="3">
        <v>0</v>
      </c>
      <c r="K611" t="s">
        <v>38</v>
      </c>
      <c r="L611">
        <v>8229.76</v>
      </c>
      <c r="M611" t="s">
        <v>43</v>
      </c>
      <c r="N611" t="s">
        <v>49</v>
      </c>
      <c r="O611">
        <v>0</v>
      </c>
      <c r="P611" t="s">
        <v>660</v>
      </c>
      <c r="Q611" t="s">
        <v>2136</v>
      </c>
      <c r="R611">
        <v>40.75</v>
      </c>
      <c r="S611" s="5">
        <v>45320</v>
      </c>
      <c r="T611" s="5">
        <v>45323</v>
      </c>
      <c r="U611" t="s">
        <v>2926</v>
      </c>
    </row>
    <row r="612" spans="1:21" x14ac:dyDescent="0.25">
      <c r="A612" s="5">
        <v>45309</v>
      </c>
      <c r="B612" s="7">
        <f>Table1[[#This Row],[TotalPrice]] * (1 - Table1[[#This Row],[Discount]])</f>
        <v>481.46400000000006</v>
      </c>
      <c r="C612" s="7">
        <f>Table1[[#This Row],[Net Sales]] * 0.2</f>
        <v>96.292800000000014</v>
      </c>
      <c r="D612" t="s">
        <v>19</v>
      </c>
      <c r="E612" t="s">
        <v>25</v>
      </c>
      <c r="F612">
        <v>2</v>
      </c>
      <c r="G612">
        <v>297.2</v>
      </c>
      <c r="H612" t="s">
        <v>31</v>
      </c>
      <c r="I612" t="s">
        <v>36</v>
      </c>
      <c r="J612" s="3">
        <v>0.1</v>
      </c>
      <c r="K612" t="s">
        <v>39</v>
      </c>
      <c r="L612">
        <v>534.96</v>
      </c>
      <c r="M612" t="s">
        <v>44</v>
      </c>
      <c r="N612" t="s">
        <v>48</v>
      </c>
      <c r="O612">
        <v>0</v>
      </c>
      <c r="P612" t="s">
        <v>661</v>
      </c>
      <c r="Q612" t="s">
        <v>2137</v>
      </c>
      <c r="R612">
        <v>8.7100000000000009</v>
      </c>
      <c r="S612" s="5">
        <v>45309</v>
      </c>
      <c r="T612" s="5">
        <v>45314</v>
      </c>
      <c r="U612" t="s">
        <v>2922</v>
      </c>
    </row>
    <row r="613" spans="1:21" x14ac:dyDescent="0.25">
      <c r="A613" s="5">
        <v>45516</v>
      </c>
      <c r="B613" s="7">
        <f>Table1[[#This Row],[TotalPrice]] * (1 - Table1[[#This Row],[Discount]])</f>
        <v>2780</v>
      </c>
      <c r="C613" s="7">
        <f>Table1[[#This Row],[Net Sales]] * 0.2</f>
        <v>556</v>
      </c>
      <c r="D613" t="s">
        <v>21</v>
      </c>
      <c r="E613" t="s">
        <v>27</v>
      </c>
      <c r="F613">
        <v>10</v>
      </c>
      <c r="G613">
        <v>278</v>
      </c>
      <c r="H613" t="s">
        <v>33</v>
      </c>
      <c r="I613" t="s">
        <v>36</v>
      </c>
      <c r="J613" s="3">
        <v>0</v>
      </c>
      <c r="K613" t="s">
        <v>42</v>
      </c>
      <c r="L613">
        <v>2780</v>
      </c>
      <c r="M613" t="s">
        <v>45</v>
      </c>
      <c r="O613">
        <v>0</v>
      </c>
      <c r="P613" t="s">
        <v>662</v>
      </c>
      <c r="Q613" t="s">
        <v>2138</v>
      </c>
      <c r="R613">
        <v>24.25</v>
      </c>
      <c r="S613" s="5">
        <v>45516</v>
      </c>
      <c r="T613" s="5">
        <v>45526</v>
      </c>
      <c r="U613" t="s">
        <v>2924</v>
      </c>
    </row>
    <row r="614" spans="1:21" x14ac:dyDescent="0.25">
      <c r="A614" s="5">
        <v>45763</v>
      </c>
      <c r="B614" s="7">
        <f>Table1[[#This Row],[TotalPrice]] * (1 - Table1[[#This Row],[Discount]])</f>
        <v>3778.9415999999997</v>
      </c>
      <c r="C614" s="7">
        <f>Table1[[#This Row],[Net Sales]] * 0.2</f>
        <v>755.78832</v>
      </c>
      <c r="D614" t="s">
        <v>23</v>
      </c>
      <c r="E614" t="s">
        <v>28</v>
      </c>
      <c r="F614">
        <v>8</v>
      </c>
      <c r="G614">
        <v>583.16999999999996</v>
      </c>
      <c r="H614" t="s">
        <v>34</v>
      </c>
      <c r="I614" t="s">
        <v>35</v>
      </c>
      <c r="J614" s="3">
        <v>0.1</v>
      </c>
      <c r="K614" t="s">
        <v>39</v>
      </c>
      <c r="L614">
        <v>4198.8239999999996</v>
      </c>
      <c r="M614" t="s">
        <v>45</v>
      </c>
      <c r="N614" t="s">
        <v>50</v>
      </c>
      <c r="O614">
        <v>0</v>
      </c>
      <c r="P614" t="s">
        <v>663</v>
      </c>
      <c r="Q614" t="s">
        <v>2139</v>
      </c>
      <c r="R614">
        <v>49.18</v>
      </c>
      <c r="S614" s="5">
        <v>45763</v>
      </c>
      <c r="T614" s="5">
        <v>45767</v>
      </c>
      <c r="U614" t="s">
        <v>2926</v>
      </c>
    </row>
    <row r="615" spans="1:21" x14ac:dyDescent="0.25">
      <c r="A615" s="5">
        <v>44983</v>
      </c>
      <c r="B615" s="7">
        <f>Table1[[#This Row],[TotalPrice]] * (1 - Table1[[#This Row],[Discount]])</f>
        <v>980.03520000000015</v>
      </c>
      <c r="C615" s="7">
        <f>Table1[[#This Row],[Net Sales]] * 0.2</f>
        <v>196.00704000000005</v>
      </c>
      <c r="D615" t="s">
        <v>22</v>
      </c>
      <c r="E615" t="s">
        <v>26</v>
      </c>
      <c r="F615">
        <v>16</v>
      </c>
      <c r="G615">
        <v>75.62</v>
      </c>
      <c r="H615" t="s">
        <v>34</v>
      </c>
      <c r="I615" t="s">
        <v>36</v>
      </c>
      <c r="J615" s="3">
        <v>0.1</v>
      </c>
      <c r="K615" t="s">
        <v>41</v>
      </c>
      <c r="L615">
        <v>1088.9280000000001</v>
      </c>
      <c r="M615" t="s">
        <v>47</v>
      </c>
      <c r="N615" t="s">
        <v>50</v>
      </c>
      <c r="O615">
        <v>0</v>
      </c>
      <c r="P615" t="s">
        <v>664</v>
      </c>
      <c r="Q615" t="s">
        <v>2140</v>
      </c>
      <c r="R615">
        <v>27.39</v>
      </c>
      <c r="S615" s="5">
        <v>44983</v>
      </c>
      <c r="T615" s="5">
        <v>44987</v>
      </c>
      <c r="U615" t="s">
        <v>2925</v>
      </c>
    </row>
    <row r="616" spans="1:21" x14ac:dyDescent="0.25">
      <c r="A616" s="5">
        <v>44933</v>
      </c>
      <c r="B616" s="7">
        <f>Table1[[#This Row],[TotalPrice]] * (1 - Table1[[#This Row],[Discount]])</f>
        <v>6589.2066499999992</v>
      </c>
      <c r="C616" s="7">
        <f>Table1[[#This Row],[Net Sales]] * 0.2</f>
        <v>1317.84133</v>
      </c>
      <c r="D616" t="s">
        <v>19</v>
      </c>
      <c r="E616" t="s">
        <v>26</v>
      </c>
      <c r="F616">
        <v>13</v>
      </c>
      <c r="G616">
        <v>561.62</v>
      </c>
      <c r="H616" t="s">
        <v>33</v>
      </c>
      <c r="I616" t="s">
        <v>35</v>
      </c>
      <c r="J616" s="3">
        <v>0.05</v>
      </c>
      <c r="K616" t="s">
        <v>39</v>
      </c>
      <c r="L616">
        <v>6936.0069999999996</v>
      </c>
      <c r="M616" t="s">
        <v>44</v>
      </c>
      <c r="N616" t="s">
        <v>48</v>
      </c>
      <c r="O616">
        <v>0</v>
      </c>
      <c r="P616" t="s">
        <v>665</v>
      </c>
      <c r="Q616" t="s">
        <v>2141</v>
      </c>
      <c r="R616">
        <v>12.91</v>
      </c>
      <c r="S616" s="5">
        <v>44933</v>
      </c>
      <c r="T616" s="5">
        <v>44937</v>
      </c>
      <c r="U616" t="s">
        <v>2922</v>
      </c>
    </row>
    <row r="617" spans="1:21" x14ac:dyDescent="0.25">
      <c r="A617" s="5">
        <v>45223</v>
      </c>
      <c r="B617" s="7">
        <f>Table1[[#This Row],[TotalPrice]] * (1 - Table1[[#This Row],[Discount]])</f>
        <v>1798.05</v>
      </c>
      <c r="C617" s="7">
        <f>Table1[[#This Row],[Net Sales]] * 0.2</f>
        <v>359.61</v>
      </c>
      <c r="D617" t="s">
        <v>20</v>
      </c>
      <c r="E617" t="s">
        <v>26</v>
      </c>
      <c r="F617">
        <v>5</v>
      </c>
      <c r="G617">
        <v>359.61</v>
      </c>
      <c r="H617" t="s">
        <v>32</v>
      </c>
      <c r="I617" t="s">
        <v>36</v>
      </c>
      <c r="J617" s="3">
        <v>0</v>
      </c>
      <c r="K617" t="s">
        <v>42</v>
      </c>
      <c r="L617">
        <v>1798.05</v>
      </c>
      <c r="M617" t="s">
        <v>43</v>
      </c>
      <c r="N617" t="s">
        <v>48</v>
      </c>
      <c r="O617">
        <v>0</v>
      </c>
      <c r="P617" t="s">
        <v>666</v>
      </c>
      <c r="Q617" t="s">
        <v>2142</v>
      </c>
      <c r="R617">
        <v>41.31</v>
      </c>
      <c r="S617" s="5">
        <v>45223</v>
      </c>
      <c r="T617" s="5">
        <v>45233</v>
      </c>
      <c r="U617" t="s">
        <v>2923</v>
      </c>
    </row>
    <row r="618" spans="1:21" x14ac:dyDescent="0.25">
      <c r="A618" s="5">
        <v>45293</v>
      </c>
      <c r="B618" s="7">
        <f>Table1[[#This Row],[TotalPrice]] * (1 - Table1[[#This Row],[Discount]])</f>
        <v>1251.5144999999998</v>
      </c>
      <c r="C618" s="7">
        <f>Table1[[#This Row],[Net Sales]] * 0.2</f>
        <v>250.30289999999997</v>
      </c>
      <c r="D618" t="s">
        <v>21</v>
      </c>
      <c r="E618" t="s">
        <v>29</v>
      </c>
      <c r="F618">
        <v>15</v>
      </c>
      <c r="G618">
        <v>115.48</v>
      </c>
      <c r="H618" t="s">
        <v>32</v>
      </c>
      <c r="I618" t="s">
        <v>36</v>
      </c>
      <c r="J618" s="3">
        <v>0.15</v>
      </c>
      <c r="K618" t="s">
        <v>39</v>
      </c>
      <c r="L618">
        <v>1472.37</v>
      </c>
      <c r="M618" t="s">
        <v>45</v>
      </c>
      <c r="O618">
        <v>0</v>
      </c>
      <c r="P618" t="s">
        <v>667</v>
      </c>
      <c r="Q618" t="s">
        <v>2143</v>
      </c>
      <c r="R618">
        <v>6.04</v>
      </c>
      <c r="S618" s="5">
        <v>45293</v>
      </c>
      <c r="T618" s="5">
        <v>45303</v>
      </c>
      <c r="U618" t="s">
        <v>2924</v>
      </c>
    </row>
    <row r="619" spans="1:21" x14ac:dyDescent="0.25">
      <c r="A619" s="5">
        <v>45552</v>
      </c>
      <c r="B619" s="7">
        <f>Table1[[#This Row],[TotalPrice]] * (1 - Table1[[#This Row],[Discount]])</f>
        <v>5169.5742</v>
      </c>
      <c r="C619" s="7">
        <f>Table1[[#This Row],[Net Sales]] * 0.2</f>
        <v>1033.9148400000001</v>
      </c>
      <c r="D619" t="s">
        <v>20</v>
      </c>
      <c r="E619" t="s">
        <v>24</v>
      </c>
      <c r="F619">
        <v>12</v>
      </c>
      <c r="G619">
        <v>596.26</v>
      </c>
      <c r="H619" t="s">
        <v>34</v>
      </c>
      <c r="I619" t="s">
        <v>35</v>
      </c>
      <c r="J619" s="3">
        <v>0.15</v>
      </c>
      <c r="K619" t="s">
        <v>37</v>
      </c>
      <c r="L619">
        <v>6081.8519999999999</v>
      </c>
      <c r="M619" t="s">
        <v>44</v>
      </c>
      <c r="N619" t="s">
        <v>50</v>
      </c>
      <c r="O619">
        <v>0</v>
      </c>
      <c r="P619" t="s">
        <v>668</v>
      </c>
      <c r="Q619" t="s">
        <v>2144</v>
      </c>
      <c r="R619">
        <v>28.27</v>
      </c>
      <c r="S619" s="5">
        <v>45552</v>
      </c>
      <c r="T619" s="5">
        <v>45560</v>
      </c>
      <c r="U619" t="s">
        <v>2923</v>
      </c>
    </row>
    <row r="620" spans="1:21" x14ac:dyDescent="0.25">
      <c r="A620" s="5">
        <v>45417</v>
      </c>
      <c r="B620" s="7">
        <f>Table1[[#This Row],[TotalPrice]] * (1 - Table1[[#This Row],[Discount]])</f>
        <v>6887.8077999999996</v>
      </c>
      <c r="C620" s="7">
        <f>Table1[[#This Row],[Net Sales]] * 0.2</f>
        <v>1377.5615600000001</v>
      </c>
      <c r="D620" t="s">
        <v>22</v>
      </c>
      <c r="E620" t="s">
        <v>29</v>
      </c>
      <c r="F620">
        <v>19</v>
      </c>
      <c r="G620">
        <v>401.68</v>
      </c>
      <c r="H620" t="s">
        <v>33</v>
      </c>
      <c r="I620" t="s">
        <v>35</v>
      </c>
      <c r="J620" s="3">
        <v>0.05</v>
      </c>
      <c r="K620" t="s">
        <v>38</v>
      </c>
      <c r="L620">
        <v>7250.3239999999996</v>
      </c>
      <c r="M620" t="s">
        <v>46</v>
      </c>
      <c r="N620" t="s">
        <v>50</v>
      </c>
      <c r="O620">
        <v>1</v>
      </c>
      <c r="P620" t="s">
        <v>669</v>
      </c>
      <c r="Q620" t="s">
        <v>2145</v>
      </c>
      <c r="R620">
        <v>37.770000000000003</v>
      </c>
      <c r="S620" s="5">
        <v>45417</v>
      </c>
      <c r="T620" s="5">
        <v>45423</v>
      </c>
      <c r="U620" t="s">
        <v>2925</v>
      </c>
    </row>
    <row r="621" spans="1:21" x14ac:dyDescent="0.25">
      <c r="A621" s="5">
        <v>45835</v>
      </c>
      <c r="B621" s="7">
        <f>Table1[[#This Row],[TotalPrice]] * (1 - Table1[[#This Row],[Discount]])</f>
        <v>1467.44</v>
      </c>
      <c r="C621" s="7">
        <f>Table1[[#This Row],[Net Sales]] * 0.2</f>
        <v>293.488</v>
      </c>
      <c r="D621" t="s">
        <v>23</v>
      </c>
      <c r="E621" t="s">
        <v>26</v>
      </c>
      <c r="F621">
        <v>13</v>
      </c>
      <c r="G621">
        <v>112.88</v>
      </c>
      <c r="H621" t="s">
        <v>34</v>
      </c>
      <c r="I621" t="s">
        <v>36</v>
      </c>
      <c r="J621" s="3">
        <v>0</v>
      </c>
      <c r="K621" t="s">
        <v>39</v>
      </c>
      <c r="L621">
        <v>1467.44</v>
      </c>
      <c r="M621" t="s">
        <v>46</v>
      </c>
      <c r="O621">
        <v>0</v>
      </c>
      <c r="P621" t="s">
        <v>670</v>
      </c>
      <c r="Q621" t="s">
        <v>2146</v>
      </c>
      <c r="R621">
        <v>12.39</v>
      </c>
      <c r="S621" s="5">
        <v>45835</v>
      </c>
      <c r="T621" s="5">
        <v>45837</v>
      </c>
      <c r="U621" t="s">
        <v>2926</v>
      </c>
    </row>
    <row r="622" spans="1:21" x14ac:dyDescent="0.25">
      <c r="A622" s="5">
        <v>45426</v>
      </c>
      <c r="B622" s="7">
        <f>Table1[[#This Row],[TotalPrice]] * (1 - Table1[[#This Row],[Discount]])</f>
        <v>1604.2967999999998</v>
      </c>
      <c r="C622" s="7">
        <f>Table1[[#This Row],[Net Sales]] * 0.2</f>
        <v>320.85935999999998</v>
      </c>
      <c r="D622" t="s">
        <v>23</v>
      </c>
      <c r="E622" t="s">
        <v>25</v>
      </c>
      <c r="F622">
        <v>6</v>
      </c>
      <c r="G622">
        <v>370.08</v>
      </c>
      <c r="H622" t="s">
        <v>34</v>
      </c>
      <c r="I622" t="s">
        <v>36</v>
      </c>
      <c r="J622" s="3">
        <v>0.15</v>
      </c>
      <c r="K622" t="s">
        <v>38</v>
      </c>
      <c r="L622">
        <v>1887.4079999999999</v>
      </c>
      <c r="M622" t="s">
        <v>43</v>
      </c>
      <c r="N622" t="s">
        <v>49</v>
      </c>
      <c r="O622">
        <v>0</v>
      </c>
      <c r="P622" t="s">
        <v>671</v>
      </c>
      <c r="Q622" t="s">
        <v>2147</v>
      </c>
      <c r="R622">
        <v>7.39</v>
      </c>
      <c r="S622" s="5">
        <v>45426</v>
      </c>
      <c r="T622" s="5">
        <v>45434</v>
      </c>
      <c r="U622" t="s">
        <v>2926</v>
      </c>
    </row>
    <row r="623" spans="1:21" x14ac:dyDescent="0.25">
      <c r="A623" s="5">
        <v>45351</v>
      </c>
      <c r="B623" s="7">
        <f>Table1[[#This Row],[TotalPrice]] * (1 - Table1[[#This Row],[Discount]])</f>
        <v>1298.9827499999999</v>
      </c>
      <c r="C623" s="7">
        <f>Table1[[#This Row],[Net Sales]] * 0.2</f>
        <v>259.79654999999997</v>
      </c>
      <c r="D623" t="s">
        <v>21</v>
      </c>
      <c r="E623" t="s">
        <v>27</v>
      </c>
      <c r="F623">
        <v>15</v>
      </c>
      <c r="G623">
        <v>119.86</v>
      </c>
      <c r="H623" t="s">
        <v>32</v>
      </c>
      <c r="I623" t="s">
        <v>35</v>
      </c>
      <c r="J623" s="3">
        <v>0.15</v>
      </c>
      <c r="K623" t="s">
        <v>42</v>
      </c>
      <c r="L623">
        <v>1528.2149999999999</v>
      </c>
      <c r="M623" t="s">
        <v>46</v>
      </c>
      <c r="O623">
        <v>1</v>
      </c>
      <c r="P623" t="s">
        <v>672</v>
      </c>
      <c r="Q623" t="s">
        <v>2148</v>
      </c>
      <c r="R623">
        <v>30.78</v>
      </c>
      <c r="S623" s="5">
        <v>45351</v>
      </c>
      <c r="T623" s="5">
        <v>45356</v>
      </c>
      <c r="U623" t="s">
        <v>2924</v>
      </c>
    </row>
    <row r="624" spans="1:21" x14ac:dyDescent="0.25">
      <c r="A624" s="5">
        <v>45796</v>
      </c>
      <c r="B624" s="7">
        <f>Table1[[#This Row],[TotalPrice]] * (1 - Table1[[#This Row],[Discount]])</f>
        <v>980.57699999999988</v>
      </c>
      <c r="C624" s="7">
        <f>Table1[[#This Row],[Net Sales]] * 0.2</f>
        <v>196.11539999999999</v>
      </c>
      <c r="D624" t="s">
        <v>19</v>
      </c>
      <c r="E624" t="s">
        <v>25</v>
      </c>
      <c r="F624">
        <v>5</v>
      </c>
      <c r="G624">
        <v>271.44</v>
      </c>
      <c r="H624" t="s">
        <v>32</v>
      </c>
      <c r="I624" t="s">
        <v>35</v>
      </c>
      <c r="J624" s="3">
        <v>0.15</v>
      </c>
      <c r="K624" t="s">
        <v>41</v>
      </c>
      <c r="L624">
        <v>1153.6199999999999</v>
      </c>
      <c r="M624" t="s">
        <v>46</v>
      </c>
      <c r="N624" t="s">
        <v>48</v>
      </c>
      <c r="O624">
        <v>0</v>
      </c>
      <c r="P624" t="s">
        <v>673</v>
      </c>
      <c r="Q624" t="s">
        <v>2149</v>
      </c>
      <c r="R624">
        <v>5.98</v>
      </c>
      <c r="S624" s="5">
        <v>45796</v>
      </c>
      <c r="T624" s="5">
        <v>45804</v>
      </c>
      <c r="U624" t="s">
        <v>2922</v>
      </c>
    </row>
    <row r="625" spans="1:21" x14ac:dyDescent="0.25">
      <c r="A625" s="5">
        <v>45628</v>
      </c>
      <c r="B625" s="7">
        <f>Table1[[#This Row],[TotalPrice]] * (1 - Table1[[#This Row],[Discount]])</f>
        <v>2951.6352750000001</v>
      </c>
      <c r="C625" s="7">
        <f>Table1[[#This Row],[Net Sales]] * 0.2</f>
        <v>590.32705500000009</v>
      </c>
      <c r="D625" t="s">
        <v>19</v>
      </c>
      <c r="E625" t="s">
        <v>26</v>
      </c>
      <c r="F625">
        <v>9</v>
      </c>
      <c r="G625">
        <v>363.39</v>
      </c>
      <c r="H625" t="s">
        <v>31</v>
      </c>
      <c r="I625" t="s">
        <v>35</v>
      </c>
      <c r="J625" s="3">
        <v>0.05</v>
      </c>
      <c r="K625" t="s">
        <v>41</v>
      </c>
      <c r="L625">
        <v>3106.9845</v>
      </c>
      <c r="M625" t="s">
        <v>44</v>
      </c>
      <c r="O625">
        <v>0</v>
      </c>
      <c r="P625" t="s">
        <v>674</v>
      </c>
      <c r="Q625" t="s">
        <v>1652</v>
      </c>
      <c r="R625">
        <v>41.64</v>
      </c>
      <c r="S625" s="5">
        <v>45628</v>
      </c>
      <c r="T625" s="5">
        <v>45630</v>
      </c>
      <c r="U625" t="s">
        <v>2922</v>
      </c>
    </row>
    <row r="626" spans="1:21" x14ac:dyDescent="0.25">
      <c r="A626" s="5">
        <v>45503</v>
      </c>
      <c r="B626" s="7">
        <f>Table1[[#This Row],[TotalPrice]] * (1 - Table1[[#This Row],[Discount]])</f>
        <v>4627.7858999999999</v>
      </c>
      <c r="C626" s="7">
        <f>Table1[[#This Row],[Net Sales]] * 0.2</f>
        <v>925.55718000000002</v>
      </c>
      <c r="D626" t="s">
        <v>23</v>
      </c>
      <c r="E626" t="s">
        <v>30</v>
      </c>
      <c r="F626">
        <v>12</v>
      </c>
      <c r="G626">
        <v>533.77</v>
      </c>
      <c r="H626" t="s">
        <v>34</v>
      </c>
      <c r="I626" t="s">
        <v>35</v>
      </c>
      <c r="J626" s="3">
        <v>0.15</v>
      </c>
      <c r="K626" t="s">
        <v>38</v>
      </c>
      <c r="L626">
        <v>5444.4539999999997</v>
      </c>
      <c r="M626" t="s">
        <v>47</v>
      </c>
      <c r="N626" t="s">
        <v>49</v>
      </c>
      <c r="O626">
        <v>0</v>
      </c>
      <c r="P626" t="s">
        <v>675</v>
      </c>
      <c r="Q626" t="s">
        <v>2150</v>
      </c>
      <c r="R626">
        <v>48.71</v>
      </c>
      <c r="S626" s="5">
        <v>45503</v>
      </c>
      <c r="T626" s="5">
        <v>45508</v>
      </c>
      <c r="U626" t="s">
        <v>2926</v>
      </c>
    </row>
    <row r="627" spans="1:21" x14ac:dyDescent="0.25">
      <c r="A627" s="5">
        <v>45102</v>
      </c>
      <c r="B627" s="7">
        <f>Table1[[#This Row],[TotalPrice]] * (1 - Table1[[#This Row],[Discount]])</f>
        <v>1866.5316</v>
      </c>
      <c r="C627" s="7">
        <f>Table1[[#This Row],[Net Sales]] * 0.2</f>
        <v>373.30632000000003</v>
      </c>
      <c r="D627" t="s">
        <v>20</v>
      </c>
      <c r="E627" t="s">
        <v>26</v>
      </c>
      <c r="F627">
        <v>12</v>
      </c>
      <c r="G627">
        <v>192.03</v>
      </c>
      <c r="H627" t="s">
        <v>31</v>
      </c>
      <c r="I627" t="s">
        <v>35</v>
      </c>
      <c r="J627" s="3">
        <v>0.1</v>
      </c>
      <c r="K627" t="s">
        <v>40</v>
      </c>
      <c r="L627">
        <v>2073.924</v>
      </c>
      <c r="M627" t="s">
        <v>45</v>
      </c>
      <c r="O627">
        <v>0</v>
      </c>
      <c r="P627" t="s">
        <v>676</v>
      </c>
      <c r="Q627" t="s">
        <v>2151</v>
      </c>
      <c r="R627">
        <v>41.08</v>
      </c>
      <c r="S627" s="5">
        <v>45102</v>
      </c>
      <c r="T627" s="5">
        <v>45110</v>
      </c>
      <c r="U627" t="s">
        <v>2923</v>
      </c>
    </row>
    <row r="628" spans="1:21" x14ac:dyDescent="0.25">
      <c r="A628" s="5">
        <v>45483</v>
      </c>
      <c r="B628" s="7">
        <f>Table1[[#This Row],[TotalPrice]] * (1 - Table1[[#This Row],[Discount]])</f>
        <v>10084.4</v>
      </c>
      <c r="C628" s="7">
        <f>Table1[[#This Row],[Net Sales]] * 0.2</f>
        <v>2016.88</v>
      </c>
      <c r="D628" t="s">
        <v>20</v>
      </c>
      <c r="E628" t="s">
        <v>27</v>
      </c>
      <c r="F628">
        <v>20</v>
      </c>
      <c r="G628">
        <v>504.22</v>
      </c>
      <c r="H628" t="s">
        <v>34</v>
      </c>
      <c r="I628" t="s">
        <v>35</v>
      </c>
      <c r="J628" s="3">
        <v>0</v>
      </c>
      <c r="K628" t="s">
        <v>39</v>
      </c>
      <c r="L628">
        <v>10084.4</v>
      </c>
      <c r="M628" t="s">
        <v>43</v>
      </c>
      <c r="N628" t="s">
        <v>50</v>
      </c>
      <c r="O628">
        <v>0</v>
      </c>
      <c r="P628" t="s">
        <v>677</v>
      </c>
      <c r="Q628" t="s">
        <v>2152</v>
      </c>
      <c r="R628">
        <v>14.61</v>
      </c>
      <c r="S628" s="5">
        <v>45483</v>
      </c>
      <c r="T628" s="5">
        <v>45492</v>
      </c>
      <c r="U628" t="s">
        <v>2923</v>
      </c>
    </row>
    <row r="629" spans="1:21" x14ac:dyDescent="0.25">
      <c r="A629" s="5">
        <v>44932</v>
      </c>
      <c r="B629" s="7">
        <f>Table1[[#This Row],[TotalPrice]] * (1 - Table1[[#This Row],[Discount]])</f>
        <v>1098.0522000000001</v>
      </c>
      <c r="C629" s="7">
        <f>Table1[[#This Row],[Net Sales]] * 0.2</f>
        <v>219.61044000000004</v>
      </c>
      <c r="D629" t="s">
        <v>19</v>
      </c>
      <c r="E629" t="s">
        <v>24</v>
      </c>
      <c r="F629">
        <v>7</v>
      </c>
      <c r="G629">
        <v>193.66</v>
      </c>
      <c r="H629" t="s">
        <v>32</v>
      </c>
      <c r="I629" t="s">
        <v>35</v>
      </c>
      <c r="J629" s="3">
        <v>0.1</v>
      </c>
      <c r="K629" t="s">
        <v>41</v>
      </c>
      <c r="L629">
        <v>1220.058</v>
      </c>
      <c r="M629" t="s">
        <v>45</v>
      </c>
      <c r="N629" t="s">
        <v>48</v>
      </c>
      <c r="O629">
        <v>0</v>
      </c>
      <c r="P629" t="s">
        <v>678</v>
      </c>
      <c r="Q629" t="s">
        <v>2153</v>
      </c>
      <c r="R629">
        <v>39.01</v>
      </c>
      <c r="S629" s="5">
        <v>44932</v>
      </c>
      <c r="T629" s="5">
        <v>44941</v>
      </c>
      <c r="U629" t="s">
        <v>2922</v>
      </c>
    </row>
    <row r="630" spans="1:21" x14ac:dyDescent="0.25">
      <c r="A630" s="5">
        <v>45346</v>
      </c>
      <c r="B630" s="7">
        <f>Table1[[#This Row],[TotalPrice]] * (1 - Table1[[#This Row],[Discount]])</f>
        <v>658.11689999999999</v>
      </c>
      <c r="C630" s="7">
        <f>Table1[[#This Row],[Net Sales]] * 0.2</f>
        <v>131.62338</v>
      </c>
      <c r="D630" t="s">
        <v>20</v>
      </c>
      <c r="E630" t="s">
        <v>27</v>
      </c>
      <c r="F630">
        <v>3</v>
      </c>
      <c r="G630">
        <v>270.83</v>
      </c>
      <c r="H630" t="s">
        <v>31</v>
      </c>
      <c r="I630" t="s">
        <v>35</v>
      </c>
      <c r="J630" s="3">
        <v>0.1</v>
      </c>
      <c r="K630" t="s">
        <v>40</v>
      </c>
      <c r="L630">
        <v>731.24099999999999</v>
      </c>
      <c r="M630" t="s">
        <v>43</v>
      </c>
      <c r="N630" t="s">
        <v>49</v>
      </c>
      <c r="O630">
        <v>1</v>
      </c>
      <c r="P630" t="s">
        <v>679</v>
      </c>
      <c r="Q630" t="s">
        <v>2154</v>
      </c>
      <c r="R630">
        <v>17.2</v>
      </c>
      <c r="S630" s="5">
        <v>45346</v>
      </c>
      <c r="T630" s="5">
        <v>45351</v>
      </c>
      <c r="U630" t="s">
        <v>2923</v>
      </c>
    </row>
    <row r="631" spans="1:21" x14ac:dyDescent="0.25">
      <c r="A631" s="5">
        <v>45271</v>
      </c>
      <c r="B631" s="7">
        <f>Table1[[#This Row],[TotalPrice]] * (1 - Table1[[#This Row],[Discount]])</f>
        <v>1117.44</v>
      </c>
      <c r="C631" s="7">
        <f>Table1[[#This Row],[Net Sales]] * 0.2</f>
        <v>223.48800000000003</v>
      </c>
      <c r="D631" t="s">
        <v>22</v>
      </c>
      <c r="E631" t="s">
        <v>29</v>
      </c>
      <c r="F631">
        <v>18</v>
      </c>
      <c r="G631">
        <v>62.08</v>
      </c>
      <c r="H631" t="s">
        <v>31</v>
      </c>
      <c r="I631" t="s">
        <v>36</v>
      </c>
      <c r="J631" s="3">
        <v>0</v>
      </c>
      <c r="K631" t="s">
        <v>41</v>
      </c>
      <c r="L631">
        <v>1117.44</v>
      </c>
      <c r="M631" t="s">
        <v>45</v>
      </c>
      <c r="N631" t="s">
        <v>49</v>
      </c>
      <c r="O631">
        <v>1</v>
      </c>
      <c r="P631" t="s">
        <v>680</v>
      </c>
      <c r="Q631" t="s">
        <v>2155</v>
      </c>
      <c r="R631">
        <v>8.67</v>
      </c>
      <c r="S631" s="5">
        <v>45271</v>
      </c>
      <c r="T631" s="5">
        <v>45280</v>
      </c>
      <c r="U631" t="s">
        <v>2925</v>
      </c>
    </row>
    <row r="632" spans="1:21" x14ac:dyDescent="0.25">
      <c r="A632" s="5">
        <v>45707</v>
      </c>
      <c r="B632" s="7">
        <f>Table1[[#This Row],[TotalPrice]] * (1 - Table1[[#This Row],[Discount]])</f>
        <v>4021.1170999999995</v>
      </c>
      <c r="C632" s="7">
        <f>Table1[[#This Row],[Net Sales]] * 0.2</f>
        <v>804.22341999999992</v>
      </c>
      <c r="D632" t="s">
        <v>20</v>
      </c>
      <c r="E632" t="s">
        <v>30</v>
      </c>
      <c r="F632">
        <v>11</v>
      </c>
      <c r="G632">
        <v>505.96</v>
      </c>
      <c r="H632" t="s">
        <v>33</v>
      </c>
      <c r="I632" t="s">
        <v>35</v>
      </c>
      <c r="J632" s="3">
        <v>0.15</v>
      </c>
      <c r="K632" t="s">
        <v>37</v>
      </c>
      <c r="L632">
        <v>4730.7259999999997</v>
      </c>
      <c r="M632" t="s">
        <v>46</v>
      </c>
      <c r="N632" t="s">
        <v>48</v>
      </c>
      <c r="O632">
        <v>1</v>
      </c>
      <c r="P632" t="s">
        <v>681</v>
      </c>
      <c r="Q632" t="s">
        <v>2156</v>
      </c>
      <c r="R632">
        <v>22.84</v>
      </c>
      <c r="S632" s="5">
        <v>45707</v>
      </c>
      <c r="T632" s="5">
        <v>45711</v>
      </c>
      <c r="U632" t="s">
        <v>2923</v>
      </c>
    </row>
    <row r="633" spans="1:21" x14ac:dyDescent="0.25">
      <c r="A633" s="5">
        <v>45734</v>
      </c>
      <c r="B633" s="7">
        <f>Table1[[#This Row],[TotalPrice]] * (1 - Table1[[#This Row],[Discount]])</f>
        <v>180.5094</v>
      </c>
      <c r="C633" s="7">
        <f>Table1[[#This Row],[Net Sales]] * 0.2</f>
        <v>36.101880000000001</v>
      </c>
      <c r="D633" t="s">
        <v>23</v>
      </c>
      <c r="E633" t="s">
        <v>29</v>
      </c>
      <c r="F633">
        <v>4</v>
      </c>
      <c r="G633">
        <v>62.46</v>
      </c>
      <c r="H633" t="s">
        <v>34</v>
      </c>
      <c r="I633" t="s">
        <v>35</v>
      </c>
      <c r="J633" s="3">
        <v>0.15</v>
      </c>
      <c r="K633" t="s">
        <v>38</v>
      </c>
      <c r="L633">
        <v>212.364</v>
      </c>
      <c r="M633" t="s">
        <v>46</v>
      </c>
      <c r="N633" t="s">
        <v>50</v>
      </c>
      <c r="O633">
        <v>0</v>
      </c>
      <c r="P633" t="s">
        <v>682</v>
      </c>
      <c r="Q633" t="s">
        <v>2157</v>
      </c>
      <c r="R633">
        <v>31.91</v>
      </c>
      <c r="S633" s="5">
        <v>45734</v>
      </c>
      <c r="T633" s="5">
        <v>45742</v>
      </c>
      <c r="U633" t="s">
        <v>2926</v>
      </c>
    </row>
    <row r="634" spans="1:21" x14ac:dyDescent="0.25">
      <c r="A634" s="5">
        <v>45191</v>
      </c>
      <c r="B634" s="7">
        <f>Table1[[#This Row],[TotalPrice]] * (1 - Table1[[#This Row],[Discount]])</f>
        <v>2722.0536000000002</v>
      </c>
      <c r="C634" s="7">
        <f>Table1[[#This Row],[Net Sales]] * 0.2</f>
        <v>544.41072000000008</v>
      </c>
      <c r="D634" t="s">
        <v>20</v>
      </c>
      <c r="E634" t="s">
        <v>25</v>
      </c>
      <c r="F634">
        <v>7</v>
      </c>
      <c r="G634">
        <v>480.08</v>
      </c>
      <c r="H634" t="s">
        <v>31</v>
      </c>
      <c r="I634" t="s">
        <v>35</v>
      </c>
      <c r="J634" s="3">
        <v>0.1</v>
      </c>
      <c r="K634" t="s">
        <v>41</v>
      </c>
      <c r="L634">
        <v>3024.5039999999999</v>
      </c>
      <c r="M634" t="s">
        <v>43</v>
      </c>
      <c r="O634">
        <v>1</v>
      </c>
      <c r="P634" t="s">
        <v>683</v>
      </c>
      <c r="Q634" t="s">
        <v>2158</v>
      </c>
      <c r="R634">
        <v>44.37</v>
      </c>
      <c r="S634" s="5">
        <v>45191</v>
      </c>
      <c r="T634" s="5">
        <v>45196</v>
      </c>
      <c r="U634" t="s">
        <v>2923</v>
      </c>
    </row>
    <row r="635" spans="1:21" x14ac:dyDescent="0.25">
      <c r="A635" s="5">
        <v>45283</v>
      </c>
      <c r="B635" s="7">
        <f>Table1[[#This Row],[TotalPrice]] * (1 - Table1[[#This Row],[Discount]])</f>
        <v>1091.8800000000001</v>
      </c>
      <c r="C635" s="7">
        <f>Table1[[#This Row],[Net Sales]] * 0.2</f>
        <v>218.37600000000003</v>
      </c>
      <c r="D635" t="s">
        <v>23</v>
      </c>
      <c r="E635" t="s">
        <v>29</v>
      </c>
      <c r="F635">
        <v>18</v>
      </c>
      <c r="G635">
        <v>60.66</v>
      </c>
      <c r="H635" t="s">
        <v>32</v>
      </c>
      <c r="I635" t="s">
        <v>36</v>
      </c>
      <c r="J635" s="3">
        <v>0</v>
      </c>
      <c r="K635" t="s">
        <v>42</v>
      </c>
      <c r="L635">
        <v>1091.8800000000001</v>
      </c>
      <c r="M635" t="s">
        <v>43</v>
      </c>
      <c r="N635" t="s">
        <v>48</v>
      </c>
      <c r="O635">
        <v>1</v>
      </c>
      <c r="P635" t="s">
        <v>684</v>
      </c>
      <c r="Q635" t="s">
        <v>2159</v>
      </c>
      <c r="R635">
        <v>10.08</v>
      </c>
      <c r="S635" s="5">
        <v>45283</v>
      </c>
      <c r="T635" s="5">
        <v>45288</v>
      </c>
      <c r="U635" t="s">
        <v>2926</v>
      </c>
    </row>
    <row r="636" spans="1:21" x14ac:dyDescent="0.25">
      <c r="A636" s="5">
        <v>45781</v>
      </c>
      <c r="B636" s="7">
        <f>Table1[[#This Row],[TotalPrice]] * (1 - Table1[[#This Row],[Discount]])</f>
        <v>1348.8223500000001</v>
      </c>
      <c r="C636" s="7">
        <f>Table1[[#This Row],[Net Sales]] * 0.2</f>
        <v>269.76447000000002</v>
      </c>
      <c r="D636" t="s">
        <v>21</v>
      </c>
      <c r="E636" t="s">
        <v>26</v>
      </c>
      <c r="F636">
        <v>6</v>
      </c>
      <c r="G636">
        <v>249.09</v>
      </c>
      <c r="H636" t="s">
        <v>31</v>
      </c>
      <c r="I636" t="s">
        <v>36</v>
      </c>
      <c r="J636" s="3">
        <v>0.05</v>
      </c>
      <c r="K636" t="s">
        <v>39</v>
      </c>
      <c r="L636">
        <v>1419.8130000000001</v>
      </c>
      <c r="M636" t="s">
        <v>47</v>
      </c>
      <c r="O636">
        <v>0</v>
      </c>
      <c r="P636" t="s">
        <v>685</v>
      </c>
      <c r="Q636" t="s">
        <v>2160</v>
      </c>
      <c r="R636">
        <v>20.38</v>
      </c>
      <c r="S636" s="5">
        <v>45781</v>
      </c>
      <c r="T636" s="5">
        <v>45787</v>
      </c>
      <c r="U636" t="s">
        <v>2924</v>
      </c>
    </row>
    <row r="637" spans="1:21" x14ac:dyDescent="0.25">
      <c r="A637" s="5">
        <v>45668</v>
      </c>
      <c r="B637" s="7">
        <f>Table1[[#This Row],[TotalPrice]] * (1 - Table1[[#This Row],[Discount]])</f>
        <v>6480.81</v>
      </c>
      <c r="C637" s="7">
        <f>Table1[[#This Row],[Net Sales]] * 0.2</f>
        <v>1296.1620000000003</v>
      </c>
      <c r="D637" t="s">
        <v>19</v>
      </c>
      <c r="E637" t="s">
        <v>25</v>
      </c>
      <c r="F637">
        <v>20</v>
      </c>
      <c r="G637">
        <v>400.05</v>
      </c>
      <c r="H637" t="s">
        <v>34</v>
      </c>
      <c r="I637" t="s">
        <v>35</v>
      </c>
      <c r="J637" s="3">
        <v>0.1</v>
      </c>
      <c r="K637" t="s">
        <v>41</v>
      </c>
      <c r="L637">
        <v>7200.9000000000005</v>
      </c>
      <c r="M637" t="s">
        <v>46</v>
      </c>
      <c r="N637" t="s">
        <v>50</v>
      </c>
      <c r="O637">
        <v>0</v>
      </c>
      <c r="P637" t="s">
        <v>686</v>
      </c>
      <c r="Q637" t="s">
        <v>2161</v>
      </c>
      <c r="R637">
        <v>24.41</v>
      </c>
      <c r="S637" s="5">
        <v>45668</v>
      </c>
      <c r="T637" s="5">
        <v>45670</v>
      </c>
      <c r="U637" t="s">
        <v>2922</v>
      </c>
    </row>
    <row r="638" spans="1:21" x14ac:dyDescent="0.25">
      <c r="A638" s="5">
        <v>45768</v>
      </c>
      <c r="B638" s="7">
        <f>Table1[[#This Row],[TotalPrice]] * (1 - Table1[[#This Row],[Discount]])</f>
        <v>118.11017499999998</v>
      </c>
      <c r="C638" s="7">
        <f>Table1[[#This Row],[Net Sales]] * 0.2</f>
        <v>23.622034999999997</v>
      </c>
      <c r="D638" t="s">
        <v>20</v>
      </c>
      <c r="E638" t="s">
        <v>30</v>
      </c>
      <c r="F638">
        <v>1</v>
      </c>
      <c r="G638">
        <v>130.87</v>
      </c>
      <c r="H638" t="s">
        <v>31</v>
      </c>
      <c r="I638" t="s">
        <v>36</v>
      </c>
      <c r="J638" s="3">
        <v>0.05</v>
      </c>
      <c r="K638" t="s">
        <v>41</v>
      </c>
      <c r="L638">
        <v>124.3265</v>
      </c>
      <c r="M638" t="s">
        <v>43</v>
      </c>
      <c r="N638" t="s">
        <v>50</v>
      </c>
      <c r="O638">
        <v>0</v>
      </c>
      <c r="P638" t="s">
        <v>687</v>
      </c>
      <c r="Q638" t="s">
        <v>2162</v>
      </c>
      <c r="R638">
        <v>43.21</v>
      </c>
      <c r="S638" s="5">
        <v>45768</v>
      </c>
      <c r="T638" s="5">
        <v>45771</v>
      </c>
      <c r="U638" t="s">
        <v>2923</v>
      </c>
    </row>
    <row r="639" spans="1:21" x14ac:dyDescent="0.25">
      <c r="A639" s="5">
        <v>45273</v>
      </c>
      <c r="B639" s="7">
        <f>Table1[[#This Row],[TotalPrice]] * (1 - Table1[[#This Row],[Discount]])</f>
        <v>1057.6532999999999</v>
      </c>
      <c r="C639" s="7">
        <f>Table1[[#This Row],[Net Sales]] * 0.2</f>
        <v>211.53066000000001</v>
      </c>
      <c r="D639" t="s">
        <v>22</v>
      </c>
      <c r="E639" t="s">
        <v>29</v>
      </c>
      <c r="F639">
        <v>11</v>
      </c>
      <c r="G639">
        <v>133.08000000000001</v>
      </c>
      <c r="H639" t="s">
        <v>32</v>
      </c>
      <c r="I639" t="s">
        <v>35</v>
      </c>
      <c r="J639" s="3">
        <v>0.15</v>
      </c>
      <c r="K639" t="s">
        <v>39</v>
      </c>
      <c r="L639">
        <v>1244.298</v>
      </c>
      <c r="M639" t="s">
        <v>45</v>
      </c>
      <c r="N639" t="s">
        <v>50</v>
      </c>
      <c r="O639">
        <v>0</v>
      </c>
      <c r="P639" t="s">
        <v>688</v>
      </c>
      <c r="Q639" t="s">
        <v>2163</v>
      </c>
      <c r="R639">
        <v>44.61</v>
      </c>
      <c r="S639" s="5">
        <v>45273</v>
      </c>
      <c r="T639" s="5">
        <v>45282</v>
      </c>
      <c r="U639" t="s">
        <v>2925</v>
      </c>
    </row>
    <row r="640" spans="1:21" x14ac:dyDescent="0.25">
      <c r="A640" s="5">
        <v>45329</v>
      </c>
      <c r="B640" s="7">
        <f>Table1[[#This Row],[TotalPrice]] * (1 - Table1[[#This Row],[Discount]])</f>
        <v>4724.6003999999994</v>
      </c>
      <c r="C640" s="7">
        <f>Table1[[#This Row],[Net Sales]] * 0.2</f>
        <v>944.92007999999987</v>
      </c>
      <c r="D640" t="s">
        <v>19</v>
      </c>
      <c r="E640" t="s">
        <v>27</v>
      </c>
      <c r="F640">
        <v>13</v>
      </c>
      <c r="G640">
        <v>448.68</v>
      </c>
      <c r="H640" t="s">
        <v>31</v>
      </c>
      <c r="I640" t="s">
        <v>35</v>
      </c>
      <c r="J640" s="3">
        <v>0.1</v>
      </c>
      <c r="K640" t="s">
        <v>41</v>
      </c>
      <c r="L640">
        <v>5249.5559999999996</v>
      </c>
      <c r="M640" t="s">
        <v>45</v>
      </c>
      <c r="N640" t="s">
        <v>48</v>
      </c>
      <c r="O640">
        <v>1</v>
      </c>
      <c r="P640" t="s">
        <v>689</v>
      </c>
      <c r="Q640" t="s">
        <v>2164</v>
      </c>
      <c r="R640">
        <v>16.82</v>
      </c>
      <c r="S640" s="5">
        <v>45329</v>
      </c>
      <c r="T640" s="5">
        <v>45333</v>
      </c>
      <c r="U640" t="s">
        <v>2922</v>
      </c>
    </row>
    <row r="641" spans="1:21" x14ac:dyDescent="0.25">
      <c r="A641" s="5">
        <v>45406</v>
      </c>
      <c r="B641" s="7">
        <f>Table1[[#This Row],[TotalPrice]] * (1 - Table1[[#This Row],[Discount]])</f>
        <v>688.36999999999989</v>
      </c>
      <c r="C641" s="7">
        <f>Table1[[#This Row],[Net Sales]] * 0.2</f>
        <v>137.67399999999998</v>
      </c>
      <c r="D641" t="s">
        <v>21</v>
      </c>
      <c r="E641" t="s">
        <v>29</v>
      </c>
      <c r="F641">
        <v>19</v>
      </c>
      <c r="G641">
        <v>36.229999999999997</v>
      </c>
      <c r="H641" t="s">
        <v>31</v>
      </c>
      <c r="I641" t="s">
        <v>35</v>
      </c>
      <c r="J641" s="3">
        <v>0</v>
      </c>
      <c r="K641" t="s">
        <v>41</v>
      </c>
      <c r="L641">
        <v>688.36999999999989</v>
      </c>
      <c r="M641" t="s">
        <v>46</v>
      </c>
      <c r="N641" t="s">
        <v>50</v>
      </c>
      <c r="O641">
        <v>0</v>
      </c>
      <c r="P641" t="s">
        <v>690</v>
      </c>
      <c r="Q641" t="s">
        <v>2165</v>
      </c>
      <c r="R641">
        <v>33.94</v>
      </c>
      <c r="S641" s="5">
        <v>45406</v>
      </c>
      <c r="T641" s="5">
        <v>45409</v>
      </c>
      <c r="U641" t="s">
        <v>2924</v>
      </c>
    </row>
    <row r="642" spans="1:21" x14ac:dyDescent="0.25">
      <c r="A642" s="5">
        <v>45180</v>
      </c>
      <c r="B642" s="7">
        <f>Table1[[#This Row],[TotalPrice]] * (1 - Table1[[#This Row],[Discount]])</f>
        <v>1592.78</v>
      </c>
      <c r="C642" s="7">
        <f>Table1[[#This Row],[Net Sales]] * 0.2</f>
        <v>318.55600000000004</v>
      </c>
      <c r="D642" t="s">
        <v>23</v>
      </c>
      <c r="E642" t="s">
        <v>27</v>
      </c>
      <c r="F642">
        <v>14</v>
      </c>
      <c r="G642">
        <v>113.77</v>
      </c>
      <c r="H642" t="s">
        <v>33</v>
      </c>
      <c r="I642" t="s">
        <v>36</v>
      </c>
      <c r="J642" s="3">
        <v>0</v>
      </c>
      <c r="K642" t="s">
        <v>37</v>
      </c>
      <c r="L642">
        <v>1592.78</v>
      </c>
      <c r="M642" t="s">
        <v>47</v>
      </c>
      <c r="N642" t="s">
        <v>48</v>
      </c>
      <c r="O642">
        <v>0</v>
      </c>
      <c r="P642" t="s">
        <v>691</v>
      </c>
      <c r="Q642" t="s">
        <v>1882</v>
      </c>
      <c r="R642">
        <v>25.35</v>
      </c>
      <c r="S642" s="5">
        <v>45180</v>
      </c>
      <c r="T642" s="5">
        <v>45185</v>
      </c>
      <c r="U642" t="s">
        <v>2926</v>
      </c>
    </row>
    <row r="643" spans="1:21" x14ac:dyDescent="0.25">
      <c r="A643" s="5">
        <v>45817</v>
      </c>
      <c r="B643" s="7">
        <f>Table1[[#This Row],[TotalPrice]] * (1 - Table1[[#This Row],[Discount]])</f>
        <v>179.2</v>
      </c>
      <c r="C643" s="7">
        <f>Table1[[#This Row],[Net Sales]] * 0.2</f>
        <v>35.839999999999996</v>
      </c>
      <c r="D643" t="s">
        <v>22</v>
      </c>
      <c r="E643" t="s">
        <v>30</v>
      </c>
      <c r="F643">
        <v>2</v>
      </c>
      <c r="G643">
        <v>89.6</v>
      </c>
      <c r="H643" t="s">
        <v>32</v>
      </c>
      <c r="I643" t="s">
        <v>36</v>
      </c>
      <c r="J643" s="3">
        <v>0</v>
      </c>
      <c r="K643" t="s">
        <v>41</v>
      </c>
      <c r="L643">
        <v>179.2</v>
      </c>
      <c r="M643" t="s">
        <v>44</v>
      </c>
      <c r="N643" t="s">
        <v>48</v>
      </c>
      <c r="O643">
        <v>0</v>
      </c>
      <c r="P643" t="s">
        <v>692</v>
      </c>
      <c r="Q643" t="s">
        <v>2166</v>
      </c>
      <c r="R643">
        <v>23.69</v>
      </c>
      <c r="S643" s="5">
        <v>45817</v>
      </c>
      <c r="T643" s="5">
        <v>45820</v>
      </c>
      <c r="U643" t="s">
        <v>2925</v>
      </c>
    </row>
    <row r="644" spans="1:21" x14ac:dyDescent="0.25">
      <c r="A644" s="5">
        <v>45814</v>
      </c>
      <c r="B644" s="7">
        <f>Table1[[#This Row],[TotalPrice]] * (1 - Table1[[#This Row],[Discount]])</f>
        <v>849.48659999999995</v>
      </c>
      <c r="C644" s="7">
        <f>Table1[[#This Row],[Net Sales]] * 0.2</f>
        <v>169.89732000000001</v>
      </c>
      <c r="D644" t="s">
        <v>19</v>
      </c>
      <c r="E644" t="s">
        <v>26</v>
      </c>
      <c r="F644">
        <v>3</v>
      </c>
      <c r="G644">
        <v>391.92</v>
      </c>
      <c r="H644" t="s">
        <v>32</v>
      </c>
      <c r="I644" t="s">
        <v>35</v>
      </c>
      <c r="J644" s="3">
        <v>0.15</v>
      </c>
      <c r="K644" t="s">
        <v>38</v>
      </c>
      <c r="L644">
        <v>999.39599999999996</v>
      </c>
      <c r="M644" t="s">
        <v>46</v>
      </c>
      <c r="N644" t="s">
        <v>49</v>
      </c>
      <c r="O644">
        <v>0</v>
      </c>
      <c r="P644" t="s">
        <v>693</v>
      </c>
      <c r="Q644" t="s">
        <v>2167</v>
      </c>
      <c r="R644">
        <v>9.86</v>
      </c>
      <c r="S644" s="5">
        <v>45814</v>
      </c>
      <c r="T644" s="5">
        <v>45824</v>
      </c>
      <c r="U644" t="s">
        <v>2922</v>
      </c>
    </row>
    <row r="645" spans="1:21" x14ac:dyDescent="0.25">
      <c r="A645" s="5">
        <v>45649</v>
      </c>
      <c r="B645" s="7">
        <f>Table1[[#This Row],[TotalPrice]] * (1 - Table1[[#This Row],[Discount]])</f>
        <v>3393.3330000000001</v>
      </c>
      <c r="C645" s="7">
        <f>Table1[[#This Row],[Net Sales]] * 0.2</f>
        <v>678.66660000000002</v>
      </c>
      <c r="D645" t="s">
        <v>20</v>
      </c>
      <c r="E645" t="s">
        <v>27</v>
      </c>
      <c r="F645">
        <v>10</v>
      </c>
      <c r="G645">
        <v>418.93</v>
      </c>
      <c r="H645" t="s">
        <v>33</v>
      </c>
      <c r="I645" t="s">
        <v>35</v>
      </c>
      <c r="J645" s="3">
        <v>0.1</v>
      </c>
      <c r="K645" t="s">
        <v>42</v>
      </c>
      <c r="L645">
        <v>3770.37</v>
      </c>
      <c r="M645" t="s">
        <v>45</v>
      </c>
      <c r="N645" t="s">
        <v>48</v>
      </c>
      <c r="O645">
        <v>0</v>
      </c>
      <c r="P645" t="s">
        <v>694</v>
      </c>
      <c r="Q645" t="s">
        <v>2168</v>
      </c>
      <c r="R645">
        <v>45.63</v>
      </c>
      <c r="S645" s="5">
        <v>45649</v>
      </c>
      <c r="T645" s="5">
        <v>45654</v>
      </c>
      <c r="U645" t="s">
        <v>2923</v>
      </c>
    </row>
    <row r="646" spans="1:21" x14ac:dyDescent="0.25">
      <c r="A646" s="5">
        <v>45165</v>
      </c>
      <c r="B646" s="7">
        <f>Table1[[#This Row],[TotalPrice]] * (1 - Table1[[#This Row],[Discount]])</f>
        <v>3637.08</v>
      </c>
      <c r="C646" s="7">
        <f>Table1[[#This Row],[Net Sales]] * 0.2</f>
        <v>727.41600000000005</v>
      </c>
      <c r="D646" t="s">
        <v>19</v>
      </c>
      <c r="E646" t="s">
        <v>28</v>
      </c>
      <c r="F646">
        <v>12</v>
      </c>
      <c r="G646">
        <v>303.08999999999997</v>
      </c>
      <c r="H646" t="s">
        <v>31</v>
      </c>
      <c r="I646" t="s">
        <v>35</v>
      </c>
      <c r="J646" s="3">
        <v>0</v>
      </c>
      <c r="K646" t="s">
        <v>38</v>
      </c>
      <c r="L646">
        <v>3637.08</v>
      </c>
      <c r="M646" t="s">
        <v>44</v>
      </c>
      <c r="N646" t="s">
        <v>50</v>
      </c>
      <c r="O646">
        <v>1</v>
      </c>
      <c r="P646" t="s">
        <v>695</v>
      </c>
      <c r="Q646" t="s">
        <v>2169</v>
      </c>
      <c r="R646">
        <v>5.48</v>
      </c>
      <c r="S646" s="5">
        <v>45165</v>
      </c>
      <c r="T646" s="5">
        <v>45172</v>
      </c>
      <c r="U646" t="s">
        <v>2922</v>
      </c>
    </row>
    <row r="647" spans="1:21" x14ac:dyDescent="0.25">
      <c r="A647" s="5">
        <v>44935</v>
      </c>
      <c r="B647" s="7">
        <f>Table1[[#This Row],[TotalPrice]] * (1 - Table1[[#This Row],[Discount]])</f>
        <v>1700.595</v>
      </c>
      <c r="C647" s="7">
        <f>Table1[[#This Row],[Net Sales]] * 0.2</f>
        <v>340.11900000000003</v>
      </c>
      <c r="D647" t="s">
        <v>19</v>
      </c>
      <c r="E647" t="s">
        <v>28</v>
      </c>
      <c r="F647">
        <v>10</v>
      </c>
      <c r="G647">
        <v>209.95</v>
      </c>
      <c r="H647" t="s">
        <v>32</v>
      </c>
      <c r="I647" t="s">
        <v>35</v>
      </c>
      <c r="J647" s="3">
        <v>0.1</v>
      </c>
      <c r="K647" t="s">
        <v>37</v>
      </c>
      <c r="L647">
        <v>1889.55</v>
      </c>
      <c r="M647" t="s">
        <v>47</v>
      </c>
      <c r="N647" t="s">
        <v>50</v>
      </c>
      <c r="O647">
        <v>0</v>
      </c>
      <c r="P647" t="s">
        <v>696</v>
      </c>
      <c r="Q647" t="s">
        <v>2170</v>
      </c>
      <c r="R647">
        <v>10.99</v>
      </c>
      <c r="S647" s="5">
        <v>44935</v>
      </c>
      <c r="T647" s="5">
        <v>44939</v>
      </c>
      <c r="U647" t="s">
        <v>2922</v>
      </c>
    </row>
    <row r="648" spans="1:21" x14ac:dyDescent="0.25">
      <c r="A648" s="5">
        <v>45769</v>
      </c>
      <c r="B648" s="7">
        <f>Table1[[#This Row],[TotalPrice]] * (1 - Table1[[#This Row],[Discount]])</f>
        <v>1837.9223999999999</v>
      </c>
      <c r="C648" s="7">
        <f>Table1[[#This Row],[Net Sales]] * 0.2</f>
        <v>367.58447999999999</v>
      </c>
      <c r="D648" t="s">
        <v>19</v>
      </c>
      <c r="E648" t="s">
        <v>24</v>
      </c>
      <c r="F648">
        <v>8</v>
      </c>
      <c r="G648">
        <v>283.63</v>
      </c>
      <c r="H648" t="s">
        <v>33</v>
      </c>
      <c r="I648" t="s">
        <v>35</v>
      </c>
      <c r="J648" s="3">
        <v>0.1</v>
      </c>
      <c r="K648" t="s">
        <v>38</v>
      </c>
      <c r="L648">
        <v>2042.136</v>
      </c>
      <c r="M648" t="s">
        <v>47</v>
      </c>
      <c r="N648" t="s">
        <v>49</v>
      </c>
      <c r="O648">
        <v>0</v>
      </c>
      <c r="P648" t="s">
        <v>697</v>
      </c>
      <c r="Q648" t="s">
        <v>2171</v>
      </c>
      <c r="R648">
        <v>49.91</v>
      </c>
      <c r="S648" s="5">
        <v>45769</v>
      </c>
      <c r="T648" s="5">
        <v>45772</v>
      </c>
      <c r="U648" t="s">
        <v>2922</v>
      </c>
    </row>
    <row r="649" spans="1:21" x14ac:dyDescent="0.25">
      <c r="A649" s="5">
        <v>45175</v>
      </c>
      <c r="B649" s="7">
        <f>Table1[[#This Row],[TotalPrice]] * (1 - Table1[[#This Row],[Discount]])</f>
        <v>104.10120000000001</v>
      </c>
      <c r="C649" s="7">
        <f>Table1[[#This Row],[Net Sales]] * 0.2</f>
        <v>20.820240000000002</v>
      </c>
      <c r="D649" t="s">
        <v>20</v>
      </c>
      <c r="E649" t="s">
        <v>25</v>
      </c>
      <c r="F649">
        <v>7</v>
      </c>
      <c r="G649">
        <v>18.36</v>
      </c>
      <c r="H649" t="s">
        <v>34</v>
      </c>
      <c r="I649" t="s">
        <v>36</v>
      </c>
      <c r="J649" s="3">
        <v>0.1</v>
      </c>
      <c r="K649" t="s">
        <v>38</v>
      </c>
      <c r="L649">
        <v>115.66800000000001</v>
      </c>
      <c r="M649" t="s">
        <v>43</v>
      </c>
      <c r="O649">
        <v>0</v>
      </c>
      <c r="P649" t="s">
        <v>698</v>
      </c>
      <c r="Q649" t="s">
        <v>2172</v>
      </c>
      <c r="R649">
        <v>48.92</v>
      </c>
      <c r="S649" s="5">
        <v>45175</v>
      </c>
      <c r="T649" s="5">
        <v>45180</v>
      </c>
      <c r="U649" t="s">
        <v>2923</v>
      </c>
    </row>
    <row r="650" spans="1:21" x14ac:dyDescent="0.25">
      <c r="A650" s="5">
        <v>44947</v>
      </c>
      <c r="B650" s="7">
        <f>Table1[[#This Row],[TotalPrice]] * (1 - Table1[[#This Row],[Discount]])</f>
        <v>3465.5201999999999</v>
      </c>
      <c r="C650" s="7">
        <f>Table1[[#This Row],[Net Sales]] * 0.2</f>
        <v>693.10404000000005</v>
      </c>
      <c r="D650" t="s">
        <v>19</v>
      </c>
      <c r="E650" t="s">
        <v>28</v>
      </c>
      <c r="F650">
        <v>9</v>
      </c>
      <c r="G650">
        <v>475.38</v>
      </c>
      <c r="H650" t="s">
        <v>32</v>
      </c>
      <c r="I650" t="s">
        <v>35</v>
      </c>
      <c r="J650" s="3">
        <v>0.1</v>
      </c>
      <c r="K650" t="s">
        <v>40</v>
      </c>
      <c r="L650">
        <v>3850.578</v>
      </c>
      <c r="M650" t="s">
        <v>46</v>
      </c>
      <c r="N650" t="s">
        <v>49</v>
      </c>
      <c r="O650">
        <v>0</v>
      </c>
      <c r="P650" t="s">
        <v>699</v>
      </c>
      <c r="Q650" t="s">
        <v>2173</v>
      </c>
      <c r="R650">
        <v>39.979999999999997</v>
      </c>
      <c r="S650" s="5">
        <v>44947</v>
      </c>
      <c r="T650" s="5">
        <v>44953</v>
      </c>
      <c r="U650" t="s">
        <v>2922</v>
      </c>
    </row>
    <row r="651" spans="1:21" x14ac:dyDescent="0.25">
      <c r="A651" s="5">
        <v>45408</v>
      </c>
      <c r="B651" s="7">
        <f>Table1[[#This Row],[TotalPrice]] * (1 - Table1[[#This Row],[Discount]])</f>
        <v>7103.0399999999991</v>
      </c>
      <c r="C651" s="7">
        <f>Table1[[#This Row],[Net Sales]] * 0.2</f>
        <v>1420.6079999999999</v>
      </c>
      <c r="D651" t="s">
        <v>22</v>
      </c>
      <c r="E651" t="s">
        <v>27</v>
      </c>
      <c r="F651">
        <v>12</v>
      </c>
      <c r="G651">
        <v>591.91999999999996</v>
      </c>
      <c r="H651" t="s">
        <v>34</v>
      </c>
      <c r="I651" t="s">
        <v>36</v>
      </c>
      <c r="J651" s="3">
        <v>0</v>
      </c>
      <c r="K651" t="s">
        <v>37</v>
      </c>
      <c r="L651">
        <v>7103.0399999999991</v>
      </c>
      <c r="M651" t="s">
        <v>46</v>
      </c>
      <c r="N651" t="s">
        <v>49</v>
      </c>
      <c r="O651">
        <v>0</v>
      </c>
      <c r="P651" t="s">
        <v>700</v>
      </c>
      <c r="Q651" t="s">
        <v>2174</v>
      </c>
      <c r="R651">
        <v>25.2</v>
      </c>
      <c r="S651" s="5">
        <v>45408</v>
      </c>
      <c r="T651" s="5">
        <v>45418</v>
      </c>
      <c r="U651" t="s">
        <v>2925</v>
      </c>
    </row>
    <row r="652" spans="1:21" x14ac:dyDescent="0.25">
      <c r="A652" s="5">
        <v>45104</v>
      </c>
      <c r="B652" s="7">
        <f>Table1[[#This Row],[TotalPrice]] * (1 - Table1[[#This Row],[Discount]])</f>
        <v>588.98052500000006</v>
      </c>
      <c r="C652" s="7">
        <f>Table1[[#This Row],[Net Sales]] * 0.2</f>
        <v>117.79610500000001</v>
      </c>
      <c r="D652" t="s">
        <v>21</v>
      </c>
      <c r="E652" t="s">
        <v>25</v>
      </c>
      <c r="F652">
        <v>7</v>
      </c>
      <c r="G652">
        <v>93.23</v>
      </c>
      <c r="H652" t="s">
        <v>31</v>
      </c>
      <c r="I652" t="s">
        <v>36</v>
      </c>
      <c r="J652" s="3">
        <v>0.05</v>
      </c>
      <c r="K652" t="s">
        <v>38</v>
      </c>
      <c r="L652">
        <v>619.97950000000003</v>
      </c>
      <c r="M652" t="s">
        <v>45</v>
      </c>
      <c r="N652" t="s">
        <v>48</v>
      </c>
      <c r="O652">
        <v>1</v>
      </c>
      <c r="P652" t="s">
        <v>701</v>
      </c>
      <c r="Q652" t="s">
        <v>2175</v>
      </c>
      <c r="R652">
        <v>6.47</v>
      </c>
      <c r="S652" s="5">
        <v>45104</v>
      </c>
      <c r="T652" s="5">
        <v>45107</v>
      </c>
      <c r="U652" t="s">
        <v>2924</v>
      </c>
    </row>
    <row r="653" spans="1:21" x14ac:dyDescent="0.25">
      <c r="A653" s="5">
        <v>44927</v>
      </c>
      <c r="B653" s="7">
        <f>Table1[[#This Row],[TotalPrice]] * (1 - Table1[[#This Row],[Discount]])</f>
        <v>4480.6499999999996</v>
      </c>
      <c r="C653" s="7">
        <f>Table1[[#This Row],[Net Sales]] * 0.2</f>
        <v>896.13</v>
      </c>
      <c r="D653" t="s">
        <v>19</v>
      </c>
      <c r="E653" t="s">
        <v>29</v>
      </c>
      <c r="F653">
        <v>15</v>
      </c>
      <c r="G653">
        <v>298.70999999999998</v>
      </c>
      <c r="H653" t="s">
        <v>33</v>
      </c>
      <c r="I653" t="s">
        <v>36</v>
      </c>
      <c r="J653" s="3">
        <v>0</v>
      </c>
      <c r="K653" t="s">
        <v>42</v>
      </c>
      <c r="L653">
        <v>4480.6499999999996</v>
      </c>
      <c r="M653" t="s">
        <v>46</v>
      </c>
      <c r="N653" t="s">
        <v>49</v>
      </c>
      <c r="O653">
        <v>0</v>
      </c>
      <c r="P653" t="s">
        <v>702</v>
      </c>
      <c r="Q653" t="s">
        <v>2176</v>
      </c>
      <c r="R653">
        <v>11.38</v>
      </c>
      <c r="S653" s="5">
        <v>44927</v>
      </c>
      <c r="T653" s="5">
        <v>44934</v>
      </c>
      <c r="U653" t="s">
        <v>2922</v>
      </c>
    </row>
    <row r="654" spans="1:21" x14ac:dyDescent="0.25">
      <c r="A654" s="5">
        <v>45290</v>
      </c>
      <c r="B654" s="7">
        <f>Table1[[#This Row],[TotalPrice]] * (1 - Table1[[#This Row],[Discount]])</f>
        <v>567.55987499999992</v>
      </c>
      <c r="C654" s="7">
        <f>Table1[[#This Row],[Net Sales]] * 0.2</f>
        <v>113.51197499999999</v>
      </c>
      <c r="D654" t="s">
        <v>23</v>
      </c>
      <c r="E654" t="s">
        <v>29</v>
      </c>
      <c r="F654">
        <v>15</v>
      </c>
      <c r="G654">
        <v>52.37</v>
      </c>
      <c r="H654" t="s">
        <v>32</v>
      </c>
      <c r="I654" t="s">
        <v>36</v>
      </c>
      <c r="J654" s="3">
        <v>0.15</v>
      </c>
      <c r="K654" t="s">
        <v>41</v>
      </c>
      <c r="L654">
        <v>667.71749999999997</v>
      </c>
      <c r="M654" t="s">
        <v>43</v>
      </c>
      <c r="N654" t="s">
        <v>49</v>
      </c>
      <c r="O654">
        <v>0</v>
      </c>
      <c r="P654" t="s">
        <v>703</v>
      </c>
      <c r="Q654" t="s">
        <v>2177</v>
      </c>
      <c r="R654">
        <v>8.93</v>
      </c>
      <c r="S654" s="5">
        <v>45290</v>
      </c>
      <c r="T654" s="5">
        <v>45293</v>
      </c>
      <c r="U654" t="s">
        <v>2926</v>
      </c>
    </row>
    <row r="655" spans="1:21" x14ac:dyDescent="0.25">
      <c r="A655" s="5">
        <v>44948</v>
      </c>
      <c r="B655" s="7">
        <f>Table1[[#This Row],[TotalPrice]] * (1 - Table1[[#This Row],[Discount]])</f>
        <v>506.36340000000001</v>
      </c>
      <c r="C655" s="7">
        <f>Table1[[#This Row],[Net Sales]] * 0.2</f>
        <v>101.27268000000001</v>
      </c>
      <c r="D655" t="s">
        <v>22</v>
      </c>
      <c r="E655" t="s">
        <v>25</v>
      </c>
      <c r="F655">
        <v>6</v>
      </c>
      <c r="G655">
        <v>104.19</v>
      </c>
      <c r="H655" t="s">
        <v>33</v>
      </c>
      <c r="I655" t="s">
        <v>36</v>
      </c>
      <c r="J655" s="3">
        <v>0.1</v>
      </c>
      <c r="K655" t="s">
        <v>41</v>
      </c>
      <c r="L655">
        <v>562.62599999999998</v>
      </c>
      <c r="M655" t="s">
        <v>43</v>
      </c>
      <c r="O655">
        <v>0</v>
      </c>
      <c r="P655" t="s">
        <v>704</v>
      </c>
      <c r="Q655" t="s">
        <v>2178</v>
      </c>
      <c r="R655">
        <v>8.6199999999999992</v>
      </c>
      <c r="S655" s="5">
        <v>44948</v>
      </c>
      <c r="T655" s="5">
        <v>44950</v>
      </c>
      <c r="U655" t="s">
        <v>2925</v>
      </c>
    </row>
    <row r="656" spans="1:21" x14ac:dyDescent="0.25">
      <c r="A656" s="5">
        <v>45500</v>
      </c>
      <c r="B656" s="7">
        <f>Table1[[#This Row],[TotalPrice]] * (1 - Table1[[#This Row],[Discount]])</f>
        <v>3560.1097999999988</v>
      </c>
      <c r="C656" s="7">
        <f>Table1[[#This Row],[Net Sales]] * 0.2</f>
        <v>712.02195999999981</v>
      </c>
      <c r="D656" t="s">
        <v>20</v>
      </c>
      <c r="E656" t="s">
        <v>24</v>
      </c>
      <c r="F656">
        <v>8</v>
      </c>
      <c r="G656">
        <v>493.09</v>
      </c>
      <c r="H656" t="s">
        <v>32</v>
      </c>
      <c r="I656" t="s">
        <v>36</v>
      </c>
      <c r="J656" s="3">
        <v>0.05</v>
      </c>
      <c r="K656" t="s">
        <v>41</v>
      </c>
      <c r="L656">
        <v>3747.483999999999</v>
      </c>
      <c r="M656" t="s">
        <v>45</v>
      </c>
      <c r="N656" t="s">
        <v>48</v>
      </c>
      <c r="O656">
        <v>0</v>
      </c>
      <c r="P656" t="s">
        <v>705</v>
      </c>
      <c r="Q656" t="s">
        <v>2179</v>
      </c>
      <c r="R656">
        <v>11.49</v>
      </c>
      <c r="S656" s="5">
        <v>45500</v>
      </c>
      <c r="T656" s="5">
        <v>45509</v>
      </c>
      <c r="U656" t="s">
        <v>2923</v>
      </c>
    </row>
    <row r="657" spans="1:21" x14ac:dyDescent="0.25">
      <c r="A657" s="5">
        <v>45306</v>
      </c>
      <c r="B657" s="7">
        <f>Table1[[#This Row],[TotalPrice]] * (1 - Table1[[#This Row],[Discount]])</f>
        <v>1749.48</v>
      </c>
      <c r="C657" s="7">
        <f>Table1[[#This Row],[Net Sales]] * 0.2</f>
        <v>349.89600000000002</v>
      </c>
      <c r="D657" t="s">
        <v>20</v>
      </c>
      <c r="E657" t="s">
        <v>27</v>
      </c>
      <c r="F657">
        <v>6</v>
      </c>
      <c r="G657">
        <v>291.58</v>
      </c>
      <c r="H657" t="s">
        <v>31</v>
      </c>
      <c r="I657" t="s">
        <v>35</v>
      </c>
      <c r="J657" s="3">
        <v>0</v>
      </c>
      <c r="K657" t="s">
        <v>39</v>
      </c>
      <c r="L657">
        <v>1749.48</v>
      </c>
      <c r="M657" t="s">
        <v>45</v>
      </c>
      <c r="N657" t="s">
        <v>48</v>
      </c>
      <c r="O657">
        <v>0</v>
      </c>
      <c r="P657" t="s">
        <v>706</v>
      </c>
      <c r="Q657" t="s">
        <v>2180</v>
      </c>
      <c r="R657">
        <v>30.25</v>
      </c>
      <c r="S657" s="5">
        <v>45306</v>
      </c>
      <c r="T657" s="5">
        <v>45308</v>
      </c>
      <c r="U657" t="s">
        <v>2923</v>
      </c>
    </row>
    <row r="658" spans="1:21" x14ac:dyDescent="0.25">
      <c r="A658" s="5">
        <v>45295</v>
      </c>
      <c r="B658" s="7">
        <f>Table1[[#This Row],[TotalPrice]] * (1 - Table1[[#This Row],[Discount]])</f>
        <v>103.13</v>
      </c>
      <c r="C658" s="7">
        <f>Table1[[#This Row],[Net Sales]] * 0.2</f>
        <v>20.626000000000001</v>
      </c>
      <c r="D658" t="s">
        <v>23</v>
      </c>
      <c r="E658" t="s">
        <v>29</v>
      </c>
      <c r="F658">
        <v>1</v>
      </c>
      <c r="G658">
        <v>103.13</v>
      </c>
      <c r="H658" t="s">
        <v>31</v>
      </c>
      <c r="I658" t="s">
        <v>35</v>
      </c>
      <c r="J658" s="3">
        <v>0</v>
      </c>
      <c r="K658" t="s">
        <v>42</v>
      </c>
      <c r="L658">
        <v>103.13</v>
      </c>
      <c r="M658" t="s">
        <v>43</v>
      </c>
      <c r="N658" t="s">
        <v>48</v>
      </c>
      <c r="O658">
        <v>0</v>
      </c>
      <c r="P658" t="s">
        <v>707</v>
      </c>
      <c r="Q658" t="s">
        <v>2181</v>
      </c>
      <c r="R658">
        <v>42.38</v>
      </c>
      <c r="S658" s="5">
        <v>45295</v>
      </c>
      <c r="T658" s="5">
        <v>45305</v>
      </c>
      <c r="U658" t="s">
        <v>2926</v>
      </c>
    </row>
    <row r="659" spans="1:21" x14ac:dyDescent="0.25">
      <c r="A659" s="5">
        <v>44966</v>
      </c>
      <c r="B659" s="7">
        <f>Table1[[#This Row],[TotalPrice]] * (1 - Table1[[#This Row],[Discount]])</f>
        <v>489.06474999999995</v>
      </c>
      <c r="C659" s="7">
        <f>Table1[[#This Row],[Net Sales]] * 0.2</f>
        <v>97.812950000000001</v>
      </c>
      <c r="D659" t="s">
        <v>19</v>
      </c>
      <c r="E659" t="s">
        <v>28</v>
      </c>
      <c r="F659">
        <v>1</v>
      </c>
      <c r="G659">
        <v>541.9</v>
      </c>
      <c r="H659" t="s">
        <v>32</v>
      </c>
      <c r="I659" t="s">
        <v>36</v>
      </c>
      <c r="J659" s="3">
        <v>0.05</v>
      </c>
      <c r="K659" t="s">
        <v>37</v>
      </c>
      <c r="L659">
        <v>514.80499999999995</v>
      </c>
      <c r="M659" t="s">
        <v>47</v>
      </c>
      <c r="N659" t="s">
        <v>50</v>
      </c>
      <c r="O659">
        <v>0</v>
      </c>
      <c r="P659" t="s">
        <v>708</v>
      </c>
      <c r="Q659" t="s">
        <v>1904</v>
      </c>
      <c r="R659">
        <v>40.35</v>
      </c>
      <c r="S659" s="5">
        <v>44966</v>
      </c>
      <c r="T659" s="5">
        <v>44976</v>
      </c>
      <c r="U659" t="s">
        <v>2922</v>
      </c>
    </row>
    <row r="660" spans="1:21" x14ac:dyDescent="0.25">
      <c r="A660" s="5">
        <v>45463</v>
      </c>
      <c r="B660" s="7">
        <f>Table1[[#This Row],[TotalPrice]] * (1 - Table1[[#This Row],[Discount]])</f>
        <v>2700.5319</v>
      </c>
      <c r="C660" s="7">
        <f>Table1[[#This Row],[Net Sales]] * 0.2</f>
        <v>540.10638000000006</v>
      </c>
      <c r="D660" t="s">
        <v>21</v>
      </c>
      <c r="E660" t="s">
        <v>25</v>
      </c>
      <c r="F660">
        <v>11</v>
      </c>
      <c r="G660">
        <v>303.08999999999997</v>
      </c>
      <c r="H660" t="s">
        <v>34</v>
      </c>
      <c r="I660" t="s">
        <v>35</v>
      </c>
      <c r="J660" s="3">
        <v>0.1</v>
      </c>
      <c r="K660" t="s">
        <v>41</v>
      </c>
      <c r="L660">
        <v>3000.5909999999999</v>
      </c>
      <c r="M660" t="s">
        <v>43</v>
      </c>
      <c r="N660" t="s">
        <v>49</v>
      </c>
      <c r="O660">
        <v>0</v>
      </c>
      <c r="P660" t="s">
        <v>709</v>
      </c>
      <c r="Q660" t="s">
        <v>2182</v>
      </c>
      <c r="R660">
        <v>21.88</v>
      </c>
      <c r="S660" s="5">
        <v>45463</v>
      </c>
      <c r="T660" s="5">
        <v>45467</v>
      </c>
      <c r="U660" t="s">
        <v>2924</v>
      </c>
    </row>
    <row r="661" spans="1:21" x14ac:dyDescent="0.25">
      <c r="A661" s="5">
        <v>44978</v>
      </c>
      <c r="B661" s="7">
        <f>Table1[[#This Row],[TotalPrice]] * (1 - Table1[[#This Row],[Discount]])</f>
        <v>613.61877500000003</v>
      </c>
      <c r="C661" s="7">
        <f>Table1[[#This Row],[Net Sales]] * 0.2</f>
        <v>122.72375500000001</v>
      </c>
      <c r="D661" t="s">
        <v>22</v>
      </c>
      <c r="E661" t="s">
        <v>26</v>
      </c>
      <c r="F661">
        <v>11</v>
      </c>
      <c r="G661">
        <v>61.81</v>
      </c>
      <c r="H661" t="s">
        <v>33</v>
      </c>
      <c r="I661" t="s">
        <v>36</v>
      </c>
      <c r="J661" s="3">
        <v>0.05</v>
      </c>
      <c r="K661" t="s">
        <v>42</v>
      </c>
      <c r="L661">
        <v>645.91450000000009</v>
      </c>
      <c r="M661" t="s">
        <v>44</v>
      </c>
      <c r="N661" t="s">
        <v>50</v>
      </c>
      <c r="O661">
        <v>0</v>
      </c>
      <c r="P661" t="s">
        <v>710</v>
      </c>
      <c r="Q661" t="s">
        <v>2183</v>
      </c>
      <c r="R661">
        <v>47.95</v>
      </c>
      <c r="S661" s="5">
        <v>44978</v>
      </c>
      <c r="T661" s="5">
        <v>44988</v>
      </c>
      <c r="U661" t="s">
        <v>2925</v>
      </c>
    </row>
    <row r="662" spans="1:21" x14ac:dyDescent="0.25">
      <c r="A662" s="5">
        <v>45154</v>
      </c>
      <c r="B662" s="7">
        <f>Table1[[#This Row],[TotalPrice]] * (1 - Table1[[#This Row],[Discount]])</f>
        <v>2301.3719999999998</v>
      </c>
      <c r="C662" s="7">
        <f>Table1[[#This Row],[Net Sales]] * 0.2</f>
        <v>460.27440000000001</v>
      </c>
      <c r="D662" t="s">
        <v>22</v>
      </c>
      <c r="E662" t="s">
        <v>26</v>
      </c>
      <c r="F662">
        <v>8</v>
      </c>
      <c r="G662">
        <v>355.15</v>
      </c>
      <c r="H662" t="s">
        <v>31</v>
      </c>
      <c r="I662" t="s">
        <v>36</v>
      </c>
      <c r="J662" s="3">
        <v>0.1</v>
      </c>
      <c r="K662" t="s">
        <v>40</v>
      </c>
      <c r="L662">
        <v>2557.08</v>
      </c>
      <c r="M662" t="s">
        <v>43</v>
      </c>
      <c r="O662">
        <v>1</v>
      </c>
      <c r="P662" t="s">
        <v>711</v>
      </c>
      <c r="Q662" t="s">
        <v>2184</v>
      </c>
      <c r="R662">
        <v>38.590000000000003</v>
      </c>
      <c r="S662" s="5">
        <v>45154</v>
      </c>
      <c r="T662" s="5">
        <v>45162</v>
      </c>
      <c r="U662" t="s">
        <v>2925</v>
      </c>
    </row>
    <row r="663" spans="1:21" x14ac:dyDescent="0.25">
      <c r="A663" s="5">
        <v>45233</v>
      </c>
      <c r="B663" s="7">
        <f>Table1[[#This Row],[TotalPrice]] * (1 - Table1[[#This Row],[Discount]])</f>
        <v>1067.7744</v>
      </c>
      <c r="C663" s="7">
        <f>Table1[[#This Row],[Net Sales]] * 0.2</f>
        <v>213.55488000000003</v>
      </c>
      <c r="D663" t="s">
        <v>23</v>
      </c>
      <c r="E663" t="s">
        <v>28</v>
      </c>
      <c r="F663">
        <v>11</v>
      </c>
      <c r="G663">
        <v>119.84</v>
      </c>
      <c r="H663" t="s">
        <v>34</v>
      </c>
      <c r="I663" t="s">
        <v>35</v>
      </c>
      <c r="J663" s="3">
        <v>0.1</v>
      </c>
      <c r="K663" t="s">
        <v>37</v>
      </c>
      <c r="L663">
        <v>1186.4159999999999</v>
      </c>
      <c r="M663" t="s">
        <v>43</v>
      </c>
      <c r="N663" t="s">
        <v>49</v>
      </c>
      <c r="O663">
        <v>0</v>
      </c>
      <c r="P663" t="s">
        <v>712</v>
      </c>
      <c r="Q663" t="s">
        <v>2185</v>
      </c>
      <c r="R663">
        <v>16.64</v>
      </c>
      <c r="S663" s="5">
        <v>45233</v>
      </c>
      <c r="T663" s="5">
        <v>45241</v>
      </c>
      <c r="U663" t="s">
        <v>2926</v>
      </c>
    </row>
    <row r="664" spans="1:21" x14ac:dyDescent="0.25">
      <c r="A664" s="5">
        <v>45408</v>
      </c>
      <c r="B664" s="7">
        <f>Table1[[#This Row],[TotalPrice]] * (1 - Table1[[#This Row],[Discount]])</f>
        <v>4596.5407999999998</v>
      </c>
      <c r="C664" s="7">
        <f>Table1[[#This Row],[Net Sales]] * 0.2</f>
        <v>919.30816000000004</v>
      </c>
      <c r="D664" t="s">
        <v>20</v>
      </c>
      <c r="E664" t="s">
        <v>24</v>
      </c>
      <c r="F664">
        <v>16</v>
      </c>
      <c r="G664">
        <v>318.32</v>
      </c>
      <c r="H664" t="s">
        <v>33</v>
      </c>
      <c r="I664" t="s">
        <v>35</v>
      </c>
      <c r="J664" s="3">
        <v>0.05</v>
      </c>
      <c r="K664" t="s">
        <v>41</v>
      </c>
      <c r="L664">
        <v>4838.4639999999999</v>
      </c>
      <c r="M664" t="s">
        <v>45</v>
      </c>
      <c r="N664" t="s">
        <v>48</v>
      </c>
      <c r="O664">
        <v>0</v>
      </c>
      <c r="P664" t="s">
        <v>713</v>
      </c>
      <c r="Q664" t="s">
        <v>2186</v>
      </c>
      <c r="R664">
        <v>40.78</v>
      </c>
      <c r="S664" s="5">
        <v>45408</v>
      </c>
      <c r="T664" s="5">
        <v>45413</v>
      </c>
      <c r="U664" t="s">
        <v>2923</v>
      </c>
    </row>
    <row r="665" spans="1:21" x14ac:dyDescent="0.25">
      <c r="A665" s="5">
        <v>45573</v>
      </c>
      <c r="B665" s="7">
        <f>Table1[[#This Row],[TotalPrice]] * (1 - Table1[[#This Row],[Discount]])</f>
        <v>2903.3012249999997</v>
      </c>
      <c r="C665" s="7">
        <f>Table1[[#This Row],[Net Sales]] * 0.2</f>
        <v>580.66024499999992</v>
      </c>
      <c r="D665" t="s">
        <v>20</v>
      </c>
      <c r="E665" t="s">
        <v>26</v>
      </c>
      <c r="F665">
        <v>9</v>
      </c>
      <c r="G665">
        <v>446.49</v>
      </c>
      <c r="H665" t="s">
        <v>34</v>
      </c>
      <c r="I665" t="s">
        <v>35</v>
      </c>
      <c r="J665" s="3">
        <v>0.15</v>
      </c>
      <c r="K665" t="s">
        <v>40</v>
      </c>
      <c r="L665">
        <v>3415.6484999999998</v>
      </c>
      <c r="M665" t="s">
        <v>47</v>
      </c>
      <c r="N665" t="s">
        <v>48</v>
      </c>
      <c r="O665">
        <v>0</v>
      </c>
      <c r="P665" t="s">
        <v>714</v>
      </c>
      <c r="Q665" t="s">
        <v>2187</v>
      </c>
      <c r="R665">
        <v>5.77</v>
      </c>
      <c r="S665" s="5">
        <v>45573</v>
      </c>
      <c r="T665" s="5">
        <v>45582</v>
      </c>
      <c r="U665" t="s">
        <v>2923</v>
      </c>
    </row>
    <row r="666" spans="1:21" x14ac:dyDescent="0.25">
      <c r="A666" s="5">
        <v>44935</v>
      </c>
      <c r="B666" s="7">
        <f>Table1[[#This Row],[TotalPrice]] * (1 - Table1[[#This Row],[Discount]])</f>
        <v>3354.3071999999997</v>
      </c>
      <c r="C666" s="7">
        <f>Table1[[#This Row],[Net Sales]] * 0.2</f>
        <v>670.86144000000002</v>
      </c>
      <c r="D666" t="s">
        <v>20</v>
      </c>
      <c r="E666" t="s">
        <v>26</v>
      </c>
      <c r="F666">
        <v>16</v>
      </c>
      <c r="G666">
        <v>258.82</v>
      </c>
      <c r="H666" t="s">
        <v>34</v>
      </c>
      <c r="I666" t="s">
        <v>36</v>
      </c>
      <c r="J666" s="3">
        <v>0.1</v>
      </c>
      <c r="K666" t="s">
        <v>41</v>
      </c>
      <c r="L666">
        <v>3727.0079999999998</v>
      </c>
      <c r="M666" t="s">
        <v>43</v>
      </c>
      <c r="N666" t="s">
        <v>49</v>
      </c>
      <c r="O666">
        <v>0</v>
      </c>
      <c r="P666" t="s">
        <v>715</v>
      </c>
      <c r="Q666" t="s">
        <v>2188</v>
      </c>
      <c r="R666">
        <v>46.93</v>
      </c>
      <c r="S666" s="5">
        <v>44935</v>
      </c>
      <c r="T666" s="5">
        <v>44943</v>
      </c>
      <c r="U666" t="s">
        <v>2923</v>
      </c>
    </row>
    <row r="667" spans="1:21" x14ac:dyDescent="0.25">
      <c r="A667" s="5">
        <v>45285</v>
      </c>
      <c r="B667" s="7">
        <f>Table1[[#This Row],[TotalPrice]] * (1 - Table1[[#This Row],[Discount]])</f>
        <v>2214.8433</v>
      </c>
      <c r="C667" s="7">
        <f>Table1[[#This Row],[Net Sales]] * 0.2</f>
        <v>442.96866</v>
      </c>
      <c r="D667" t="s">
        <v>21</v>
      </c>
      <c r="E667" t="s">
        <v>30</v>
      </c>
      <c r="F667">
        <v>9</v>
      </c>
      <c r="G667">
        <v>272.68</v>
      </c>
      <c r="H667" t="s">
        <v>34</v>
      </c>
      <c r="I667" t="s">
        <v>35</v>
      </c>
      <c r="J667" s="3">
        <v>0.05</v>
      </c>
      <c r="K667" t="s">
        <v>37</v>
      </c>
      <c r="L667">
        <v>2331.4140000000002</v>
      </c>
      <c r="M667" t="s">
        <v>43</v>
      </c>
      <c r="N667" t="s">
        <v>49</v>
      </c>
      <c r="O667">
        <v>0</v>
      </c>
      <c r="P667" t="s">
        <v>716</v>
      </c>
      <c r="Q667" t="s">
        <v>2189</v>
      </c>
      <c r="R667">
        <v>16.43</v>
      </c>
      <c r="S667" s="5">
        <v>45285</v>
      </c>
      <c r="T667" s="5">
        <v>45293</v>
      </c>
      <c r="U667" t="s">
        <v>2924</v>
      </c>
    </row>
    <row r="668" spans="1:21" x14ac:dyDescent="0.25">
      <c r="A668" s="5">
        <v>45423</v>
      </c>
      <c r="B668" s="7">
        <f>Table1[[#This Row],[TotalPrice]] * (1 - Table1[[#This Row],[Discount]])</f>
        <v>5265.24</v>
      </c>
      <c r="C668" s="7">
        <f>Table1[[#This Row],[Net Sales]] * 0.2</f>
        <v>1053.048</v>
      </c>
      <c r="D668" t="s">
        <v>22</v>
      </c>
      <c r="E668" t="s">
        <v>28</v>
      </c>
      <c r="F668">
        <v>12</v>
      </c>
      <c r="G668">
        <v>438.77</v>
      </c>
      <c r="H668" t="s">
        <v>33</v>
      </c>
      <c r="I668" t="s">
        <v>36</v>
      </c>
      <c r="J668" s="3">
        <v>0</v>
      </c>
      <c r="K668" t="s">
        <v>37</v>
      </c>
      <c r="L668">
        <v>5265.24</v>
      </c>
      <c r="M668" t="s">
        <v>46</v>
      </c>
      <c r="N668" t="s">
        <v>49</v>
      </c>
      <c r="O668">
        <v>0</v>
      </c>
      <c r="P668" t="s">
        <v>717</v>
      </c>
      <c r="Q668" t="s">
        <v>2190</v>
      </c>
      <c r="R668">
        <v>9.31</v>
      </c>
      <c r="S668" s="5">
        <v>45423</v>
      </c>
      <c r="T668" s="5">
        <v>45432</v>
      </c>
      <c r="U668" t="s">
        <v>2925</v>
      </c>
    </row>
    <row r="669" spans="1:21" x14ac:dyDescent="0.25">
      <c r="A669" s="5">
        <v>45253</v>
      </c>
      <c r="B669" s="7">
        <f>Table1[[#This Row],[TotalPrice]] * (1 - Table1[[#This Row],[Discount]])</f>
        <v>4817.34</v>
      </c>
      <c r="C669" s="7">
        <f>Table1[[#This Row],[Net Sales]] * 0.2</f>
        <v>963.46800000000007</v>
      </c>
      <c r="D669" t="s">
        <v>23</v>
      </c>
      <c r="E669" t="s">
        <v>29</v>
      </c>
      <c r="F669">
        <v>18</v>
      </c>
      <c r="G669">
        <v>267.63</v>
      </c>
      <c r="H669" t="s">
        <v>31</v>
      </c>
      <c r="I669" t="s">
        <v>36</v>
      </c>
      <c r="J669" s="3">
        <v>0</v>
      </c>
      <c r="K669" t="s">
        <v>40</v>
      </c>
      <c r="L669">
        <v>4817.34</v>
      </c>
      <c r="M669" t="s">
        <v>44</v>
      </c>
      <c r="N669" t="s">
        <v>49</v>
      </c>
      <c r="O669">
        <v>0</v>
      </c>
      <c r="P669" t="s">
        <v>718</v>
      </c>
      <c r="Q669" t="s">
        <v>2191</v>
      </c>
      <c r="R669">
        <v>44.48</v>
      </c>
      <c r="S669" s="5">
        <v>45253</v>
      </c>
      <c r="T669" s="5">
        <v>45256</v>
      </c>
      <c r="U669" t="s">
        <v>2926</v>
      </c>
    </row>
    <row r="670" spans="1:21" x14ac:dyDescent="0.25">
      <c r="A670" s="5">
        <v>45270</v>
      </c>
      <c r="B670" s="7">
        <f>Table1[[#This Row],[TotalPrice]] * (1 - Table1[[#This Row],[Discount]])</f>
        <v>627.81509999999992</v>
      </c>
      <c r="C670" s="7">
        <f>Table1[[#This Row],[Net Sales]] * 0.2</f>
        <v>125.56301999999999</v>
      </c>
      <c r="D670" t="s">
        <v>22</v>
      </c>
      <c r="E670" t="s">
        <v>30</v>
      </c>
      <c r="F670">
        <v>6</v>
      </c>
      <c r="G670">
        <v>115.94</v>
      </c>
      <c r="H670" t="s">
        <v>32</v>
      </c>
      <c r="I670" t="s">
        <v>35</v>
      </c>
      <c r="J670" s="3">
        <v>0.05</v>
      </c>
      <c r="K670" t="s">
        <v>40</v>
      </c>
      <c r="L670">
        <v>660.85799999999995</v>
      </c>
      <c r="M670" t="s">
        <v>45</v>
      </c>
      <c r="N670" t="s">
        <v>49</v>
      </c>
      <c r="O670">
        <v>0</v>
      </c>
      <c r="P670" t="s">
        <v>719</v>
      </c>
      <c r="Q670" t="s">
        <v>2192</v>
      </c>
      <c r="R670">
        <v>23.91</v>
      </c>
      <c r="S670" s="5">
        <v>45270</v>
      </c>
      <c r="T670" s="5">
        <v>45272</v>
      </c>
      <c r="U670" t="s">
        <v>2925</v>
      </c>
    </row>
    <row r="671" spans="1:21" x14ac:dyDescent="0.25">
      <c r="A671" s="5">
        <v>45325</v>
      </c>
      <c r="B671" s="7">
        <f>Table1[[#This Row],[TotalPrice]] * (1 - Table1[[#This Row],[Discount]])</f>
        <v>5239.82</v>
      </c>
      <c r="C671" s="7">
        <f>Table1[[#This Row],[Net Sales]] * 0.2</f>
        <v>1047.9639999999999</v>
      </c>
      <c r="D671" t="s">
        <v>21</v>
      </c>
      <c r="E671" t="s">
        <v>30</v>
      </c>
      <c r="F671">
        <v>19</v>
      </c>
      <c r="G671">
        <v>275.77999999999997</v>
      </c>
      <c r="H671" t="s">
        <v>33</v>
      </c>
      <c r="I671" t="s">
        <v>36</v>
      </c>
      <c r="J671" s="3">
        <v>0</v>
      </c>
      <c r="K671" t="s">
        <v>39</v>
      </c>
      <c r="L671">
        <v>5239.82</v>
      </c>
      <c r="M671" t="s">
        <v>47</v>
      </c>
      <c r="N671" t="s">
        <v>49</v>
      </c>
      <c r="O671">
        <v>0</v>
      </c>
      <c r="P671" t="s">
        <v>720</v>
      </c>
      <c r="Q671" t="s">
        <v>2193</v>
      </c>
      <c r="R671">
        <v>47</v>
      </c>
      <c r="S671" s="5">
        <v>45325</v>
      </c>
      <c r="T671" s="5">
        <v>45327</v>
      </c>
      <c r="U671" t="s">
        <v>2924</v>
      </c>
    </row>
    <row r="672" spans="1:21" x14ac:dyDescent="0.25">
      <c r="A672" s="5">
        <v>45620</v>
      </c>
      <c r="B672" s="7">
        <f>Table1[[#This Row],[TotalPrice]] * (1 - Table1[[#This Row],[Discount]])</f>
        <v>3071.16</v>
      </c>
      <c r="C672" s="7">
        <f>Table1[[#This Row],[Net Sales]] * 0.2</f>
        <v>614.23199999999997</v>
      </c>
      <c r="D672" t="s">
        <v>22</v>
      </c>
      <c r="E672" t="s">
        <v>27</v>
      </c>
      <c r="F672">
        <v>12</v>
      </c>
      <c r="G672">
        <v>255.93</v>
      </c>
      <c r="H672" t="s">
        <v>31</v>
      </c>
      <c r="I672" t="s">
        <v>36</v>
      </c>
      <c r="J672" s="3">
        <v>0</v>
      </c>
      <c r="K672" t="s">
        <v>37</v>
      </c>
      <c r="L672">
        <v>3071.16</v>
      </c>
      <c r="M672" t="s">
        <v>47</v>
      </c>
      <c r="N672" t="s">
        <v>50</v>
      </c>
      <c r="O672">
        <v>0</v>
      </c>
      <c r="P672" t="s">
        <v>721</v>
      </c>
      <c r="Q672" t="s">
        <v>2194</v>
      </c>
      <c r="R672">
        <v>23.74</v>
      </c>
      <c r="S672" s="5">
        <v>45620</v>
      </c>
      <c r="T672" s="5">
        <v>45630</v>
      </c>
      <c r="U672" t="s">
        <v>2925</v>
      </c>
    </row>
    <row r="673" spans="1:21" x14ac:dyDescent="0.25">
      <c r="A673" s="5">
        <v>45357</v>
      </c>
      <c r="B673" s="7">
        <f>Table1[[#This Row],[TotalPrice]] * (1 - Table1[[#This Row],[Discount]])</f>
        <v>275.42422499999998</v>
      </c>
      <c r="C673" s="7">
        <f>Table1[[#This Row],[Net Sales]] * 0.2</f>
        <v>55.084845000000001</v>
      </c>
      <c r="D673" t="s">
        <v>23</v>
      </c>
      <c r="E673" t="s">
        <v>25</v>
      </c>
      <c r="F673">
        <v>1</v>
      </c>
      <c r="G673">
        <v>381.21</v>
      </c>
      <c r="H673" t="s">
        <v>34</v>
      </c>
      <c r="I673" t="s">
        <v>35</v>
      </c>
      <c r="J673" s="3">
        <v>0.15</v>
      </c>
      <c r="K673" t="s">
        <v>42</v>
      </c>
      <c r="L673">
        <v>324.02850000000001</v>
      </c>
      <c r="M673" t="s">
        <v>43</v>
      </c>
      <c r="O673">
        <v>0</v>
      </c>
      <c r="P673" t="s">
        <v>722</v>
      </c>
      <c r="Q673" t="s">
        <v>2195</v>
      </c>
      <c r="R673">
        <v>9.9499999999999993</v>
      </c>
      <c r="S673" s="5">
        <v>45357</v>
      </c>
      <c r="T673" s="5">
        <v>45362</v>
      </c>
      <c r="U673" t="s">
        <v>2926</v>
      </c>
    </row>
    <row r="674" spans="1:21" x14ac:dyDescent="0.25">
      <c r="A674" s="5">
        <v>45689</v>
      </c>
      <c r="B674" s="7">
        <f>Table1[[#This Row],[TotalPrice]] * (1 - Table1[[#This Row],[Discount]])</f>
        <v>138.105875</v>
      </c>
      <c r="C674" s="7">
        <f>Table1[[#This Row],[Net Sales]] * 0.2</f>
        <v>27.621175000000001</v>
      </c>
      <c r="D674" t="s">
        <v>20</v>
      </c>
      <c r="E674" t="s">
        <v>26</v>
      </c>
      <c r="F674">
        <v>5</v>
      </c>
      <c r="G674">
        <v>38.229999999999997</v>
      </c>
      <c r="H674" t="s">
        <v>33</v>
      </c>
      <c r="I674" t="s">
        <v>35</v>
      </c>
      <c r="J674" s="3">
        <v>0.15</v>
      </c>
      <c r="K674" t="s">
        <v>42</v>
      </c>
      <c r="L674">
        <v>162.47749999999999</v>
      </c>
      <c r="M674" t="s">
        <v>46</v>
      </c>
      <c r="O674">
        <v>0</v>
      </c>
      <c r="P674" t="s">
        <v>723</v>
      </c>
      <c r="Q674" t="s">
        <v>2196</v>
      </c>
      <c r="R674">
        <v>21.06</v>
      </c>
      <c r="S674" s="5">
        <v>45689</v>
      </c>
      <c r="T674" s="5">
        <v>45699</v>
      </c>
      <c r="U674" t="s">
        <v>2923</v>
      </c>
    </row>
    <row r="675" spans="1:21" x14ac:dyDescent="0.25">
      <c r="A675" s="5">
        <v>45447</v>
      </c>
      <c r="B675" s="7">
        <f>Table1[[#This Row],[TotalPrice]] * (1 - Table1[[#This Row],[Discount]])</f>
        <v>1581.02</v>
      </c>
      <c r="C675" s="7">
        <f>Table1[[#This Row],[Net Sales]] * 0.2</f>
        <v>316.20400000000001</v>
      </c>
      <c r="D675" t="s">
        <v>22</v>
      </c>
      <c r="E675" t="s">
        <v>24</v>
      </c>
      <c r="F675">
        <v>7</v>
      </c>
      <c r="G675">
        <v>225.86</v>
      </c>
      <c r="H675" t="s">
        <v>31</v>
      </c>
      <c r="I675" t="s">
        <v>35</v>
      </c>
      <c r="J675" s="3">
        <v>0</v>
      </c>
      <c r="K675" t="s">
        <v>40</v>
      </c>
      <c r="L675">
        <v>1581.02</v>
      </c>
      <c r="M675" t="s">
        <v>46</v>
      </c>
      <c r="O675">
        <v>0</v>
      </c>
      <c r="P675" t="s">
        <v>724</v>
      </c>
      <c r="Q675" t="s">
        <v>2197</v>
      </c>
      <c r="R675">
        <v>24.48</v>
      </c>
      <c r="S675" s="5">
        <v>45447</v>
      </c>
      <c r="T675" s="5">
        <v>45452</v>
      </c>
      <c r="U675" t="s">
        <v>2925</v>
      </c>
    </row>
    <row r="676" spans="1:21" x14ac:dyDescent="0.25">
      <c r="A676" s="5">
        <v>45144</v>
      </c>
      <c r="B676" s="7">
        <f>Table1[[#This Row],[TotalPrice]] * (1 - Table1[[#This Row],[Discount]])</f>
        <v>3956.7043999999992</v>
      </c>
      <c r="C676" s="7">
        <f>Table1[[#This Row],[Net Sales]] * 0.2</f>
        <v>791.34087999999986</v>
      </c>
      <c r="D676" t="s">
        <v>22</v>
      </c>
      <c r="E676" t="s">
        <v>26</v>
      </c>
      <c r="F676">
        <v>8</v>
      </c>
      <c r="G676">
        <v>548.02</v>
      </c>
      <c r="H676" t="s">
        <v>34</v>
      </c>
      <c r="I676" t="s">
        <v>36</v>
      </c>
      <c r="J676" s="3">
        <v>0.05</v>
      </c>
      <c r="K676" t="s">
        <v>37</v>
      </c>
      <c r="L676">
        <v>4164.9519999999993</v>
      </c>
      <c r="M676" t="s">
        <v>43</v>
      </c>
      <c r="O676">
        <v>0</v>
      </c>
      <c r="P676" t="s">
        <v>725</v>
      </c>
      <c r="Q676" t="s">
        <v>2198</v>
      </c>
      <c r="R676">
        <v>33.4</v>
      </c>
      <c r="S676" s="5">
        <v>45144</v>
      </c>
      <c r="T676" s="5">
        <v>45151</v>
      </c>
      <c r="U676" t="s">
        <v>2925</v>
      </c>
    </row>
    <row r="677" spans="1:21" x14ac:dyDescent="0.25">
      <c r="A677" s="5">
        <v>45107</v>
      </c>
      <c r="B677" s="7">
        <f>Table1[[#This Row],[TotalPrice]] * (1 - Table1[[#This Row],[Discount]])</f>
        <v>7883.6984999999986</v>
      </c>
      <c r="C677" s="7">
        <f>Table1[[#This Row],[Net Sales]] * 0.2</f>
        <v>1576.7396999999999</v>
      </c>
      <c r="D677" t="s">
        <v>23</v>
      </c>
      <c r="E677" t="s">
        <v>30</v>
      </c>
      <c r="F677">
        <v>18</v>
      </c>
      <c r="G677">
        <v>485.3</v>
      </c>
      <c r="H677" t="s">
        <v>34</v>
      </c>
      <c r="I677" t="s">
        <v>35</v>
      </c>
      <c r="J677" s="3">
        <v>0.05</v>
      </c>
      <c r="K677" t="s">
        <v>42</v>
      </c>
      <c r="L677">
        <v>8298.6299999999992</v>
      </c>
      <c r="M677" t="s">
        <v>46</v>
      </c>
      <c r="N677" t="s">
        <v>48</v>
      </c>
      <c r="O677">
        <v>1</v>
      </c>
      <c r="P677" t="s">
        <v>726</v>
      </c>
      <c r="Q677" t="s">
        <v>2199</v>
      </c>
      <c r="R677">
        <v>47.77</v>
      </c>
      <c r="S677" s="5">
        <v>45107</v>
      </c>
      <c r="T677" s="5">
        <v>45112</v>
      </c>
      <c r="U677" t="s">
        <v>2926</v>
      </c>
    </row>
    <row r="678" spans="1:21" x14ac:dyDescent="0.25">
      <c r="A678" s="5">
        <v>44972</v>
      </c>
      <c r="B678" s="7">
        <f>Table1[[#This Row],[TotalPrice]] * (1 - Table1[[#This Row],[Discount]])</f>
        <v>6376.2309000000005</v>
      </c>
      <c r="C678" s="7">
        <f>Table1[[#This Row],[Net Sales]] * 0.2</f>
        <v>1275.2461800000001</v>
      </c>
      <c r="D678" t="s">
        <v>23</v>
      </c>
      <c r="E678" t="s">
        <v>30</v>
      </c>
      <c r="F678">
        <v>19</v>
      </c>
      <c r="G678">
        <v>414.31</v>
      </c>
      <c r="H678" t="s">
        <v>32</v>
      </c>
      <c r="I678" t="s">
        <v>36</v>
      </c>
      <c r="J678" s="3">
        <v>0.1</v>
      </c>
      <c r="K678" t="s">
        <v>37</v>
      </c>
      <c r="L678">
        <v>7084.701</v>
      </c>
      <c r="M678" t="s">
        <v>45</v>
      </c>
      <c r="N678" t="s">
        <v>49</v>
      </c>
      <c r="O678">
        <v>0</v>
      </c>
      <c r="P678" t="s">
        <v>727</v>
      </c>
      <c r="Q678" t="s">
        <v>2200</v>
      </c>
      <c r="R678">
        <v>17.43</v>
      </c>
      <c r="S678" s="5">
        <v>44972</v>
      </c>
      <c r="T678" s="5">
        <v>44976</v>
      </c>
      <c r="U678" t="s">
        <v>2926</v>
      </c>
    </row>
    <row r="679" spans="1:21" x14ac:dyDescent="0.25">
      <c r="A679" s="5">
        <v>45314</v>
      </c>
      <c r="B679" s="7">
        <f>Table1[[#This Row],[TotalPrice]] * (1 - Table1[[#This Row],[Discount]])</f>
        <v>366.19839999999994</v>
      </c>
      <c r="C679" s="7">
        <f>Table1[[#This Row],[Net Sales]] * 0.2</f>
        <v>73.239679999999993</v>
      </c>
      <c r="D679" t="s">
        <v>21</v>
      </c>
      <c r="E679" t="s">
        <v>30</v>
      </c>
      <c r="F679">
        <v>8</v>
      </c>
      <c r="G679">
        <v>50.72</v>
      </c>
      <c r="H679" t="s">
        <v>32</v>
      </c>
      <c r="I679" t="s">
        <v>35</v>
      </c>
      <c r="J679" s="3">
        <v>0.05</v>
      </c>
      <c r="K679" t="s">
        <v>40</v>
      </c>
      <c r="L679">
        <v>385.47199999999998</v>
      </c>
      <c r="M679" t="s">
        <v>46</v>
      </c>
      <c r="O679">
        <v>0</v>
      </c>
      <c r="P679" t="s">
        <v>728</v>
      </c>
      <c r="Q679" t="s">
        <v>2201</v>
      </c>
      <c r="R679">
        <v>12.35</v>
      </c>
      <c r="S679" s="5">
        <v>45314</v>
      </c>
      <c r="T679" s="5">
        <v>45321</v>
      </c>
      <c r="U679" t="s">
        <v>2924</v>
      </c>
    </row>
    <row r="680" spans="1:21" x14ac:dyDescent="0.25">
      <c r="A680" s="5">
        <v>45596</v>
      </c>
      <c r="B680" s="7">
        <f>Table1[[#This Row],[TotalPrice]] * (1 - Table1[[#This Row],[Discount]])</f>
        <v>1022.64095</v>
      </c>
      <c r="C680" s="7">
        <f>Table1[[#This Row],[Net Sales]] * 0.2</f>
        <v>204.52819</v>
      </c>
      <c r="D680" t="s">
        <v>21</v>
      </c>
      <c r="E680" t="s">
        <v>29</v>
      </c>
      <c r="F680">
        <v>17</v>
      </c>
      <c r="G680">
        <v>83.26</v>
      </c>
      <c r="H680" t="s">
        <v>32</v>
      </c>
      <c r="I680" t="s">
        <v>35</v>
      </c>
      <c r="J680" s="3">
        <v>0.15</v>
      </c>
      <c r="K680" t="s">
        <v>37</v>
      </c>
      <c r="L680">
        <v>1203.107</v>
      </c>
      <c r="M680" t="s">
        <v>47</v>
      </c>
      <c r="N680" t="s">
        <v>49</v>
      </c>
      <c r="O680">
        <v>0</v>
      </c>
      <c r="P680" t="s">
        <v>729</v>
      </c>
      <c r="Q680" t="s">
        <v>2202</v>
      </c>
      <c r="R680">
        <v>42.68</v>
      </c>
      <c r="S680" s="5">
        <v>45596</v>
      </c>
      <c r="T680" s="5">
        <v>45602</v>
      </c>
      <c r="U680" t="s">
        <v>2924</v>
      </c>
    </row>
    <row r="681" spans="1:21" x14ac:dyDescent="0.25">
      <c r="A681" s="5">
        <v>45279</v>
      </c>
      <c r="B681" s="7">
        <f>Table1[[#This Row],[TotalPrice]] * (1 - Table1[[#This Row],[Discount]])</f>
        <v>749.23249999999996</v>
      </c>
      <c r="C681" s="7">
        <f>Table1[[#This Row],[Net Sales]] * 0.2</f>
        <v>149.84649999999999</v>
      </c>
      <c r="D681" t="s">
        <v>22</v>
      </c>
      <c r="E681" t="s">
        <v>26</v>
      </c>
      <c r="F681">
        <v>20</v>
      </c>
      <c r="G681">
        <v>51.85</v>
      </c>
      <c r="H681" t="s">
        <v>33</v>
      </c>
      <c r="I681" t="s">
        <v>35</v>
      </c>
      <c r="J681" s="3">
        <v>0.15</v>
      </c>
      <c r="K681" t="s">
        <v>40</v>
      </c>
      <c r="L681">
        <v>881.44999999999993</v>
      </c>
      <c r="M681" t="s">
        <v>47</v>
      </c>
      <c r="O681">
        <v>0</v>
      </c>
      <c r="P681" t="s">
        <v>730</v>
      </c>
      <c r="Q681" t="s">
        <v>2203</v>
      </c>
      <c r="R681">
        <v>33.159999999999997</v>
      </c>
      <c r="S681" s="5">
        <v>45279</v>
      </c>
      <c r="T681" s="5">
        <v>45281</v>
      </c>
      <c r="U681" t="s">
        <v>2925</v>
      </c>
    </row>
    <row r="682" spans="1:21" x14ac:dyDescent="0.25">
      <c r="A682" s="5">
        <v>45111</v>
      </c>
      <c r="B682" s="7">
        <f>Table1[[#This Row],[TotalPrice]] * (1 - Table1[[#This Row],[Discount]])</f>
        <v>1326.7833000000001</v>
      </c>
      <c r="C682" s="7">
        <f>Table1[[#This Row],[Net Sales]] * 0.2</f>
        <v>265.35666000000003</v>
      </c>
      <c r="D682" t="s">
        <v>20</v>
      </c>
      <c r="E682" t="s">
        <v>29</v>
      </c>
      <c r="F682">
        <v>12</v>
      </c>
      <c r="G682">
        <v>122.51</v>
      </c>
      <c r="H682" t="s">
        <v>31</v>
      </c>
      <c r="I682" t="s">
        <v>35</v>
      </c>
      <c r="J682" s="3">
        <v>0.05</v>
      </c>
      <c r="K682" t="s">
        <v>41</v>
      </c>
      <c r="L682">
        <v>1396.614</v>
      </c>
      <c r="M682" t="s">
        <v>44</v>
      </c>
      <c r="N682" t="s">
        <v>50</v>
      </c>
      <c r="O682">
        <v>0</v>
      </c>
      <c r="P682" t="s">
        <v>731</v>
      </c>
      <c r="Q682" t="s">
        <v>1832</v>
      </c>
      <c r="R682">
        <v>43.47</v>
      </c>
      <c r="S682" s="5">
        <v>45111</v>
      </c>
      <c r="T682" s="5">
        <v>45113</v>
      </c>
      <c r="U682" t="s">
        <v>2923</v>
      </c>
    </row>
    <row r="683" spans="1:21" x14ac:dyDescent="0.25">
      <c r="A683" s="5">
        <v>45428</v>
      </c>
      <c r="B683" s="7">
        <f>Table1[[#This Row],[TotalPrice]] * (1 - Table1[[#This Row],[Discount]])</f>
        <v>1765.3781750000001</v>
      </c>
      <c r="C683" s="7">
        <f>Table1[[#This Row],[Net Sales]] * 0.2</f>
        <v>353.07563500000003</v>
      </c>
      <c r="D683" t="s">
        <v>19</v>
      </c>
      <c r="E683" t="s">
        <v>24</v>
      </c>
      <c r="F683">
        <v>11</v>
      </c>
      <c r="G683">
        <v>222.13</v>
      </c>
      <c r="H683" t="s">
        <v>34</v>
      </c>
      <c r="I683" t="s">
        <v>35</v>
      </c>
      <c r="J683" s="3">
        <v>0.15</v>
      </c>
      <c r="K683" t="s">
        <v>37</v>
      </c>
      <c r="L683">
        <v>2076.9155000000001</v>
      </c>
      <c r="M683" t="s">
        <v>47</v>
      </c>
      <c r="N683" t="s">
        <v>50</v>
      </c>
      <c r="O683">
        <v>1</v>
      </c>
      <c r="P683" t="s">
        <v>732</v>
      </c>
      <c r="Q683" t="s">
        <v>2204</v>
      </c>
      <c r="R683">
        <v>9.8800000000000008</v>
      </c>
      <c r="S683" s="5">
        <v>45428</v>
      </c>
      <c r="T683" s="5">
        <v>45430</v>
      </c>
      <c r="U683" t="s">
        <v>2922</v>
      </c>
    </row>
    <row r="684" spans="1:21" x14ac:dyDescent="0.25">
      <c r="A684" s="5">
        <v>45185</v>
      </c>
      <c r="B684" s="7">
        <f>Table1[[#This Row],[TotalPrice]] * (1 - Table1[[#This Row],[Discount]])</f>
        <v>1638.72</v>
      </c>
      <c r="C684" s="7">
        <f>Table1[[#This Row],[Net Sales]] * 0.2</f>
        <v>327.74400000000003</v>
      </c>
      <c r="D684" t="s">
        <v>21</v>
      </c>
      <c r="E684" t="s">
        <v>28</v>
      </c>
      <c r="F684">
        <v>8</v>
      </c>
      <c r="G684">
        <v>204.84</v>
      </c>
      <c r="H684" t="s">
        <v>33</v>
      </c>
      <c r="I684" t="s">
        <v>36</v>
      </c>
      <c r="J684" s="3">
        <v>0</v>
      </c>
      <c r="K684" t="s">
        <v>42</v>
      </c>
      <c r="L684">
        <v>1638.72</v>
      </c>
      <c r="M684" t="s">
        <v>47</v>
      </c>
      <c r="O684">
        <v>0</v>
      </c>
      <c r="P684" t="s">
        <v>733</v>
      </c>
      <c r="Q684" t="s">
        <v>2205</v>
      </c>
      <c r="R684">
        <v>43.4</v>
      </c>
      <c r="S684" s="5">
        <v>45185</v>
      </c>
      <c r="T684" s="5">
        <v>45190</v>
      </c>
      <c r="U684" t="s">
        <v>2924</v>
      </c>
    </row>
    <row r="685" spans="1:21" x14ac:dyDescent="0.25">
      <c r="A685" s="5">
        <v>45618</v>
      </c>
      <c r="B685" s="7">
        <f>Table1[[#This Row],[TotalPrice]] * (1 - Table1[[#This Row],[Discount]])</f>
        <v>1610.91</v>
      </c>
      <c r="C685" s="7">
        <f>Table1[[#This Row],[Net Sales]] * 0.2</f>
        <v>322.18200000000002</v>
      </c>
      <c r="D685" t="s">
        <v>19</v>
      </c>
      <c r="E685" t="s">
        <v>27</v>
      </c>
      <c r="F685">
        <v>3</v>
      </c>
      <c r="G685">
        <v>536.97</v>
      </c>
      <c r="H685" t="s">
        <v>33</v>
      </c>
      <c r="I685" t="s">
        <v>35</v>
      </c>
      <c r="J685" s="3">
        <v>0</v>
      </c>
      <c r="K685" t="s">
        <v>40</v>
      </c>
      <c r="L685">
        <v>1610.91</v>
      </c>
      <c r="M685" t="s">
        <v>46</v>
      </c>
      <c r="O685">
        <v>0</v>
      </c>
      <c r="P685" t="s">
        <v>734</v>
      </c>
      <c r="Q685" t="s">
        <v>2206</v>
      </c>
      <c r="R685">
        <v>13.86</v>
      </c>
      <c r="S685" s="5">
        <v>45618</v>
      </c>
      <c r="T685" s="5">
        <v>45627</v>
      </c>
      <c r="U685" t="s">
        <v>2922</v>
      </c>
    </row>
    <row r="686" spans="1:21" x14ac:dyDescent="0.25">
      <c r="A686" s="5">
        <v>45395</v>
      </c>
      <c r="B686" s="7">
        <f>Table1[[#This Row],[TotalPrice]] * (1 - Table1[[#This Row],[Discount]])</f>
        <v>6719.0715</v>
      </c>
      <c r="C686" s="7">
        <f>Table1[[#This Row],[Net Sales]] * 0.2</f>
        <v>1343.8143</v>
      </c>
      <c r="D686" t="s">
        <v>23</v>
      </c>
      <c r="E686" t="s">
        <v>27</v>
      </c>
      <c r="F686">
        <v>15</v>
      </c>
      <c r="G686">
        <v>553.01</v>
      </c>
      <c r="H686" t="s">
        <v>32</v>
      </c>
      <c r="I686" t="s">
        <v>36</v>
      </c>
      <c r="J686" s="3">
        <v>0.1</v>
      </c>
      <c r="K686" t="s">
        <v>40</v>
      </c>
      <c r="L686">
        <v>7465.6350000000002</v>
      </c>
      <c r="M686" t="s">
        <v>45</v>
      </c>
      <c r="N686" t="s">
        <v>49</v>
      </c>
      <c r="O686">
        <v>1</v>
      </c>
      <c r="P686" t="s">
        <v>735</v>
      </c>
      <c r="Q686" t="s">
        <v>2207</v>
      </c>
      <c r="R686">
        <v>23.3</v>
      </c>
      <c r="S686" s="5">
        <v>45395</v>
      </c>
      <c r="T686" s="5">
        <v>45403</v>
      </c>
      <c r="U686" t="s">
        <v>2926</v>
      </c>
    </row>
    <row r="687" spans="1:21" x14ac:dyDescent="0.25">
      <c r="A687" s="5">
        <v>45473</v>
      </c>
      <c r="B687" s="7">
        <f>Table1[[#This Row],[TotalPrice]] * (1 - Table1[[#This Row],[Discount]])</f>
        <v>4614.0840000000007</v>
      </c>
      <c r="C687" s="7">
        <f>Table1[[#This Row],[Net Sales]] * 0.2</f>
        <v>922.81680000000017</v>
      </c>
      <c r="D687" t="s">
        <v>20</v>
      </c>
      <c r="E687" t="s">
        <v>27</v>
      </c>
      <c r="F687">
        <v>20</v>
      </c>
      <c r="G687">
        <v>284.82</v>
      </c>
      <c r="H687" t="s">
        <v>34</v>
      </c>
      <c r="I687" t="s">
        <v>36</v>
      </c>
      <c r="J687" s="3">
        <v>0.1</v>
      </c>
      <c r="K687" t="s">
        <v>38</v>
      </c>
      <c r="L687">
        <v>5126.76</v>
      </c>
      <c r="M687" t="s">
        <v>45</v>
      </c>
      <c r="N687" t="s">
        <v>50</v>
      </c>
      <c r="O687">
        <v>1</v>
      </c>
      <c r="P687" t="s">
        <v>736</v>
      </c>
      <c r="Q687" t="s">
        <v>2208</v>
      </c>
      <c r="R687">
        <v>27</v>
      </c>
      <c r="S687" s="5">
        <v>45473</v>
      </c>
      <c r="T687" s="5">
        <v>45479</v>
      </c>
      <c r="U687" t="s">
        <v>2923</v>
      </c>
    </row>
    <row r="688" spans="1:21" x14ac:dyDescent="0.25">
      <c r="A688" s="5">
        <v>45533</v>
      </c>
      <c r="B688" s="7">
        <f>Table1[[#This Row],[TotalPrice]] * (1 - Table1[[#This Row],[Discount]])</f>
        <v>6812.9293499999994</v>
      </c>
      <c r="C688" s="7">
        <f>Table1[[#This Row],[Net Sales]] * 0.2</f>
        <v>1362.5858699999999</v>
      </c>
      <c r="D688" t="s">
        <v>21</v>
      </c>
      <c r="E688" t="s">
        <v>26</v>
      </c>
      <c r="F688">
        <v>18</v>
      </c>
      <c r="G688">
        <v>523.87</v>
      </c>
      <c r="H688" t="s">
        <v>33</v>
      </c>
      <c r="I688" t="s">
        <v>36</v>
      </c>
      <c r="J688" s="3">
        <v>0.15</v>
      </c>
      <c r="K688" t="s">
        <v>41</v>
      </c>
      <c r="L688">
        <v>8015.2109999999993</v>
      </c>
      <c r="M688" t="s">
        <v>44</v>
      </c>
      <c r="N688" t="s">
        <v>50</v>
      </c>
      <c r="O688">
        <v>0</v>
      </c>
      <c r="P688" t="s">
        <v>737</v>
      </c>
      <c r="Q688" t="s">
        <v>2209</v>
      </c>
      <c r="R688">
        <v>42.63</v>
      </c>
      <c r="S688" s="5">
        <v>45533</v>
      </c>
      <c r="T688" s="5">
        <v>45537</v>
      </c>
      <c r="U688" t="s">
        <v>2924</v>
      </c>
    </row>
    <row r="689" spans="1:21" x14ac:dyDescent="0.25">
      <c r="A689" s="5">
        <v>45286</v>
      </c>
      <c r="B689" s="7">
        <f>Table1[[#This Row],[TotalPrice]] * (1 - Table1[[#This Row],[Discount]])</f>
        <v>564.07590000000005</v>
      </c>
      <c r="C689" s="7">
        <f>Table1[[#This Row],[Net Sales]] * 0.2</f>
        <v>112.81518000000001</v>
      </c>
      <c r="D689" t="s">
        <v>22</v>
      </c>
      <c r="E689" t="s">
        <v>26</v>
      </c>
      <c r="F689">
        <v>3</v>
      </c>
      <c r="G689">
        <v>232.13</v>
      </c>
      <c r="H689" t="s">
        <v>31</v>
      </c>
      <c r="I689" t="s">
        <v>36</v>
      </c>
      <c r="J689" s="3">
        <v>0.1</v>
      </c>
      <c r="K689" t="s">
        <v>41</v>
      </c>
      <c r="L689">
        <v>626.75099999999998</v>
      </c>
      <c r="M689" t="s">
        <v>47</v>
      </c>
      <c r="O689">
        <v>1</v>
      </c>
      <c r="P689" t="s">
        <v>738</v>
      </c>
      <c r="Q689" t="s">
        <v>2210</v>
      </c>
      <c r="R689">
        <v>46.65</v>
      </c>
      <c r="S689" s="5">
        <v>45286</v>
      </c>
      <c r="T689" s="5">
        <v>45291</v>
      </c>
      <c r="U689" t="s">
        <v>2925</v>
      </c>
    </row>
    <row r="690" spans="1:21" x14ac:dyDescent="0.25">
      <c r="A690" s="5">
        <v>45687</v>
      </c>
      <c r="B690" s="7">
        <f>Table1[[#This Row],[TotalPrice]] * (1 - Table1[[#This Row],[Discount]])</f>
        <v>2469.2364000000002</v>
      </c>
      <c r="C690" s="7">
        <f>Table1[[#This Row],[Net Sales]] * 0.2</f>
        <v>493.84728000000007</v>
      </c>
      <c r="D690" t="s">
        <v>21</v>
      </c>
      <c r="E690" t="s">
        <v>25</v>
      </c>
      <c r="F690">
        <v>17</v>
      </c>
      <c r="G690">
        <v>179.32</v>
      </c>
      <c r="H690" t="s">
        <v>32</v>
      </c>
      <c r="I690" t="s">
        <v>36</v>
      </c>
      <c r="J690" s="3">
        <v>0.1</v>
      </c>
      <c r="K690" t="s">
        <v>42</v>
      </c>
      <c r="L690">
        <v>2743.596</v>
      </c>
      <c r="M690" t="s">
        <v>46</v>
      </c>
      <c r="N690" t="s">
        <v>49</v>
      </c>
      <c r="O690">
        <v>1</v>
      </c>
      <c r="P690" t="s">
        <v>739</v>
      </c>
      <c r="Q690" t="s">
        <v>2211</v>
      </c>
      <c r="R690">
        <v>26.74</v>
      </c>
      <c r="S690" s="5">
        <v>45687</v>
      </c>
      <c r="T690" s="5">
        <v>45694</v>
      </c>
      <c r="U690" t="s">
        <v>2924</v>
      </c>
    </row>
    <row r="691" spans="1:21" x14ac:dyDescent="0.25">
      <c r="A691" s="5">
        <v>45063</v>
      </c>
      <c r="B691" s="7">
        <f>Table1[[#This Row],[TotalPrice]] * (1 - Table1[[#This Row],[Discount]])</f>
        <v>286.36287499999997</v>
      </c>
      <c r="C691" s="7">
        <f>Table1[[#This Row],[Net Sales]] * 0.2</f>
        <v>57.272574999999996</v>
      </c>
      <c r="D691" t="s">
        <v>20</v>
      </c>
      <c r="E691" t="s">
        <v>27</v>
      </c>
      <c r="F691">
        <v>1</v>
      </c>
      <c r="G691">
        <v>396.35</v>
      </c>
      <c r="H691" t="s">
        <v>31</v>
      </c>
      <c r="I691" t="s">
        <v>36</v>
      </c>
      <c r="J691" s="3">
        <v>0.15</v>
      </c>
      <c r="K691" t="s">
        <v>39</v>
      </c>
      <c r="L691">
        <v>336.89749999999998</v>
      </c>
      <c r="M691" t="s">
        <v>46</v>
      </c>
      <c r="N691" t="s">
        <v>49</v>
      </c>
      <c r="O691">
        <v>1</v>
      </c>
      <c r="P691" t="s">
        <v>740</v>
      </c>
      <c r="Q691" t="s">
        <v>2212</v>
      </c>
      <c r="R691">
        <v>19.89</v>
      </c>
      <c r="S691" s="5">
        <v>45063</v>
      </c>
      <c r="T691" s="5">
        <v>45071</v>
      </c>
      <c r="U691" t="s">
        <v>2923</v>
      </c>
    </row>
    <row r="692" spans="1:21" x14ac:dyDescent="0.25">
      <c r="A692" s="5">
        <v>45318</v>
      </c>
      <c r="B692" s="7">
        <f>Table1[[#This Row],[TotalPrice]] * (1 - Table1[[#This Row],[Discount]])</f>
        <v>1493.7695999999999</v>
      </c>
      <c r="C692" s="7">
        <f>Table1[[#This Row],[Net Sales]] * 0.2</f>
        <v>298.75391999999999</v>
      </c>
      <c r="D692" t="s">
        <v>22</v>
      </c>
      <c r="E692" t="s">
        <v>26</v>
      </c>
      <c r="F692">
        <v>17</v>
      </c>
      <c r="G692">
        <v>108.48</v>
      </c>
      <c r="H692" t="s">
        <v>32</v>
      </c>
      <c r="I692" t="s">
        <v>35</v>
      </c>
      <c r="J692" s="3">
        <v>0.1</v>
      </c>
      <c r="K692" t="s">
        <v>40</v>
      </c>
      <c r="L692">
        <v>1659.7439999999999</v>
      </c>
      <c r="M692" t="s">
        <v>43</v>
      </c>
      <c r="O692">
        <v>1</v>
      </c>
      <c r="P692" t="s">
        <v>741</v>
      </c>
      <c r="Q692" t="s">
        <v>2213</v>
      </c>
      <c r="R692">
        <v>48.9</v>
      </c>
      <c r="S692" s="5">
        <v>45318</v>
      </c>
      <c r="T692" s="5">
        <v>45327</v>
      </c>
      <c r="U692" t="s">
        <v>2925</v>
      </c>
    </row>
    <row r="693" spans="1:21" x14ac:dyDescent="0.25">
      <c r="A693" s="5">
        <v>45803</v>
      </c>
      <c r="B693" s="7">
        <f>Table1[[#This Row],[TotalPrice]] * (1 - Table1[[#This Row],[Discount]])</f>
        <v>1212.327</v>
      </c>
      <c r="C693" s="7">
        <f>Table1[[#This Row],[Net Sales]] * 0.2</f>
        <v>242.46540000000002</v>
      </c>
      <c r="D693" t="s">
        <v>19</v>
      </c>
      <c r="E693" t="s">
        <v>30</v>
      </c>
      <c r="F693">
        <v>10</v>
      </c>
      <c r="G693">
        <v>149.66999999999999</v>
      </c>
      <c r="H693" t="s">
        <v>34</v>
      </c>
      <c r="I693" t="s">
        <v>36</v>
      </c>
      <c r="J693" s="3">
        <v>0.1</v>
      </c>
      <c r="K693" t="s">
        <v>40</v>
      </c>
      <c r="L693">
        <v>1347.03</v>
      </c>
      <c r="M693" t="s">
        <v>47</v>
      </c>
      <c r="N693" t="s">
        <v>48</v>
      </c>
      <c r="O693">
        <v>1</v>
      </c>
      <c r="P693" t="s">
        <v>742</v>
      </c>
      <c r="Q693" t="s">
        <v>2214</v>
      </c>
      <c r="R693">
        <v>49.67</v>
      </c>
      <c r="S693" s="5">
        <v>45803</v>
      </c>
      <c r="T693" s="5">
        <v>45810</v>
      </c>
      <c r="U693" t="s">
        <v>2922</v>
      </c>
    </row>
    <row r="694" spans="1:21" x14ac:dyDescent="0.25">
      <c r="A694" s="5">
        <v>45725</v>
      </c>
      <c r="B694" s="7">
        <f>Table1[[#This Row],[TotalPrice]] * (1 - Table1[[#This Row],[Discount]])</f>
        <v>506.41</v>
      </c>
      <c r="C694" s="7">
        <f>Table1[[#This Row],[Net Sales]] * 0.2</f>
        <v>101.28200000000001</v>
      </c>
      <c r="D694" t="s">
        <v>21</v>
      </c>
      <c r="E694" t="s">
        <v>25</v>
      </c>
      <c r="F694">
        <v>1</v>
      </c>
      <c r="G694">
        <v>506.41</v>
      </c>
      <c r="H694" t="s">
        <v>34</v>
      </c>
      <c r="I694" t="s">
        <v>35</v>
      </c>
      <c r="J694" s="3">
        <v>0</v>
      </c>
      <c r="K694" t="s">
        <v>42</v>
      </c>
      <c r="L694">
        <v>506.41</v>
      </c>
      <c r="M694" t="s">
        <v>47</v>
      </c>
      <c r="O694">
        <v>0</v>
      </c>
      <c r="P694" t="s">
        <v>743</v>
      </c>
      <c r="Q694" t="s">
        <v>2215</v>
      </c>
      <c r="R694">
        <v>17.899999999999999</v>
      </c>
      <c r="S694" s="5">
        <v>45725</v>
      </c>
      <c r="T694" s="5">
        <v>45733</v>
      </c>
      <c r="U694" t="s">
        <v>2924</v>
      </c>
    </row>
    <row r="695" spans="1:21" x14ac:dyDescent="0.25">
      <c r="A695" s="5">
        <v>45344</v>
      </c>
      <c r="B695" s="7">
        <f>Table1[[#This Row],[TotalPrice]] * (1 - Table1[[#This Row],[Discount]])</f>
        <v>1499.4765</v>
      </c>
      <c r="C695" s="7">
        <f>Table1[[#This Row],[Net Sales]] * 0.2</f>
        <v>299.89530000000002</v>
      </c>
      <c r="D695" t="s">
        <v>23</v>
      </c>
      <c r="E695" t="s">
        <v>29</v>
      </c>
      <c r="F695">
        <v>6</v>
      </c>
      <c r="G695">
        <v>345.9</v>
      </c>
      <c r="H695" t="s">
        <v>31</v>
      </c>
      <c r="I695" t="s">
        <v>36</v>
      </c>
      <c r="J695" s="3">
        <v>0.15</v>
      </c>
      <c r="K695" t="s">
        <v>39</v>
      </c>
      <c r="L695">
        <v>1764.09</v>
      </c>
      <c r="M695" t="s">
        <v>45</v>
      </c>
      <c r="N695" t="s">
        <v>50</v>
      </c>
      <c r="O695">
        <v>0</v>
      </c>
      <c r="P695" t="s">
        <v>744</v>
      </c>
      <c r="Q695" t="s">
        <v>2216</v>
      </c>
      <c r="R695">
        <v>30.58</v>
      </c>
      <c r="S695" s="5">
        <v>45344</v>
      </c>
      <c r="T695" s="5">
        <v>45354</v>
      </c>
      <c r="U695" t="s">
        <v>2926</v>
      </c>
    </row>
    <row r="696" spans="1:21" x14ac:dyDescent="0.25">
      <c r="A696" s="5">
        <v>45691</v>
      </c>
      <c r="B696" s="7">
        <f>Table1[[#This Row],[TotalPrice]] * (1 - Table1[[#This Row],[Discount]])</f>
        <v>3706.8585000000003</v>
      </c>
      <c r="C696" s="7">
        <f>Table1[[#This Row],[Net Sales]] * 0.2</f>
        <v>741.37170000000015</v>
      </c>
      <c r="D696" t="s">
        <v>19</v>
      </c>
      <c r="E696" t="s">
        <v>29</v>
      </c>
      <c r="F696">
        <v>15</v>
      </c>
      <c r="G696">
        <v>342.04</v>
      </c>
      <c r="H696" t="s">
        <v>33</v>
      </c>
      <c r="I696" t="s">
        <v>36</v>
      </c>
      <c r="J696" s="3">
        <v>0.15</v>
      </c>
      <c r="K696" t="s">
        <v>41</v>
      </c>
      <c r="L696">
        <v>4361.01</v>
      </c>
      <c r="M696" t="s">
        <v>44</v>
      </c>
      <c r="N696" t="s">
        <v>50</v>
      </c>
      <c r="O696">
        <v>0</v>
      </c>
      <c r="P696" t="s">
        <v>745</v>
      </c>
      <c r="Q696" t="s">
        <v>2217</v>
      </c>
      <c r="R696">
        <v>44.91</v>
      </c>
      <c r="S696" s="5">
        <v>45691</v>
      </c>
      <c r="T696" s="5">
        <v>45696</v>
      </c>
      <c r="U696" t="s">
        <v>2922</v>
      </c>
    </row>
    <row r="697" spans="1:21" x14ac:dyDescent="0.25">
      <c r="A697" s="5">
        <v>45300</v>
      </c>
      <c r="B697" s="7">
        <f>Table1[[#This Row],[TotalPrice]] * (1 - Table1[[#This Row],[Discount]])</f>
        <v>4019.4461999999999</v>
      </c>
      <c r="C697" s="7">
        <f>Table1[[#This Row],[Net Sales]] * 0.2</f>
        <v>803.88923999999997</v>
      </c>
      <c r="D697" t="s">
        <v>22</v>
      </c>
      <c r="E697" t="s">
        <v>30</v>
      </c>
      <c r="F697">
        <v>11</v>
      </c>
      <c r="G697">
        <v>404.88</v>
      </c>
      <c r="H697" t="s">
        <v>32</v>
      </c>
      <c r="I697" t="s">
        <v>35</v>
      </c>
      <c r="J697" s="3">
        <v>0.05</v>
      </c>
      <c r="K697" t="s">
        <v>38</v>
      </c>
      <c r="L697">
        <v>4230.9960000000001</v>
      </c>
      <c r="M697" t="s">
        <v>44</v>
      </c>
      <c r="N697" t="s">
        <v>49</v>
      </c>
      <c r="O697">
        <v>0</v>
      </c>
      <c r="P697" t="s">
        <v>746</v>
      </c>
      <c r="Q697" t="s">
        <v>2218</v>
      </c>
      <c r="R697">
        <v>18.920000000000002</v>
      </c>
      <c r="S697" s="5">
        <v>45300</v>
      </c>
      <c r="T697" s="5">
        <v>45307</v>
      </c>
      <c r="U697" t="s">
        <v>2925</v>
      </c>
    </row>
    <row r="698" spans="1:21" x14ac:dyDescent="0.25">
      <c r="A698" s="5">
        <v>45782</v>
      </c>
      <c r="B698" s="7">
        <f>Table1[[#This Row],[TotalPrice]] * (1 - Table1[[#This Row],[Discount]])</f>
        <v>2375.5063499999997</v>
      </c>
      <c r="C698" s="7">
        <f>Table1[[#This Row],[Net Sales]] * 0.2</f>
        <v>475.10126999999994</v>
      </c>
      <c r="D698" t="s">
        <v>21</v>
      </c>
      <c r="E698" t="s">
        <v>26</v>
      </c>
      <c r="F698">
        <v>9</v>
      </c>
      <c r="G698">
        <v>292.45999999999998</v>
      </c>
      <c r="H698" t="s">
        <v>32</v>
      </c>
      <c r="I698" t="s">
        <v>35</v>
      </c>
      <c r="J698" s="3">
        <v>0.05</v>
      </c>
      <c r="K698" t="s">
        <v>40</v>
      </c>
      <c r="L698">
        <v>2500.5329999999999</v>
      </c>
      <c r="M698" t="s">
        <v>45</v>
      </c>
      <c r="O698">
        <v>0</v>
      </c>
      <c r="P698" t="s">
        <v>747</v>
      </c>
      <c r="Q698" t="s">
        <v>2219</v>
      </c>
      <c r="R698">
        <v>34.26</v>
      </c>
      <c r="S698" s="5">
        <v>45782</v>
      </c>
      <c r="T698" s="5">
        <v>45791</v>
      </c>
      <c r="U698" t="s">
        <v>2924</v>
      </c>
    </row>
    <row r="699" spans="1:21" x14ac:dyDescent="0.25">
      <c r="A699" s="5">
        <v>45033</v>
      </c>
      <c r="B699" s="7">
        <f>Table1[[#This Row],[TotalPrice]] * (1 - Table1[[#This Row],[Discount]])</f>
        <v>2217.4965000000002</v>
      </c>
      <c r="C699" s="7">
        <f>Table1[[#This Row],[Net Sales]] * 0.2</f>
        <v>443.49930000000006</v>
      </c>
      <c r="D699" t="s">
        <v>22</v>
      </c>
      <c r="E699" t="s">
        <v>26</v>
      </c>
      <c r="F699">
        <v>5</v>
      </c>
      <c r="G699">
        <v>547.53</v>
      </c>
      <c r="H699" t="s">
        <v>32</v>
      </c>
      <c r="I699" t="s">
        <v>36</v>
      </c>
      <c r="J699" s="3">
        <v>0.1</v>
      </c>
      <c r="K699" t="s">
        <v>37</v>
      </c>
      <c r="L699">
        <v>2463.8850000000002</v>
      </c>
      <c r="M699" t="s">
        <v>46</v>
      </c>
      <c r="O699">
        <v>0</v>
      </c>
      <c r="P699" t="s">
        <v>748</v>
      </c>
      <c r="Q699" t="s">
        <v>2220</v>
      </c>
      <c r="R699">
        <v>24.68</v>
      </c>
      <c r="S699" s="5">
        <v>45033</v>
      </c>
      <c r="T699" s="5">
        <v>45037</v>
      </c>
      <c r="U699" t="s">
        <v>2925</v>
      </c>
    </row>
    <row r="700" spans="1:21" x14ac:dyDescent="0.25">
      <c r="A700" s="5">
        <v>45459</v>
      </c>
      <c r="B700" s="7">
        <f>Table1[[#This Row],[TotalPrice]] * (1 - Table1[[#This Row],[Discount]])</f>
        <v>4186.5599999999986</v>
      </c>
      <c r="C700" s="7">
        <f>Table1[[#This Row],[Net Sales]] * 0.2</f>
        <v>837.31199999999978</v>
      </c>
      <c r="D700" t="s">
        <v>20</v>
      </c>
      <c r="E700" t="s">
        <v>26</v>
      </c>
      <c r="F700">
        <v>12</v>
      </c>
      <c r="G700">
        <v>348.88</v>
      </c>
      <c r="H700" t="s">
        <v>33</v>
      </c>
      <c r="I700" t="s">
        <v>35</v>
      </c>
      <c r="J700" s="3">
        <v>0</v>
      </c>
      <c r="K700" t="s">
        <v>38</v>
      </c>
      <c r="L700">
        <v>4186.5599999999986</v>
      </c>
      <c r="M700" t="s">
        <v>45</v>
      </c>
      <c r="N700" t="s">
        <v>49</v>
      </c>
      <c r="O700">
        <v>0</v>
      </c>
      <c r="P700" t="s">
        <v>749</v>
      </c>
      <c r="Q700" t="s">
        <v>2221</v>
      </c>
      <c r="R700">
        <v>31.28</v>
      </c>
      <c r="S700" s="5">
        <v>45459</v>
      </c>
      <c r="T700" s="5">
        <v>45464</v>
      </c>
      <c r="U700" t="s">
        <v>2923</v>
      </c>
    </row>
    <row r="701" spans="1:21" x14ac:dyDescent="0.25">
      <c r="A701" s="5">
        <v>45597</v>
      </c>
      <c r="B701" s="7">
        <f>Table1[[#This Row],[TotalPrice]] * (1 - Table1[[#This Row],[Discount]])</f>
        <v>7290.45</v>
      </c>
      <c r="C701" s="7">
        <f>Table1[[#This Row],[Net Sales]] * 0.2</f>
        <v>1458.0900000000001</v>
      </c>
      <c r="D701" t="s">
        <v>20</v>
      </c>
      <c r="E701" t="s">
        <v>25</v>
      </c>
      <c r="F701">
        <v>15</v>
      </c>
      <c r="G701">
        <v>486.03</v>
      </c>
      <c r="H701" t="s">
        <v>33</v>
      </c>
      <c r="I701" t="s">
        <v>35</v>
      </c>
      <c r="J701" s="3">
        <v>0</v>
      </c>
      <c r="K701" t="s">
        <v>38</v>
      </c>
      <c r="L701">
        <v>7290.45</v>
      </c>
      <c r="M701" t="s">
        <v>46</v>
      </c>
      <c r="N701" t="s">
        <v>50</v>
      </c>
      <c r="O701">
        <v>0</v>
      </c>
      <c r="P701" t="s">
        <v>750</v>
      </c>
      <c r="Q701" t="s">
        <v>2222</v>
      </c>
      <c r="R701">
        <v>14.9</v>
      </c>
      <c r="S701" s="5">
        <v>45597</v>
      </c>
      <c r="T701" s="5">
        <v>45600</v>
      </c>
      <c r="U701" t="s">
        <v>2923</v>
      </c>
    </row>
    <row r="702" spans="1:21" x14ac:dyDescent="0.25">
      <c r="A702" s="5">
        <v>45695</v>
      </c>
      <c r="B702" s="7">
        <f>Table1[[#This Row],[TotalPrice]] * (1 - Table1[[#This Row],[Discount]])</f>
        <v>1609.19535</v>
      </c>
      <c r="C702" s="7">
        <f>Table1[[#This Row],[Net Sales]] * 0.2</f>
        <v>321.83906999999999</v>
      </c>
      <c r="D702" t="s">
        <v>19</v>
      </c>
      <c r="E702" t="s">
        <v>29</v>
      </c>
      <c r="F702">
        <v>14</v>
      </c>
      <c r="G702">
        <v>159.09</v>
      </c>
      <c r="H702" t="s">
        <v>33</v>
      </c>
      <c r="I702" t="s">
        <v>36</v>
      </c>
      <c r="J702" s="3">
        <v>0.15</v>
      </c>
      <c r="K702" t="s">
        <v>42</v>
      </c>
      <c r="L702">
        <v>1893.171</v>
      </c>
      <c r="M702" t="s">
        <v>46</v>
      </c>
      <c r="N702" t="s">
        <v>48</v>
      </c>
      <c r="O702">
        <v>0</v>
      </c>
      <c r="P702" t="s">
        <v>751</v>
      </c>
      <c r="Q702" t="s">
        <v>2223</v>
      </c>
      <c r="R702">
        <v>27.05</v>
      </c>
      <c r="S702" s="5">
        <v>45695</v>
      </c>
      <c r="T702" s="5">
        <v>45698</v>
      </c>
      <c r="U702" t="s">
        <v>2922</v>
      </c>
    </row>
    <row r="703" spans="1:21" x14ac:dyDescent="0.25">
      <c r="A703" s="5">
        <v>45620</v>
      </c>
      <c r="B703" s="7">
        <f>Table1[[#This Row],[TotalPrice]] * (1 - Table1[[#This Row],[Discount]])</f>
        <v>1506.7592999999999</v>
      </c>
      <c r="C703" s="7">
        <f>Table1[[#This Row],[Net Sales]] * 0.2</f>
        <v>301.35185999999999</v>
      </c>
      <c r="D703" t="s">
        <v>20</v>
      </c>
      <c r="E703" t="s">
        <v>28</v>
      </c>
      <c r="F703">
        <v>12</v>
      </c>
      <c r="G703">
        <v>173.79</v>
      </c>
      <c r="H703" t="s">
        <v>34</v>
      </c>
      <c r="I703" t="s">
        <v>36</v>
      </c>
      <c r="J703" s="3">
        <v>0.15</v>
      </c>
      <c r="K703" t="s">
        <v>37</v>
      </c>
      <c r="L703">
        <v>1772.6579999999999</v>
      </c>
      <c r="M703" t="s">
        <v>45</v>
      </c>
      <c r="O703">
        <v>0</v>
      </c>
      <c r="P703" t="s">
        <v>752</v>
      </c>
      <c r="Q703" t="s">
        <v>2224</v>
      </c>
      <c r="R703">
        <v>21.23</v>
      </c>
      <c r="S703" s="5">
        <v>45620</v>
      </c>
      <c r="T703" s="5">
        <v>45630</v>
      </c>
      <c r="U703" t="s">
        <v>2923</v>
      </c>
    </row>
    <row r="704" spans="1:21" x14ac:dyDescent="0.25">
      <c r="A704" s="5">
        <v>45405</v>
      </c>
      <c r="B704" s="7">
        <f>Table1[[#This Row],[TotalPrice]] * (1 - Table1[[#This Row],[Discount]])</f>
        <v>5716.75</v>
      </c>
      <c r="C704" s="7">
        <f>Table1[[#This Row],[Net Sales]] * 0.2</f>
        <v>1143.3500000000001</v>
      </c>
      <c r="D704" t="s">
        <v>22</v>
      </c>
      <c r="E704" t="s">
        <v>28</v>
      </c>
      <c r="F704">
        <v>13</v>
      </c>
      <c r="G704">
        <v>439.75</v>
      </c>
      <c r="H704" t="s">
        <v>32</v>
      </c>
      <c r="I704" t="s">
        <v>35</v>
      </c>
      <c r="J704" s="3">
        <v>0</v>
      </c>
      <c r="K704" t="s">
        <v>39</v>
      </c>
      <c r="L704">
        <v>5716.75</v>
      </c>
      <c r="M704" t="s">
        <v>43</v>
      </c>
      <c r="O704">
        <v>1</v>
      </c>
      <c r="P704" t="s">
        <v>753</v>
      </c>
      <c r="Q704" t="s">
        <v>1848</v>
      </c>
      <c r="R704">
        <v>12.23</v>
      </c>
      <c r="S704" s="5">
        <v>45405</v>
      </c>
      <c r="T704" s="5">
        <v>45414</v>
      </c>
      <c r="U704" t="s">
        <v>2925</v>
      </c>
    </row>
    <row r="705" spans="1:21" x14ac:dyDescent="0.25">
      <c r="A705" s="5">
        <v>45467</v>
      </c>
      <c r="B705" s="7">
        <f>Table1[[#This Row],[TotalPrice]] * (1 - Table1[[#This Row],[Discount]])</f>
        <v>2155.9551750000001</v>
      </c>
      <c r="C705" s="7">
        <f>Table1[[#This Row],[Net Sales]] * 0.2</f>
        <v>431.19103500000006</v>
      </c>
      <c r="D705" t="s">
        <v>19</v>
      </c>
      <c r="E705" t="s">
        <v>24</v>
      </c>
      <c r="F705">
        <v>9</v>
      </c>
      <c r="G705">
        <v>265.43</v>
      </c>
      <c r="H705" t="s">
        <v>34</v>
      </c>
      <c r="I705" t="s">
        <v>35</v>
      </c>
      <c r="J705" s="3">
        <v>0.05</v>
      </c>
      <c r="K705" t="s">
        <v>37</v>
      </c>
      <c r="L705">
        <v>2269.4265</v>
      </c>
      <c r="M705" t="s">
        <v>45</v>
      </c>
      <c r="N705" t="s">
        <v>48</v>
      </c>
      <c r="O705">
        <v>0</v>
      </c>
      <c r="P705" t="s">
        <v>754</v>
      </c>
      <c r="Q705" t="s">
        <v>2225</v>
      </c>
      <c r="R705">
        <v>40.18</v>
      </c>
      <c r="S705" s="5">
        <v>45467</v>
      </c>
      <c r="T705" s="5">
        <v>45470</v>
      </c>
      <c r="U705" t="s">
        <v>2922</v>
      </c>
    </row>
    <row r="706" spans="1:21" x14ac:dyDescent="0.25">
      <c r="A706" s="5">
        <v>45809</v>
      </c>
      <c r="B706" s="7">
        <f>Table1[[#This Row],[TotalPrice]] * (1 - Table1[[#This Row],[Discount]])</f>
        <v>2821.5216</v>
      </c>
      <c r="C706" s="7">
        <f>Table1[[#This Row],[Net Sales]] * 0.2</f>
        <v>564.30432000000008</v>
      </c>
      <c r="D706" t="s">
        <v>23</v>
      </c>
      <c r="E706" t="s">
        <v>28</v>
      </c>
      <c r="F706">
        <v>12</v>
      </c>
      <c r="G706">
        <v>290.27999999999997</v>
      </c>
      <c r="H706" t="s">
        <v>31</v>
      </c>
      <c r="I706" t="s">
        <v>36</v>
      </c>
      <c r="J706" s="3">
        <v>0.1</v>
      </c>
      <c r="K706" t="s">
        <v>40</v>
      </c>
      <c r="L706">
        <v>3135.0239999999999</v>
      </c>
      <c r="M706" t="s">
        <v>47</v>
      </c>
      <c r="N706" t="s">
        <v>48</v>
      </c>
      <c r="O706">
        <v>1</v>
      </c>
      <c r="P706" t="s">
        <v>755</v>
      </c>
      <c r="Q706" t="s">
        <v>2226</v>
      </c>
      <c r="R706">
        <v>5.55</v>
      </c>
      <c r="S706" s="5">
        <v>45809</v>
      </c>
      <c r="T706" s="5">
        <v>45815</v>
      </c>
      <c r="U706" t="s">
        <v>2926</v>
      </c>
    </row>
    <row r="707" spans="1:21" x14ac:dyDescent="0.25">
      <c r="A707" s="5">
        <v>44997</v>
      </c>
      <c r="B707" s="7">
        <f>Table1[[#This Row],[TotalPrice]] * (1 - Table1[[#This Row],[Discount]])</f>
        <v>532.20000000000005</v>
      </c>
      <c r="C707" s="7">
        <f>Table1[[#This Row],[Net Sales]] * 0.2</f>
        <v>106.44000000000001</v>
      </c>
      <c r="D707" t="s">
        <v>23</v>
      </c>
      <c r="E707" t="s">
        <v>29</v>
      </c>
      <c r="F707">
        <v>6</v>
      </c>
      <c r="G707">
        <v>88.7</v>
      </c>
      <c r="H707" t="s">
        <v>31</v>
      </c>
      <c r="I707" t="s">
        <v>35</v>
      </c>
      <c r="J707" s="3">
        <v>0</v>
      </c>
      <c r="K707" t="s">
        <v>40</v>
      </c>
      <c r="L707">
        <v>532.20000000000005</v>
      </c>
      <c r="M707" t="s">
        <v>44</v>
      </c>
      <c r="O707">
        <v>0</v>
      </c>
      <c r="P707" t="s">
        <v>756</v>
      </c>
      <c r="Q707" t="s">
        <v>2227</v>
      </c>
      <c r="R707">
        <v>16.98</v>
      </c>
      <c r="S707" s="5">
        <v>44997</v>
      </c>
      <c r="T707" s="5">
        <v>44999</v>
      </c>
      <c r="U707" t="s">
        <v>2926</v>
      </c>
    </row>
    <row r="708" spans="1:21" x14ac:dyDescent="0.25">
      <c r="A708" s="5">
        <v>45607</v>
      </c>
      <c r="B708" s="7">
        <f>Table1[[#This Row],[TotalPrice]] * (1 - Table1[[#This Row],[Discount]])</f>
        <v>479.38</v>
      </c>
      <c r="C708" s="7">
        <f>Table1[[#This Row],[Net Sales]] * 0.2</f>
        <v>95.876000000000005</v>
      </c>
      <c r="D708" t="s">
        <v>22</v>
      </c>
      <c r="E708" t="s">
        <v>26</v>
      </c>
      <c r="F708">
        <v>2</v>
      </c>
      <c r="G708">
        <v>239.69</v>
      </c>
      <c r="H708" t="s">
        <v>33</v>
      </c>
      <c r="I708" t="s">
        <v>36</v>
      </c>
      <c r="J708" s="3">
        <v>0</v>
      </c>
      <c r="K708" t="s">
        <v>41</v>
      </c>
      <c r="L708">
        <v>479.38</v>
      </c>
      <c r="M708" t="s">
        <v>45</v>
      </c>
      <c r="N708" t="s">
        <v>50</v>
      </c>
      <c r="O708">
        <v>0</v>
      </c>
      <c r="P708" t="s">
        <v>757</v>
      </c>
      <c r="Q708" t="s">
        <v>2228</v>
      </c>
      <c r="R708">
        <v>28.96</v>
      </c>
      <c r="S708" s="5">
        <v>45607</v>
      </c>
      <c r="T708" s="5">
        <v>45615</v>
      </c>
      <c r="U708" t="s">
        <v>2925</v>
      </c>
    </row>
    <row r="709" spans="1:21" x14ac:dyDescent="0.25">
      <c r="A709" s="5">
        <v>45582</v>
      </c>
      <c r="B709" s="7">
        <f>Table1[[#This Row],[TotalPrice]] * (1 - Table1[[#This Row],[Discount]])</f>
        <v>257.83920000000001</v>
      </c>
      <c r="C709" s="7">
        <f>Table1[[#This Row],[Net Sales]] * 0.2</f>
        <v>51.567840000000004</v>
      </c>
      <c r="D709" t="s">
        <v>22</v>
      </c>
      <c r="E709" t="s">
        <v>29</v>
      </c>
      <c r="F709">
        <v>8</v>
      </c>
      <c r="G709">
        <v>39.79</v>
      </c>
      <c r="H709" t="s">
        <v>33</v>
      </c>
      <c r="I709" t="s">
        <v>36</v>
      </c>
      <c r="J709" s="3">
        <v>0.1</v>
      </c>
      <c r="K709" t="s">
        <v>42</v>
      </c>
      <c r="L709">
        <v>286.488</v>
      </c>
      <c r="M709" t="s">
        <v>45</v>
      </c>
      <c r="N709" t="s">
        <v>49</v>
      </c>
      <c r="O709">
        <v>0</v>
      </c>
      <c r="P709" t="s">
        <v>758</v>
      </c>
      <c r="Q709" t="s">
        <v>2229</v>
      </c>
      <c r="R709">
        <v>46.16</v>
      </c>
      <c r="S709" s="5">
        <v>45582</v>
      </c>
      <c r="T709" s="5">
        <v>45591</v>
      </c>
      <c r="U709" t="s">
        <v>2925</v>
      </c>
    </row>
    <row r="710" spans="1:21" x14ac:dyDescent="0.25">
      <c r="A710" s="5">
        <v>45056</v>
      </c>
      <c r="B710" s="7">
        <f>Table1[[#This Row],[TotalPrice]] * (1 - Table1[[#This Row],[Discount]])</f>
        <v>3359.4659999999999</v>
      </c>
      <c r="C710" s="7">
        <f>Table1[[#This Row],[Net Sales]] * 0.2</f>
        <v>671.89319999999998</v>
      </c>
      <c r="D710" t="s">
        <v>19</v>
      </c>
      <c r="E710" t="s">
        <v>30</v>
      </c>
      <c r="F710">
        <v>18</v>
      </c>
      <c r="G710">
        <v>206.8</v>
      </c>
      <c r="H710" t="s">
        <v>32</v>
      </c>
      <c r="I710" t="s">
        <v>36</v>
      </c>
      <c r="J710" s="3">
        <v>0.05</v>
      </c>
      <c r="K710" t="s">
        <v>39</v>
      </c>
      <c r="L710">
        <v>3536.28</v>
      </c>
      <c r="M710" t="s">
        <v>46</v>
      </c>
      <c r="N710" t="s">
        <v>48</v>
      </c>
      <c r="O710">
        <v>1</v>
      </c>
      <c r="P710" t="s">
        <v>759</v>
      </c>
      <c r="Q710" t="s">
        <v>2230</v>
      </c>
      <c r="R710">
        <v>39.25</v>
      </c>
      <c r="S710" s="5">
        <v>45056</v>
      </c>
      <c r="T710" s="5">
        <v>45059</v>
      </c>
      <c r="U710" t="s">
        <v>2922</v>
      </c>
    </row>
    <row r="711" spans="1:21" x14ac:dyDescent="0.25">
      <c r="A711" s="5">
        <v>45136</v>
      </c>
      <c r="B711" s="7">
        <f>Table1[[#This Row],[TotalPrice]] * (1 - Table1[[#This Row],[Discount]])</f>
        <v>3164.58</v>
      </c>
      <c r="C711" s="7">
        <f>Table1[[#This Row],[Net Sales]] * 0.2</f>
        <v>632.91600000000005</v>
      </c>
      <c r="D711" t="s">
        <v>19</v>
      </c>
      <c r="E711" t="s">
        <v>24</v>
      </c>
      <c r="F711">
        <v>18</v>
      </c>
      <c r="G711">
        <v>175.81</v>
      </c>
      <c r="H711" t="s">
        <v>33</v>
      </c>
      <c r="I711" t="s">
        <v>36</v>
      </c>
      <c r="J711" s="3">
        <v>0</v>
      </c>
      <c r="K711" t="s">
        <v>37</v>
      </c>
      <c r="L711">
        <v>3164.58</v>
      </c>
      <c r="M711" t="s">
        <v>44</v>
      </c>
      <c r="N711" t="s">
        <v>50</v>
      </c>
      <c r="O711">
        <v>1</v>
      </c>
      <c r="P711" t="s">
        <v>760</v>
      </c>
      <c r="Q711" t="s">
        <v>2231</v>
      </c>
      <c r="R711">
        <v>26.97</v>
      </c>
      <c r="S711" s="5">
        <v>45136</v>
      </c>
      <c r="T711" s="5">
        <v>45145</v>
      </c>
      <c r="U711" t="s">
        <v>2922</v>
      </c>
    </row>
    <row r="712" spans="1:21" x14ac:dyDescent="0.25">
      <c r="A712" s="5">
        <v>45164</v>
      </c>
      <c r="B712" s="7">
        <f>Table1[[#This Row],[TotalPrice]] * (1 - Table1[[#This Row],[Discount]])</f>
        <v>5536.5463999999993</v>
      </c>
      <c r="C712" s="7">
        <f>Table1[[#This Row],[Net Sales]] * 0.2</f>
        <v>1107.3092799999999</v>
      </c>
      <c r="D712" t="s">
        <v>22</v>
      </c>
      <c r="E712" t="s">
        <v>25</v>
      </c>
      <c r="F712">
        <v>14</v>
      </c>
      <c r="G712">
        <v>547.36</v>
      </c>
      <c r="H712" t="s">
        <v>33</v>
      </c>
      <c r="I712" t="s">
        <v>36</v>
      </c>
      <c r="J712" s="3">
        <v>0.15</v>
      </c>
      <c r="K712" t="s">
        <v>41</v>
      </c>
      <c r="L712">
        <v>6513.5839999999998</v>
      </c>
      <c r="M712" t="s">
        <v>43</v>
      </c>
      <c r="N712" t="s">
        <v>48</v>
      </c>
      <c r="O712">
        <v>0</v>
      </c>
      <c r="P712" t="s">
        <v>761</v>
      </c>
      <c r="Q712" t="s">
        <v>2232</v>
      </c>
      <c r="R712">
        <v>25.24</v>
      </c>
      <c r="S712" s="5">
        <v>45164</v>
      </c>
      <c r="T712" s="5">
        <v>45167</v>
      </c>
      <c r="U712" t="s">
        <v>2925</v>
      </c>
    </row>
    <row r="713" spans="1:21" x14ac:dyDescent="0.25">
      <c r="A713" s="5">
        <v>45288</v>
      </c>
      <c r="B713" s="7">
        <f>Table1[[#This Row],[TotalPrice]] * (1 - Table1[[#This Row],[Discount]])</f>
        <v>6426.8829999999989</v>
      </c>
      <c r="C713" s="7">
        <f>Table1[[#This Row],[Net Sales]] * 0.2</f>
        <v>1285.3765999999998</v>
      </c>
      <c r="D713" t="s">
        <v>19</v>
      </c>
      <c r="E713" t="s">
        <v>24</v>
      </c>
      <c r="F713">
        <v>19</v>
      </c>
      <c r="G713">
        <v>374.8</v>
      </c>
      <c r="H713" t="s">
        <v>32</v>
      </c>
      <c r="I713" t="s">
        <v>36</v>
      </c>
      <c r="J713" s="3">
        <v>0.05</v>
      </c>
      <c r="K713" t="s">
        <v>40</v>
      </c>
      <c r="L713">
        <v>6765.1399999999994</v>
      </c>
      <c r="M713" t="s">
        <v>43</v>
      </c>
      <c r="N713" t="s">
        <v>50</v>
      </c>
      <c r="O713">
        <v>0</v>
      </c>
      <c r="P713" t="s">
        <v>762</v>
      </c>
      <c r="Q713" t="s">
        <v>2233</v>
      </c>
      <c r="R713">
        <v>41.67</v>
      </c>
      <c r="S713" s="5">
        <v>45288</v>
      </c>
      <c r="T713" s="5">
        <v>45294</v>
      </c>
      <c r="U713" t="s">
        <v>2922</v>
      </c>
    </row>
    <row r="714" spans="1:21" x14ac:dyDescent="0.25">
      <c r="A714" s="5">
        <v>45726</v>
      </c>
      <c r="B714" s="7">
        <f>Table1[[#This Row],[TotalPrice]] * (1 - Table1[[#This Row],[Discount]])</f>
        <v>3301.5793499999995</v>
      </c>
      <c r="C714" s="7">
        <f>Table1[[#This Row],[Net Sales]] * 0.2</f>
        <v>660.3158699999999</v>
      </c>
      <c r="D714" t="s">
        <v>21</v>
      </c>
      <c r="E714" t="s">
        <v>29</v>
      </c>
      <c r="F714">
        <v>9</v>
      </c>
      <c r="G714">
        <v>507.74</v>
      </c>
      <c r="H714" t="s">
        <v>34</v>
      </c>
      <c r="I714" t="s">
        <v>36</v>
      </c>
      <c r="J714" s="3">
        <v>0.15</v>
      </c>
      <c r="K714" t="s">
        <v>42</v>
      </c>
      <c r="L714">
        <v>3884.2109999999998</v>
      </c>
      <c r="M714" t="s">
        <v>47</v>
      </c>
      <c r="N714" t="s">
        <v>48</v>
      </c>
      <c r="O714">
        <v>1</v>
      </c>
      <c r="P714" t="s">
        <v>763</v>
      </c>
      <c r="Q714" t="s">
        <v>2234</v>
      </c>
      <c r="R714">
        <v>22.08</v>
      </c>
      <c r="S714" s="5">
        <v>45726</v>
      </c>
      <c r="T714" s="5">
        <v>45733</v>
      </c>
      <c r="U714" t="s">
        <v>2924</v>
      </c>
    </row>
    <row r="715" spans="1:21" x14ac:dyDescent="0.25">
      <c r="A715" s="5">
        <v>45178</v>
      </c>
      <c r="B715" s="7">
        <f>Table1[[#This Row],[TotalPrice]] * (1 - Table1[[#This Row],[Discount]])</f>
        <v>161.52209999999999</v>
      </c>
      <c r="C715" s="7">
        <f>Table1[[#This Row],[Net Sales]] * 0.2</f>
        <v>32.30442</v>
      </c>
      <c r="D715" t="s">
        <v>22</v>
      </c>
      <c r="E715" t="s">
        <v>26</v>
      </c>
      <c r="F715">
        <v>1</v>
      </c>
      <c r="G715">
        <v>223.56</v>
      </c>
      <c r="H715" t="s">
        <v>31</v>
      </c>
      <c r="I715" t="s">
        <v>35</v>
      </c>
      <c r="J715" s="3">
        <v>0.15</v>
      </c>
      <c r="K715" t="s">
        <v>42</v>
      </c>
      <c r="L715">
        <v>190.02600000000001</v>
      </c>
      <c r="M715" t="s">
        <v>45</v>
      </c>
      <c r="N715" t="s">
        <v>50</v>
      </c>
      <c r="O715">
        <v>0</v>
      </c>
      <c r="P715" t="s">
        <v>764</v>
      </c>
      <c r="Q715" t="s">
        <v>2235</v>
      </c>
      <c r="R715">
        <v>37.840000000000003</v>
      </c>
      <c r="S715" s="5">
        <v>45178</v>
      </c>
      <c r="T715" s="5">
        <v>45183</v>
      </c>
      <c r="U715" t="s">
        <v>2925</v>
      </c>
    </row>
    <row r="716" spans="1:21" x14ac:dyDescent="0.25">
      <c r="A716" s="5">
        <v>45074</v>
      </c>
      <c r="B716" s="7">
        <f>Table1[[#This Row],[TotalPrice]] * (1 - Table1[[#This Row],[Discount]])</f>
        <v>476.71740000000005</v>
      </c>
      <c r="C716" s="7">
        <f>Table1[[#This Row],[Net Sales]] * 0.2</f>
        <v>95.343480000000014</v>
      </c>
      <c r="D716" t="s">
        <v>21</v>
      </c>
      <c r="E716" t="s">
        <v>29</v>
      </c>
      <c r="F716">
        <v>2</v>
      </c>
      <c r="G716">
        <v>294.27</v>
      </c>
      <c r="H716" t="s">
        <v>33</v>
      </c>
      <c r="I716" t="s">
        <v>36</v>
      </c>
      <c r="J716" s="3">
        <v>0.1</v>
      </c>
      <c r="K716" t="s">
        <v>41</v>
      </c>
      <c r="L716">
        <v>529.68600000000004</v>
      </c>
      <c r="M716" t="s">
        <v>44</v>
      </c>
      <c r="O716">
        <v>0</v>
      </c>
      <c r="P716" t="s">
        <v>765</v>
      </c>
      <c r="Q716" t="s">
        <v>2236</v>
      </c>
      <c r="R716">
        <v>9.0500000000000007</v>
      </c>
      <c r="S716" s="5">
        <v>45074</v>
      </c>
      <c r="T716" s="5">
        <v>45078</v>
      </c>
      <c r="U716" t="s">
        <v>2924</v>
      </c>
    </row>
    <row r="717" spans="1:21" x14ac:dyDescent="0.25">
      <c r="A717" s="5">
        <v>45798</v>
      </c>
      <c r="B717" s="7">
        <f>Table1[[#This Row],[TotalPrice]] * (1 - Table1[[#This Row],[Discount]])</f>
        <v>230.831525</v>
      </c>
      <c r="C717" s="7">
        <f>Table1[[#This Row],[Net Sales]] * 0.2</f>
        <v>46.166305000000001</v>
      </c>
      <c r="D717" t="s">
        <v>23</v>
      </c>
      <c r="E717" t="s">
        <v>28</v>
      </c>
      <c r="F717">
        <v>1</v>
      </c>
      <c r="G717">
        <v>319.49</v>
      </c>
      <c r="H717" t="s">
        <v>33</v>
      </c>
      <c r="I717" t="s">
        <v>35</v>
      </c>
      <c r="J717" s="3">
        <v>0.15</v>
      </c>
      <c r="K717" t="s">
        <v>41</v>
      </c>
      <c r="L717">
        <v>271.56650000000002</v>
      </c>
      <c r="M717" t="s">
        <v>43</v>
      </c>
      <c r="N717" t="s">
        <v>48</v>
      </c>
      <c r="O717">
        <v>1</v>
      </c>
      <c r="P717" t="s">
        <v>766</v>
      </c>
      <c r="Q717" t="s">
        <v>2237</v>
      </c>
      <c r="R717">
        <v>18.100000000000001</v>
      </c>
      <c r="S717" s="5">
        <v>45798</v>
      </c>
      <c r="T717" s="5">
        <v>45808</v>
      </c>
      <c r="U717" t="s">
        <v>2926</v>
      </c>
    </row>
    <row r="718" spans="1:21" x14ac:dyDescent="0.25">
      <c r="A718" s="5">
        <v>45199</v>
      </c>
      <c r="B718" s="7">
        <f>Table1[[#This Row],[TotalPrice]] * (1 - Table1[[#This Row],[Discount]])</f>
        <v>3082.4346</v>
      </c>
      <c r="C718" s="7">
        <f>Table1[[#This Row],[Net Sales]] * 0.2</f>
        <v>616.48692000000005</v>
      </c>
      <c r="D718" t="s">
        <v>19</v>
      </c>
      <c r="E718" t="s">
        <v>24</v>
      </c>
      <c r="F718">
        <v>14</v>
      </c>
      <c r="G718">
        <v>243.96</v>
      </c>
      <c r="H718" t="s">
        <v>34</v>
      </c>
      <c r="I718" t="s">
        <v>35</v>
      </c>
      <c r="J718" s="3">
        <v>0.05</v>
      </c>
      <c r="K718" t="s">
        <v>41</v>
      </c>
      <c r="L718">
        <v>3244.6680000000001</v>
      </c>
      <c r="M718" t="s">
        <v>43</v>
      </c>
      <c r="O718">
        <v>1</v>
      </c>
      <c r="P718" t="s">
        <v>767</v>
      </c>
      <c r="Q718" t="s">
        <v>2238</v>
      </c>
      <c r="R718">
        <v>13.24</v>
      </c>
      <c r="S718" s="5">
        <v>45199</v>
      </c>
      <c r="T718" s="5">
        <v>45203</v>
      </c>
      <c r="U718" t="s">
        <v>2922</v>
      </c>
    </row>
    <row r="719" spans="1:21" x14ac:dyDescent="0.25">
      <c r="A719" s="5">
        <v>45573</v>
      </c>
      <c r="B719" s="7">
        <f>Table1[[#This Row],[TotalPrice]] * (1 - Table1[[#This Row],[Discount]])</f>
        <v>235.61279999999999</v>
      </c>
      <c r="C719" s="7">
        <f>Table1[[#This Row],[Net Sales]] * 0.2</f>
        <v>47.12256</v>
      </c>
      <c r="D719" t="s">
        <v>20</v>
      </c>
      <c r="E719" t="s">
        <v>24</v>
      </c>
      <c r="F719">
        <v>6</v>
      </c>
      <c r="G719">
        <v>48.48</v>
      </c>
      <c r="H719" t="s">
        <v>34</v>
      </c>
      <c r="I719" t="s">
        <v>36</v>
      </c>
      <c r="J719" s="3">
        <v>0.1</v>
      </c>
      <c r="K719" t="s">
        <v>41</v>
      </c>
      <c r="L719">
        <v>261.79199999999997</v>
      </c>
      <c r="M719" t="s">
        <v>43</v>
      </c>
      <c r="O719">
        <v>0</v>
      </c>
      <c r="P719" t="s">
        <v>768</v>
      </c>
      <c r="Q719" t="s">
        <v>2239</v>
      </c>
      <c r="R719">
        <v>6.11</v>
      </c>
      <c r="S719" s="5">
        <v>45573</v>
      </c>
      <c r="T719" s="5">
        <v>45578</v>
      </c>
      <c r="U719" t="s">
        <v>2923</v>
      </c>
    </row>
    <row r="720" spans="1:21" x14ac:dyDescent="0.25">
      <c r="A720" s="5">
        <v>45030</v>
      </c>
      <c r="B720" s="7">
        <f>Table1[[#This Row],[TotalPrice]] * (1 - Table1[[#This Row],[Discount]])</f>
        <v>1749.4</v>
      </c>
      <c r="C720" s="7">
        <f>Table1[[#This Row],[Net Sales]] * 0.2</f>
        <v>349.88000000000005</v>
      </c>
      <c r="D720" t="s">
        <v>19</v>
      </c>
      <c r="E720" t="s">
        <v>24</v>
      </c>
      <c r="F720">
        <v>20</v>
      </c>
      <c r="G720">
        <v>87.47</v>
      </c>
      <c r="H720" t="s">
        <v>31</v>
      </c>
      <c r="I720" t="s">
        <v>36</v>
      </c>
      <c r="J720" s="3">
        <v>0</v>
      </c>
      <c r="K720" t="s">
        <v>40</v>
      </c>
      <c r="L720">
        <v>1749.4</v>
      </c>
      <c r="M720" t="s">
        <v>43</v>
      </c>
      <c r="N720" t="s">
        <v>50</v>
      </c>
      <c r="O720">
        <v>0</v>
      </c>
      <c r="P720" t="s">
        <v>769</v>
      </c>
      <c r="Q720" t="s">
        <v>2240</v>
      </c>
      <c r="R720">
        <v>48.48</v>
      </c>
      <c r="S720" s="5">
        <v>45030</v>
      </c>
      <c r="T720" s="5">
        <v>45039</v>
      </c>
      <c r="U720" t="s">
        <v>2922</v>
      </c>
    </row>
    <row r="721" spans="1:21" x14ac:dyDescent="0.25">
      <c r="A721" s="5">
        <v>44990</v>
      </c>
      <c r="B721" s="7">
        <f>Table1[[#This Row],[TotalPrice]] * (1 - Table1[[#This Row],[Discount]])</f>
        <v>6411.3120000000008</v>
      </c>
      <c r="C721" s="7">
        <f>Table1[[#This Row],[Net Sales]] * 0.2</f>
        <v>1282.2624000000003</v>
      </c>
      <c r="D721" t="s">
        <v>20</v>
      </c>
      <c r="E721" t="s">
        <v>28</v>
      </c>
      <c r="F721">
        <v>17</v>
      </c>
      <c r="G721">
        <v>465.6</v>
      </c>
      <c r="H721" t="s">
        <v>33</v>
      </c>
      <c r="I721" t="s">
        <v>36</v>
      </c>
      <c r="J721" s="3">
        <v>0.1</v>
      </c>
      <c r="K721" t="s">
        <v>42</v>
      </c>
      <c r="L721">
        <v>7123.6800000000012</v>
      </c>
      <c r="M721" t="s">
        <v>46</v>
      </c>
      <c r="N721" t="s">
        <v>49</v>
      </c>
      <c r="O721">
        <v>0</v>
      </c>
      <c r="P721" t="s">
        <v>770</v>
      </c>
      <c r="Q721" t="s">
        <v>2241</v>
      </c>
      <c r="R721">
        <v>7.76</v>
      </c>
      <c r="S721" s="5">
        <v>44990</v>
      </c>
      <c r="T721" s="5">
        <v>44995</v>
      </c>
      <c r="U721" t="s">
        <v>2923</v>
      </c>
    </row>
    <row r="722" spans="1:21" x14ac:dyDescent="0.25">
      <c r="A722" s="5">
        <v>45490</v>
      </c>
      <c r="B722" s="7">
        <f>Table1[[#This Row],[TotalPrice]] * (1 - Table1[[#This Row],[Discount]])</f>
        <v>4286.3876499999997</v>
      </c>
      <c r="C722" s="7">
        <f>Table1[[#This Row],[Net Sales]] * 0.2</f>
        <v>857.27752999999996</v>
      </c>
      <c r="D722" t="s">
        <v>21</v>
      </c>
      <c r="E722" t="s">
        <v>26</v>
      </c>
      <c r="F722">
        <v>17</v>
      </c>
      <c r="G722">
        <v>279.38</v>
      </c>
      <c r="H722" t="s">
        <v>31</v>
      </c>
      <c r="I722" t="s">
        <v>35</v>
      </c>
      <c r="J722" s="3">
        <v>0.05</v>
      </c>
      <c r="K722" t="s">
        <v>39</v>
      </c>
      <c r="L722">
        <v>4511.9870000000001</v>
      </c>
      <c r="M722" t="s">
        <v>45</v>
      </c>
      <c r="N722" t="s">
        <v>50</v>
      </c>
      <c r="O722">
        <v>0</v>
      </c>
      <c r="P722" t="s">
        <v>771</v>
      </c>
      <c r="Q722" t="s">
        <v>2242</v>
      </c>
      <c r="R722">
        <v>30.3</v>
      </c>
      <c r="S722" s="5">
        <v>45490</v>
      </c>
      <c r="T722" s="5">
        <v>45493</v>
      </c>
      <c r="U722" t="s">
        <v>2924</v>
      </c>
    </row>
    <row r="723" spans="1:21" x14ac:dyDescent="0.25">
      <c r="A723" s="5">
        <v>45432</v>
      </c>
      <c r="B723" s="7">
        <f>Table1[[#This Row],[TotalPrice]] * (1 - Table1[[#This Row],[Discount]])</f>
        <v>5542.7328000000007</v>
      </c>
      <c r="C723" s="7">
        <f>Table1[[#This Row],[Net Sales]] * 0.2</f>
        <v>1108.5465600000002</v>
      </c>
      <c r="D723" t="s">
        <v>21</v>
      </c>
      <c r="E723" t="s">
        <v>29</v>
      </c>
      <c r="F723">
        <v>16</v>
      </c>
      <c r="G723">
        <v>427.68</v>
      </c>
      <c r="H723" t="s">
        <v>32</v>
      </c>
      <c r="I723" t="s">
        <v>36</v>
      </c>
      <c r="J723" s="3">
        <v>0.1</v>
      </c>
      <c r="K723" t="s">
        <v>40</v>
      </c>
      <c r="L723">
        <v>6158.5920000000006</v>
      </c>
      <c r="M723" t="s">
        <v>46</v>
      </c>
      <c r="O723">
        <v>0</v>
      </c>
      <c r="P723" t="s">
        <v>772</v>
      </c>
      <c r="Q723" t="s">
        <v>2243</v>
      </c>
      <c r="R723">
        <v>18.72</v>
      </c>
      <c r="S723" s="5">
        <v>45432</v>
      </c>
      <c r="T723" s="5">
        <v>45441</v>
      </c>
      <c r="U723" t="s">
        <v>2924</v>
      </c>
    </row>
    <row r="724" spans="1:21" x14ac:dyDescent="0.25">
      <c r="A724" s="5">
        <v>45783</v>
      </c>
      <c r="B724" s="7">
        <f>Table1[[#This Row],[TotalPrice]] * (1 - Table1[[#This Row],[Discount]])</f>
        <v>3423.0195000000008</v>
      </c>
      <c r="C724" s="7">
        <f>Table1[[#This Row],[Net Sales]] * 0.2</f>
        <v>684.60390000000018</v>
      </c>
      <c r="D724" t="s">
        <v>21</v>
      </c>
      <c r="E724" t="s">
        <v>24</v>
      </c>
      <c r="F724">
        <v>15</v>
      </c>
      <c r="G724">
        <v>281.73</v>
      </c>
      <c r="H724" t="s">
        <v>31</v>
      </c>
      <c r="I724" t="s">
        <v>35</v>
      </c>
      <c r="J724" s="3">
        <v>0.1</v>
      </c>
      <c r="K724" t="s">
        <v>42</v>
      </c>
      <c r="L724">
        <v>3803.3550000000009</v>
      </c>
      <c r="M724" t="s">
        <v>45</v>
      </c>
      <c r="N724" t="s">
        <v>50</v>
      </c>
      <c r="O724">
        <v>0</v>
      </c>
      <c r="P724" t="s">
        <v>773</v>
      </c>
      <c r="Q724" t="s">
        <v>2244</v>
      </c>
      <c r="R724">
        <v>36.869999999999997</v>
      </c>
      <c r="S724" s="5">
        <v>45783</v>
      </c>
      <c r="T724" s="5">
        <v>45787</v>
      </c>
      <c r="U724" t="s">
        <v>2924</v>
      </c>
    </row>
    <row r="725" spans="1:21" x14ac:dyDescent="0.25">
      <c r="A725" s="5">
        <v>44941</v>
      </c>
      <c r="B725" s="7">
        <f>Table1[[#This Row],[TotalPrice]] * (1 - Table1[[#This Row],[Discount]])</f>
        <v>2775</v>
      </c>
      <c r="C725" s="7">
        <f>Table1[[#This Row],[Net Sales]] * 0.2</f>
        <v>555</v>
      </c>
      <c r="D725" t="s">
        <v>21</v>
      </c>
      <c r="E725" t="s">
        <v>26</v>
      </c>
      <c r="F725">
        <v>15</v>
      </c>
      <c r="G725">
        <v>185</v>
      </c>
      <c r="H725" t="s">
        <v>31</v>
      </c>
      <c r="I725" t="s">
        <v>35</v>
      </c>
      <c r="J725" s="3">
        <v>0</v>
      </c>
      <c r="K725" t="s">
        <v>38</v>
      </c>
      <c r="L725">
        <v>2775</v>
      </c>
      <c r="M725" t="s">
        <v>47</v>
      </c>
      <c r="N725" t="s">
        <v>48</v>
      </c>
      <c r="O725">
        <v>0</v>
      </c>
      <c r="P725" t="s">
        <v>774</v>
      </c>
      <c r="Q725" t="s">
        <v>2245</v>
      </c>
      <c r="R725">
        <v>29.31</v>
      </c>
      <c r="S725" s="5">
        <v>44941</v>
      </c>
      <c r="T725" s="5">
        <v>44943</v>
      </c>
      <c r="U725" t="s">
        <v>2924</v>
      </c>
    </row>
    <row r="726" spans="1:21" x14ac:dyDescent="0.25">
      <c r="A726" s="5">
        <v>45300</v>
      </c>
      <c r="B726" s="7">
        <f>Table1[[#This Row],[TotalPrice]] * (1 - Table1[[#This Row],[Discount]])</f>
        <v>5860.8198000000002</v>
      </c>
      <c r="C726" s="7">
        <f>Table1[[#This Row],[Net Sales]] * 0.2</f>
        <v>1172.1639600000001</v>
      </c>
      <c r="D726" t="s">
        <v>22</v>
      </c>
      <c r="E726" t="s">
        <v>28</v>
      </c>
      <c r="F726">
        <v>19</v>
      </c>
      <c r="G726">
        <v>380.82</v>
      </c>
      <c r="H726" t="s">
        <v>34</v>
      </c>
      <c r="I726" t="s">
        <v>35</v>
      </c>
      <c r="J726" s="3">
        <v>0.1</v>
      </c>
      <c r="K726" t="s">
        <v>41</v>
      </c>
      <c r="L726">
        <v>6512.0219999999999</v>
      </c>
      <c r="M726" t="s">
        <v>45</v>
      </c>
      <c r="N726" t="s">
        <v>49</v>
      </c>
      <c r="O726">
        <v>0</v>
      </c>
      <c r="P726" t="s">
        <v>775</v>
      </c>
      <c r="Q726" t="s">
        <v>2246</v>
      </c>
      <c r="R726">
        <v>48.73</v>
      </c>
      <c r="S726" s="5">
        <v>45300</v>
      </c>
      <c r="T726" s="5">
        <v>45303</v>
      </c>
      <c r="U726" t="s">
        <v>2925</v>
      </c>
    </row>
    <row r="727" spans="1:21" x14ac:dyDescent="0.25">
      <c r="A727" s="5">
        <v>45119</v>
      </c>
      <c r="B727" s="7">
        <f>Table1[[#This Row],[TotalPrice]] * (1 - Table1[[#This Row],[Discount]])</f>
        <v>1285.6742999999999</v>
      </c>
      <c r="C727" s="7">
        <f>Table1[[#This Row],[Net Sales]] * 0.2</f>
        <v>257.13486</v>
      </c>
      <c r="D727" t="s">
        <v>20</v>
      </c>
      <c r="E727" t="s">
        <v>27</v>
      </c>
      <c r="F727">
        <v>4</v>
      </c>
      <c r="G727">
        <v>444.87</v>
      </c>
      <c r="H727" t="s">
        <v>31</v>
      </c>
      <c r="I727" t="s">
        <v>36</v>
      </c>
      <c r="J727" s="3">
        <v>0.15</v>
      </c>
      <c r="K727" t="s">
        <v>40</v>
      </c>
      <c r="L727">
        <v>1512.558</v>
      </c>
      <c r="M727" t="s">
        <v>43</v>
      </c>
      <c r="N727" t="s">
        <v>48</v>
      </c>
      <c r="O727">
        <v>0</v>
      </c>
      <c r="P727" t="s">
        <v>776</v>
      </c>
      <c r="Q727" t="s">
        <v>2247</v>
      </c>
      <c r="R727">
        <v>47.14</v>
      </c>
      <c r="S727" s="5">
        <v>45119</v>
      </c>
      <c r="T727" s="5">
        <v>45128</v>
      </c>
      <c r="U727" t="s">
        <v>2923</v>
      </c>
    </row>
    <row r="728" spans="1:21" x14ac:dyDescent="0.25">
      <c r="A728" s="5">
        <v>45829</v>
      </c>
      <c r="B728" s="7">
        <f>Table1[[#This Row],[TotalPrice]] * (1 - Table1[[#This Row],[Discount]])</f>
        <v>3732.3158249999988</v>
      </c>
      <c r="C728" s="7">
        <f>Table1[[#This Row],[Net Sales]] * 0.2</f>
        <v>746.46316499999978</v>
      </c>
      <c r="D728" t="s">
        <v>19</v>
      </c>
      <c r="E728" t="s">
        <v>27</v>
      </c>
      <c r="F728">
        <v>7</v>
      </c>
      <c r="G728">
        <v>590.79</v>
      </c>
      <c r="H728" t="s">
        <v>31</v>
      </c>
      <c r="I728" t="s">
        <v>36</v>
      </c>
      <c r="J728" s="3">
        <v>0.05</v>
      </c>
      <c r="K728" t="s">
        <v>37</v>
      </c>
      <c r="L728">
        <v>3928.7534999999989</v>
      </c>
      <c r="M728" t="s">
        <v>47</v>
      </c>
      <c r="N728" t="s">
        <v>48</v>
      </c>
      <c r="O728">
        <v>1</v>
      </c>
      <c r="P728" t="s">
        <v>777</v>
      </c>
      <c r="Q728" t="s">
        <v>2248</v>
      </c>
      <c r="R728">
        <v>41.39</v>
      </c>
      <c r="S728" s="5">
        <v>45829</v>
      </c>
      <c r="T728" s="5">
        <v>45834</v>
      </c>
      <c r="U728" t="s">
        <v>2922</v>
      </c>
    </row>
    <row r="729" spans="1:21" x14ac:dyDescent="0.25">
      <c r="A729" s="5">
        <v>45655</v>
      </c>
      <c r="B729" s="7">
        <f>Table1[[#This Row],[TotalPrice]] * (1 - Table1[[#This Row],[Discount]])</f>
        <v>140.04900000000001</v>
      </c>
      <c r="C729" s="7">
        <f>Table1[[#This Row],[Net Sales]] * 0.2</f>
        <v>28.009800000000002</v>
      </c>
      <c r="D729" t="s">
        <v>21</v>
      </c>
      <c r="E729" t="s">
        <v>30</v>
      </c>
      <c r="F729">
        <v>5</v>
      </c>
      <c r="G729">
        <v>34.58</v>
      </c>
      <c r="H729" t="s">
        <v>32</v>
      </c>
      <c r="I729" t="s">
        <v>36</v>
      </c>
      <c r="J729" s="3">
        <v>0.1</v>
      </c>
      <c r="K729" t="s">
        <v>39</v>
      </c>
      <c r="L729">
        <v>155.61000000000001</v>
      </c>
      <c r="M729" t="s">
        <v>44</v>
      </c>
      <c r="N729" t="s">
        <v>50</v>
      </c>
      <c r="O729">
        <v>0</v>
      </c>
      <c r="P729" t="s">
        <v>778</v>
      </c>
      <c r="Q729" t="s">
        <v>2249</v>
      </c>
      <c r="R729">
        <v>27.1</v>
      </c>
      <c r="S729" s="5">
        <v>45655</v>
      </c>
      <c r="T729" s="5">
        <v>45659</v>
      </c>
      <c r="U729" t="s">
        <v>2924</v>
      </c>
    </row>
    <row r="730" spans="1:21" x14ac:dyDescent="0.25">
      <c r="A730" s="5">
        <v>45069</v>
      </c>
      <c r="B730" s="7">
        <f>Table1[[#This Row],[TotalPrice]] * (1 - Table1[[#This Row],[Discount]])</f>
        <v>3559.4419499999999</v>
      </c>
      <c r="C730" s="7">
        <f>Table1[[#This Row],[Net Sales]] * 0.2</f>
        <v>711.88839000000007</v>
      </c>
      <c r="D730" t="s">
        <v>23</v>
      </c>
      <c r="E730" t="s">
        <v>29</v>
      </c>
      <c r="F730">
        <v>9</v>
      </c>
      <c r="G730">
        <v>438.22</v>
      </c>
      <c r="H730" t="s">
        <v>34</v>
      </c>
      <c r="I730" t="s">
        <v>36</v>
      </c>
      <c r="J730" s="3">
        <v>0.05</v>
      </c>
      <c r="K730" t="s">
        <v>42</v>
      </c>
      <c r="L730">
        <v>3746.7809999999999</v>
      </c>
      <c r="M730" t="s">
        <v>47</v>
      </c>
      <c r="O730">
        <v>0</v>
      </c>
      <c r="P730" t="s">
        <v>779</v>
      </c>
      <c r="Q730" t="s">
        <v>2250</v>
      </c>
      <c r="R730">
        <v>22.73</v>
      </c>
      <c r="S730" s="5">
        <v>45069</v>
      </c>
      <c r="T730" s="5">
        <v>45075</v>
      </c>
      <c r="U730" t="s">
        <v>2926</v>
      </c>
    </row>
    <row r="731" spans="1:21" x14ac:dyDescent="0.25">
      <c r="A731" s="5">
        <v>45385</v>
      </c>
      <c r="B731" s="7">
        <f>Table1[[#This Row],[TotalPrice]] * (1 - Table1[[#This Row],[Discount]])</f>
        <v>343.88550000000004</v>
      </c>
      <c r="C731" s="7">
        <f>Table1[[#This Row],[Net Sales]] * 0.2</f>
        <v>68.777100000000004</v>
      </c>
      <c r="D731" t="s">
        <v>22</v>
      </c>
      <c r="E731" t="s">
        <v>26</v>
      </c>
      <c r="F731">
        <v>5</v>
      </c>
      <c r="G731">
        <v>84.91</v>
      </c>
      <c r="H731" t="s">
        <v>32</v>
      </c>
      <c r="I731" t="s">
        <v>36</v>
      </c>
      <c r="J731" s="3">
        <v>0.1</v>
      </c>
      <c r="K731" t="s">
        <v>40</v>
      </c>
      <c r="L731">
        <v>382.09500000000003</v>
      </c>
      <c r="M731" t="s">
        <v>47</v>
      </c>
      <c r="N731" t="s">
        <v>48</v>
      </c>
      <c r="O731">
        <v>1</v>
      </c>
      <c r="P731" t="s">
        <v>780</v>
      </c>
      <c r="Q731" t="s">
        <v>2251</v>
      </c>
      <c r="R731">
        <v>29.06</v>
      </c>
      <c r="S731" s="5">
        <v>45385</v>
      </c>
      <c r="T731" s="5">
        <v>45391</v>
      </c>
      <c r="U731" t="s">
        <v>2925</v>
      </c>
    </row>
    <row r="732" spans="1:21" x14ac:dyDescent="0.25">
      <c r="A732" s="5">
        <v>45308</v>
      </c>
      <c r="B732" s="7">
        <f>Table1[[#This Row],[TotalPrice]] * (1 - Table1[[#This Row],[Discount]])</f>
        <v>1826.3636999999999</v>
      </c>
      <c r="C732" s="7">
        <f>Table1[[#This Row],[Net Sales]] * 0.2</f>
        <v>365.27274</v>
      </c>
      <c r="D732" t="s">
        <v>19</v>
      </c>
      <c r="E732" t="s">
        <v>24</v>
      </c>
      <c r="F732">
        <v>7</v>
      </c>
      <c r="G732">
        <v>322.11</v>
      </c>
      <c r="H732" t="s">
        <v>33</v>
      </c>
      <c r="I732" t="s">
        <v>35</v>
      </c>
      <c r="J732" s="3">
        <v>0.1</v>
      </c>
      <c r="K732" t="s">
        <v>41</v>
      </c>
      <c r="L732">
        <v>2029.2929999999999</v>
      </c>
      <c r="M732" t="s">
        <v>46</v>
      </c>
      <c r="N732" t="s">
        <v>49</v>
      </c>
      <c r="O732">
        <v>0</v>
      </c>
      <c r="P732" t="s">
        <v>781</v>
      </c>
      <c r="Q732" t="s">
        <v>2252</v>
      </c>
      <c r="R732">
        <v>19.91</v>
      </c>
      <c r="S732" s="5">
        <v>45308</v>
      </c>
      <c r="T732" s="5">
        <v>45318</v>
      </c>
      <c r="U732" t="s">
        <v>2922</v>
      </c>
    </row>
    <row r="733" spans="1:21" x14ac:dyDescent="0.25">
      <c r="A733" s="5">
        <v>45752</v>
      </c>
      <c r="B733" s="7">
        <f>Table1[[#This Row],[TotalPrice]] * (1 - Table1[[#This Row],[Discount]])</f>
        <v>375.77520000000004</v>
      </c>
      <c r="C733" s="7">
        <f>Table1[[#This Row],[Net Sales]] * 0.2</f>
        <v>75.155040000000014</v>
      </c>
      <c r="D733" t="s">
        <v>22</v>
      </c>
      <c r="E733" t="s">
        <v>28</v>
      </c>
      <c r="F733">
        <v>2</v>
      </c>
      <c r="G733">
        <v>231.96</v>
      </c>
      <c r="H733" t="s">
        <v>31</v>
      </c>
      <c r="I733" t="s">
        <v>36</v>
      </c>
      <c r="J733" s="3">
        <v>0.1</v>
      </c>
      <c r="K733" t="s">
        <v>38</v>
      </c>
      <c r="L733">
        <v>417.52800000000002</v>
      </c>
      <c r="M733" t="s">
        <v>46</v>
      </c>
      <c r="O733">
        <v>1</v>
      </c>
      <c r="P733" t="s">
        <v>782</v>
      </c>
      <c r="Q733" t="s">
        <v>2253</v>
      </c>
      <c r="R733">
        <v>32.659999999999997</v>
      </c>
      <c r="S733" s="5">
        <v>45752</v>
      </c>
      <c r="T733" s="5">
        <v>45761</v>
      </c>
      <c r="U733" t="s">
        <v>2925</v>
      </c>
    </row>
    <row r="734" spans="1:21" x14ac:dyDescent="0.25">
      <c r="A734" s="5">
        <v>45764</v>
      </c>
      <c r="B734" s="7">
        <f>Table1[[#This Row],[TotalPrice]] * (1 - Table1[[#This Row],[Discount]])</f>
        <v>2623.4336249999992</v>
      </c>
      <c r="C734" s="7">
        <f>Table1[[#This Row],[Net Sales]] * 0.2</f>
        <v>524.68672499999991</v>
      </c>
      <c r="D734" t="s">
        <v>22</v>
      </c>
      <c r="E734" t="s">
        <v>27</v>
      </c>
      <c r="F734">
        <v>15</v>
      </c>
      <c r="G734">
        <v>242.07</v>
      </c>
      <c r="H734" t="s">
        <v>32</v>
      </c>
      <c r="I734" t="s">
        <v>35</v>
      </c>
      <c r="J734" s="3">
        <v>0.15</v>
      </c>
      <c r="K734" t="s">
        <v>42</v>
      </c>
      <c r="L734">
        <v>3086.392499999999</v>
      </c>
      <c r="M734" t="s">
        <v>45</v>
      </c>
      <c r="O734">
        <v>0</v>
      </c>
      <c r="P734" t="s">
        <v>783</v>
      </c>
      <c r="Q734" t="s">
        <v>2254</v>
      </c>
      <c r="R734">
        <v>19.18</v>
      </c>
      <c r="S734" s="5">
        <v>45764</v>
      </c>
      <c r="T734" s="5">
        <v>45770</v>
      </c>
      <c r="U734" t="s">
        <v>2925</v>
      </c>
    </row>
    <row r="735" spans="1:21" x14ac:dyDescent="0.25">
      <c r="A735" s="5">
        <v>45577</v>
      </c>
      <c r="B735" s="7">
        <f>Table1[[#This Row],[TotalPrice]] * (1 - Table1[[#This Row],[Discount]])</f>
        <v>86.676099999999991</v>
      </c>
      <c r="C735" s="7">
        <f>Table1[[#This Row],[Net Sales]] * 0.2</f>
        <v>17.33522</v>
      </c>
      <c r="D735" t="s">
        <v>22</v>
      </c>
      <c r="E735" t="s">
        <v>24</v>
      </c>
      <c r="F735">
        <v>2</v>
      </c>
      <c r="G735">
        <v>48.02</v>
      </c>
      <c r="H735" t="s">
        <v>33</v>
      </c>
      <c r="I735" t="s">
        <v>36</v>
      </c>
      <c r="J735" s="3">
        <v>0.05</v>
      </c>
      <c r="K735" t="s">
        <v>40</v>
      </c>
      <c r="L735">
        <v>91.238</v>
      </c>
      <c r="M735" t="s">
        <v>46</v>
      </c>
      <c r="N735" t="s">
        <v>48</v>
      </c>
      <c r="O735">
        <v>1</v>
      </c>
      <c r="P735" t="s">
        <v>784</v>
      </c>
      <c r="Q735" t="s">
        <v>2255</v>
      </c>
      <c r="R735">
        <v>25.81</v>
      </c>
      <c r="S735" s="5">
        <v>45577</v>
      </c>
      <c r="T735" s="5">
        <v>45580</v>
      </c>
      <c r="U735" t="s">
        <v>2925</v>
      </c>
    </row>
    <row r="736" spans="1:21" x14ac:dyDescent="0.25">
      <c r="A736" s="5">
        <v>45500</v>
      </c>
      <c r="B736" s="7">
        <f>Table1[[#This Row],[TotalPrice]] * (1 - Table1[[#This Row],[Discount]])</f>
        <v>432.76679999999999</v>
      </c>
      <c r="C736" s="7">
        <f>Table1[[#This Row],[Net Sales]] * 0.2</f>
        <v>86.553359999999998</v>
      </c>
      <c r="D736" t="s">
        <v>22</v>
      </c>
      <c r="E736" t="s">
        <v>27</v>
      </c>
      <c r="F736">
        <v>1</v>
      </c>
      <c r="G736">
        <v>534.28</v>
      </c>
      <c r="H736" t="s">
        <v>34</v>
      </c>
      <c r="I736" t="s">
        <v>35</v>
      </c>
      <c r="J736" s="3">
        <v>0.1</v>
      </c>
      <c r="K736" t="s">
        <v>37</v>
      </c>
      <c r="L736">
        <v>480.85199999999998</v>
      </c>
      <c r="M736" t="s">
        <v>43</v>
      </c>
      <c r="N736" t="s">
        <v>48</v>
      </c>
      <c r="O736">
        <v>0</v>
      </c>
      <c r="P736" t="s">
        <v>785</v>
      </c>
      <c r="Q736" t="s">
        <v>2256</v>
      </c>
      <c r="R736">
        <v>31.3</v>
      </c>
      <c r="S736" s="5">
        <v>45500</v>
      </c>
      <c r="T736" s="5">
        <v>45505</v>
      </c>
      <c r="U736" t="s">
        <v>2925</v>
      </c>
    </row>
    <row r="737" spans="1:21" x14ac:dyDescent="0.25">
      <c r="A737" s="5">
        <v>45667</v>
      </c>
      <c r="B737" s="7">
        <f>Table1[[#This Row],[TotalPrice]] * (1 - Table1[[#This Row],[Discount]])</f>
        <v>212.74012500000001</v>
      </c>
      <c r="C737" s="7">
        <f>Table1[[#This Row],[Net Sales]] * 0.2</f>
        <v>42.548025000000003</v>
      </c>
      <c r="D737" t="s">
        <v>23</v>
      </c>
      <c r="E737" t="s">
        <v>29</v>
      </c>
      <c r="F737">
        <v>3</v>
      </c>
      <c r="G737">
        <v>98.15</v>
      </c>
      <c r="H737" t="s">
        <v>34</v>
      </c>
      <c r="I737" t="s">
        <v>35</v>
      </c>
      <c r="J737" s="3">
        <v>0.15</v>
      </c>
      <c r="K737" t="s">
        <v>41</v>
      </c>
      <c r="L737">
        <v>250.2825</v>
      </c>
      <c r="M737" t="s">
        <v>46</v>
      </c>
      <c r="N737" t="s">
        <v>49</v>
      </c>
      <c r="O737">
        <v>0</v>
      </c>
      <c r="P737" t="s">
        <v>786</v>
      </c>
      <c r="Q737" t="s">
        <v>2257</v>
      </c>
      <c r="R737">
        <v>46.37</v>
      </c>
      <c r="S737" s="5">
        <v>45667</v>
      </c>
      <c r="T737" s="5">
        <v>45675</v>
      </c>
      <c r="U737" t="s">
        <v>2926</v>
      </c>
    </row>
    <row r="738" spans="1:21" x14ac:dyDescent="0.25">
      <c r="A738" s="5">
        <v>45498</v>
      </c>
      <c r="B738" s="7">
        <f>Table1[[#This Row],[TotalPrice]] * (1 - Table1[[#This Row],[Discount]])</f>
        <v>669.83550000000002</v>
      </c>
      <c r="C738" s="7">
        <f>Table1[[#This Row],[Net Sales]] * 0.2</f>
        <v>133.96710000000002</v>
      </c>
      <c r="D738" t="s">
        <v>20</v>
      </c>
      <c r="E738" t="s">
        <v>27</v>
      </c>
      <c r="F738">
        <v>12</v>
      </c>
      <c r="G738">
        <v>61.85</v>
      </c>
      <c r="H738" t="s">
        <v>34</v>
      </c>
      <c r="I738" t="s">
        <v>35</v>
      </c>
      <c r="J738" s="3">
        <v>0.05</v>
      </c>
      <c r="K738" t="s">
        <v>38</v>
      </c>
      <c r="L738">
        <v>705.09</v>
      </c>
      <c r="M738" t="s">
        <v>45</v>
      </c>
      <c r="O738">
        <v>1</v>
      </c>
      <c r="P738" t="s">
        <v>787</v>
      </c>
      <c r="Q738" t="s">
        <v>2258</v>
      </c>
      <c r="R738">
        <v>24.34</v>
      </c>
      <c r="S738" s="5">
        <v>45498</v>
      </c>
      <c r="T738" s="5">
        <v>45504</v>
      </c>
      <c r="U738" t="s">
        <v>2923</v>
      </c>
    </row>
    <row r="739" spans="1:21" x14ac:dyDescent="0.25">
      <c r="A739" s="5">
        <v>45434</v>
      </c>
      <c r="B739" s="7">
        <f>Table1[[#This Row],[TotalPrice]] * (1 - Table1[[#This Row],[Discount]])</f>
        <v>1304.1324000000002</v>
      </c>
      <c r="C739" s="7">
        <f>Table1[[#This Row],[Net Sales]] * 0.2</f>
        <v>260.82648000000006</v>
      </c>
      <c r="D739" t="s">
        <v>23</v>
      </c>
      <c r="E739" t="s">
        <v>29</v>
      </c>
      <c r="F739">
        <v>6</v>
      </c>
      <c r="G739">
        <v>268.33999999999997</v>
      </c>
      <c r="H739" t="s">
        <v>32</v>
      </c>
      <c r="I739" t="s">
        <v>35</v>
      </c>
      <c r="J739" s="3">
        <v>0.1</v>
      </c>
      <c r="K739" t="s">
        <v>41</v>
      </c>
      <c r="L739">
        <v>1449.0360000000001</v>
      </c>
      <c r="M739" t="s">
        <v>46</v>
      </c>
      <c r="N739" t="s">
        <v>50</v>
      </c>
      <c r="O739">
        <v>1</v>
      </c>
      <c r="P739" t="s">
        <v>788</v>
      </c>
      <c r="Q739" t="s">
        <v>2259</v>
      </c>
      <c r="R739">
        <v>35.69</v>
      </c>
      <c r="S739" s="5">
        <v>45434</v>
      </c>
      <c r="T739" s="5">
        <v>45437</v>
      </c>
      <c r="U739" t="s">
        <v>2926</v>
      </c>
    </row>
    <row r="740" spans="1:21" x14ac:dyDescent="0.25">
      <c r="A740" s="5">
        <v>45514</v>
      </c>
      <c r="B740" s="7">
        <f>Table1[[#This Row],[TotalPrice]] * (1 - Table1[[#This Row],[Discount]])</f>
        <v>1909.7982999999999</v>
      </c>
      <c r="C740" s="7">
        <f>Table1[[#This Row],[Net Sales]] * 0.2</f>
        <v>381.95965999999999</v>
      </c>
      <c r="D740" t="s">
        <v>22</v>
      </c>
      <c r="E740" t="s">
        <v>26</v>
      </c>
      <c r="F740">
        <v>4</v>
      </c>
      <c r="G740">
        <v>529.03</v>
      </c>
      <c r="H740" t="s">
        <v>31</v>
      </c>
      <c r="I740" t="s">
        <v>35</v>
      </c>
      <c r="J740" s="3">
        <v>0.05</v>
      </c>
      <c r="K740" t="s">
        <v>40</v>
      </c>
      <c r="L740">
        <v>2010.3140000000001</v>
      </c>
      <c r="M740" t="s">
        <v>43</v>
      </c>
      <c r="N740" t="s">
        <v>49</v>
      </c>
      <c r="O740">
        <v>0</v>
      </c>
      <c r="P740" t="s">
        <v>789</v>
      </c>
      <c r="Q740" t="s">
        <v>2260</v>
      </c>
      <c r="R740">
        <v>25.96</v>
      </c>
      <c r="S740" s="5">
        <v>45514</v>
      </c>
      <c r="T740" s="5">
        <v>45524</v>
      </c>
      <c r="U740" t="s">
        <v>2925</v>
      </c>
    </row>
    <row r="741" spans="1:21" x14ac:dyDescent="0.25">
      <c r="A741" s="5">
        <v>45043</v>
      </c>
      <c r="B741" s="7">
        <f>Table1[[#This Row],[TotalPrice]] * (1 - Table1[[#This Row],[Discount]])</f>
        <v>193.71259999999998</v>
      </c>
      <c r="C741" s="7">
        <f>Table1[[#This Row],[Net Sales]] * 0.2</f>
        <v>38.742519999999999</v>
      </c>
      <c r="D741" t="s">
        <v>23</v>
      </c>
      <c r="E741" t="s">
        <v>29</v>
      </c>
      <c r="F741">
        <v>2</v>
      </c>
      <c r="G741">
        <v>107.32</v>
      </c>
      <c r="H741" t="s">
        <v>31</v>
      </c>
      <c r="I741" t="s">
        <v>36</v>
      </c>
      <c r="J741" s="3">
        <v>0.05</v>
      </c>
      <c r="K741" t="s">
        <v>38</v>
      </c>
      <c r="L741">
        <v>203.90799999999999</v>
      </c>
      <c r="M741" t="s">
        <v>45</v>
      </c>
      <c r="O741">
        <v>0</v>
      </c>
      <c r="P741" t="s">
        <v>790</v>
      </c>
      <c r="Q741" t="s">
        <v>2261</v>
      </c>
      <c r="R741">
        <v>47.33</v>
      </c>
      <c r="S741" s="5">
        <v>45043</v>
      </c>
      <c r="T741" s="5">
        <v>45045</v>
      </c>
      <c r="U741" t="s">
        <v>2926</v>
      </c>
    </row>
    <row r="742" spans="1:21" x14ac:dyDescent="0.25">
      <c r="A742" s="5">
        <v>45098</v>
      </c>
      <c r="B742" s="7">
        <f>Table1[[#This Row],[TotalPrice]] * (1 - Table1[[#This Row],[Discount]])</f>
        <v>452.11639999999994</v>
      </c>
      <c r="C742" s="7">
        <f>Table1[[#This Row],[Net Sales]] * 0.2</f>
        <v>90.423279999999991</v>
      </c>
      <c r="D742" t="s">
        <v>20</v>
      </c>
      <c r="E742" t="s">
        <v>29</v>
      </c>
      <c r="F742">
        <v>1</v>
      </c>
      <c r="G742">
        <v>500.96</v>
      </c>
      <c r="H742" t="s">
        <v>33</v>
      </c>
      <c r="I742" t="s">
        <v>35</v>
      </c>
      <c r="J742" s="3">
        <v>0.05</v>
      </c>
      <c r="K742" t="s">
        <v>39</v>
      </c>
      <c r="L742">
        <v>475.91199999999998</v>
      </c>
      <c r="M742" t="s">
        <v>43</v>
      </c>
      <c r="N742" t="s">
        <v>50</v>
      </c>
      <c r="O742">
        <v>0</v>
      </c>
      <c r="P742" t="s">
        <v>791</v>
      </c>
      <c r="Q742" t="s">
        <v>1891</v>
      </c>
      <c r="R742">
        <v>42.1</v>
      </c>
      <c r="S742" s="5">
        <v>45098</v>
      </c>
      <c r="T742" s="5">
        <v>45102</v>
      </c>
      <c r="U742" t="s">
        <v>2923</v>
      </c>
    </row>
    <row r="743" spans="1:21" x14ac:dyDescent="0.25">
      <c r="A743" s="5">
        <v>45576</v>
      </c>
      <c r="B743" s="7">
        <f>Table1[[#This Row],[TotalPrice]] * (1 - Table1[[#This Row],[Discount]])</f>
        <v>8434.9996499999997</v>
      </c>
      <c r="C743" s="7">
        <f>Table1[[#This Row],[Net Sales]] * 0.2</f>
        <v>1686.9999299999999</v>
      </c>
      <c r="D743" t="s">
        <v>23</v>
      </c>
      <c r="E743" t="s">
        <v>30</v>
      </c>
      <c r="F743">
        <v>17</v>
      </c>
      <c r="G743">
        <v>549.78</v>
      </c>
      <c r="H743" t="s">
        <v>31</v>
      </c>
      <c r="I743" t="s">
        <v>35</v>
      </c>
      <c r="J743" s="3">
        <v>0.05</v>
      </c>
      <c r="K743" t="s">
        <v>38</v>
      </c>
      <c r="L743">
        <v>8878.9470000000001</v>
      </c>
      <c r="M743" t="s">
        <v>45</v>
      </c>
      <c r="O743">
        <v>1</v>
      </c>
      <c r="P743" t="s">
        <v>792</v>
      </c>
      <c r="Q743" t="s">
        <v>2262</v>
      </c>
      <c r="R743">
        <v>44.42</v>
      </c>
      <c r="S743" s="5">
        <v>45576</v>
      </c>
      <c r="T743" s="5">
        <v>45579</v>
      </c>
      <c r="U743" t="s">
        <v>2926</v>
      </c>
    </row>
    <row r="744" spans="1:21" x14ac:dyDescent="0.25">
      <c r="A744" s="5">
        <v>45683</v>
      </c>
      <c r="B744" s="7">
        <f>Table1[[#This Row],[TotalPrice]] * (1 - Table1[[#This Row],[Discount]])</f>
        <v>158.41582499999998</v>
      </c>
      <c r="C744" s="7">
        <f>Table1[[#This Row],[Net Sales]] * 0.2</f>
        <v>31.683164999999999</v>
      </c>
      <c r="D744" t="s">
        <v>21</v>
      </c>
      <c r="E744" t="s">
        <v>24</v>
      </c>
      <c r="F744">
        <v>3</v>
      </c>
      <c r="G744">
        <v>58.51</v>
      </c>
      <c r="H744" t="s">
        <v>32</v>
      </c>
      <c r="I744" t="s">
        <v>36</v>
      </c>
      <c r="J744" s="3">
        <v>0.05</v>
      </c>
      <c r="K744" t="s">
        <v>40</v>
      </c>
      <c r="L744">
        <v>166.7535</v>
      </c>
      <c r="M744" t="s">
        <v>47</v>
      </c>
      <c r="N744" t="s">
        <v>50</v>
      </c>
      <c r="O744">
        <v>0</v>
      </c>
      <c r="P744" t="s">
        <v>793</v>
      </c>
      <c r="Q744" t="s">
        <v>2263</v>
      </c>
      <c r="R744">
        <v>23.57</v>
      </c>
      <c r="S744" s="5">
        <v>45683</v>
      </c>
      <c r="T744" s="5">
        <v>45687</v>
      </c>
      <c r="U744" t="s">
        <v>2924</v>
      </c>
    </row>
    <row r="745" spans="1:21" x14ac:dyDescent="0.25">
      <c r="A745" s="5">
        <v>45461</v>
      </c>
      <c r="B745" s="7">
        <f>Table1[[#This Row],[TotalPrice]] * (1 - Table1[[#This Row],[Discount]])</f>
        <v>6941.1816000000008</v>
      </c>
      <c r="C745" s="7">
        <f>Table1[[#This Row],[Net Sales]] * 0.2</f>
        <v>1388.2363200000002</v>
      </c>
      <c r="D745" t="s">
        <v>20</v>
      </c>
      <c r="E745" t="s">
        <v>27</v>
      </c>
      <c r="F745">
        <v>17</v>
      </c>
      <c r="G745">
        <v>504.08</v>
      </c>
      <c r="H745" t="s">
        <v>32</v>
      </c>
      <c r="I745" t="s">
        <v>35</v>
      </c>
      <c r="J745" s="3">
        <v>0.1</v>
      </c>
      <c r="K745" t="s">
        <v>41</v>
      </c>
      <c r="L745">
        <v>7712.4240000000009</v>
      </c>
      <c r="M745" t="s">
        <v>43</v>
      </c>
      <c r="N745" t="s">
        <v>49</v>
      </c>
      <c r="O745">
        <v>0</v>
      </c>
      <c r="P745" t="s">
        <v>794</v>
      </c>
      <c r="Q745" t="s">
        <v>2264</v>
      </c>
      <c r="R745">
        <v>26.47</v>
      </c>
      <c r="S745" s="5">
        <v>45461</v>
      </c>
      <c r="T745" s="5">
        <v>45469</v>
      </c>
      <c r="U745" t="s">
        <v>2923</v>
      </c>
    </row>
    <row r="746" spans="1:21" x14ac:dyDescent="0.25">
      <c r="A746" s="5">
        <v>45826</v>
      </c>
      <c r="B746" s="7">
        <f>Table1[[#This Row],[TotalPrice]] * (1 - Table1[[#This Row],[Discount]])</f>
        <v>7133.71</v>
      </c>
      <c r="C746" s="7">
        <f>Table1[[#This Row],[Net Sales]] * 0.2</f>
        <v>1426.7420000000002</v>
      </c>
      <c r="D746" t="s">
        <v>19</v>
      </c>
      <c r="E746" t="s">
        <v>28</v>
      </c>
      <c r="F746">
        <v>17</v>
      </c>
      <c r="G746">
        <v>419.63</v>
      </c>
      <c r="H746" t="s">
        <v>34</v>
      </c>
      <c r="I746" t="s">
        <v>35</v>
      </c>
      <c r="J746" s="3">
        <v>0</v>
      </c>
      <c r="K746" t="s">
        <v>38</v>
      </c>
      <c r="L746">
        <v>7133.71</v>
      </c>
      <c r="M746" t="s">
        <v>47</v>
      </c>
      <c r="N746" t="s">
        <v>49</v>
      </c>
      <c r="O746">
        <v>0</v>
      </c>
      <c r="P746" t="s">
        <v>795</v>
      </c>
      <c r="Q746" t="s">
        <v>2265</v>
      </c>
      <c r="R746">
        <v>17.399999999999999</v>
      </c>
      <c r="S746" s="5">
        <v>45826</v>
      </c>
      <c r="T746" s="5">
        <v>45832</v>
      </c>
      <c r="U746" t="s">
        <v>2922</v>
      </c>
    </row>
    <row r="747" spans="1:21" x14ac:dyDescent="0.25">
      <c r="A747" s="5">
        <v>45594</v>
      </c>
      <c r="B747" s="7">
        <f>Table1[[#This Row],[TotalPrice]] * (1 - Table1[[#This Row],[Discount]])</f>
        <v>482.58479999999997</v>
      </c>
      <c r="C747" s="7">
        <f>Table1[[#This Row],[Net Sales]] * 0.2</f>
        <v>96.516959999999997</v>
      </c>
      <c r="D747" t="s">
        <v>20</v>
      </c>
      <c r="E747" t="s">
        <v>24</v>
      </c>
      <c r="F747">
        <v>2</v>
      </c>
      <c r="G747">
        <v>267.36</v>
      </c>
      <c r="H747" t="s">
        <v>31</v>
      </c>
      <c r="I747" t="s">
        <v>35</v>
      </c>
      <c r="J747" s="3">
        <v>0.05</v>
      </c>
      <c r="K747" t="s">
        <v>39</v>
      </c>
      <c r="L747">
        <v>507.98399999999998</v>
      </c>
      <c r="M747" t="s">
        <v>43</v>
      </c>
      <c r="O747">
        <v>0</v>
      </c>
      <c r="P747" t="s">
        <v>796</v>
      </c>
      <c r="Q747" t="s">
        <v>2266</v>
      </c>
      <c r="R747">
        <v>21.36</v>
      </c>
      <c r="S747" s="5">
        <v>45594</v>
      </c>
      <c r="T747" s="5">
        <v>45603</v>
      </c>
      <c r="U747" t="s">
        <v>2923</v>
      </c>
    </row>
    <row r="748" spans="1:21" x14ac:dyDescent="0.25">
      <c r="A748" s="5">
        <v>45755</v>
      </c>
      <c r="B748" s="7">
        <f>Table1[[#This Row],[TotalPrice]] * (1 - Table1[[#This Row],[Discount]])</f>
        <v>596.12</v>
      </c>
      <c r="C748" s="7">
        <f>Table1[[#This Row],[Net Sales]] * 0.2</f>
        <v>119.224</v>
      </c>
      <c r="D748" t="s">
        <v>22</v>
      </c>
      <c r="E748" t="s">
        <v>25</v>
      </c>
      <c r="F748">
        <v>2</v>
      </c>
      <c r="G748">
        <v>298.06</v>
      </c>
      <c r="H748" t="s">
        <v>31</v>
      </c>
      <c r="I748" t="s">
        <v>35</v>
      </c>
      <c r="J748" s="3">
        <v>0</v>
      </c>
      <c r="K748" t="s">
        <v>38</v>
      </c>
      <c r="L748">
        <v>596.12</v>
      </c>
      <c r="M748" t="s">
        <v>46</v>
      </c>
      <c r="N748" t="s">
        <v>49</v>
      </c>
      <c r="O748">
        <v>1</v>
      </c>
      <c r="P748" t="s">
        <v>797</v>
      </c>
      <c r="Q748" t="s">
        <v>2267</v>
      </c>
      <c r="R748">
        <v>35.369999999999997</v>
      </c>
      <c r="S748" s="5">
        <v>45755</v>
      </c>
      <c r="T748" s="5">
        <v>45761</v>
      </c>
      <c r="U748" t="s">
        <v>2925</v>
      </c>
    </row>
    <row r="749" spans="1:21" x14ac:dyDescent="0.25">
      <c r="A749" s="5">
        <v>44957</v>
      </c>
      <c r="B749" s="7">
        <f>Table1[[#This Row],[TotalPrice]] * (1 - Table1[[#This Row],[Discount]])</f>
        <v>1560.0705249999999</v>
      </c>
      <c r="C749" s="7">
        <f>Table1[[#This Row],[Net Sales]] * 0.2</f>
        <v>312.01410499999997</v>
      </c>
      <c r="D749" t="s">
        <v>22</v>
      </c>
      <c r="E749" t="s">
        <v>29</v>
      </c>
      <c r="F749">
        <v>13</v>
      </c>
      <c r="G749">
        <v>132.97</v>
      </c>
      <c r="H749" t="s">
        <v>31</v>
      </c>
      <c r="I749" t="s">
        <v>35</v>
      </c>
      <c r="J749" s="3">
        <v>0.05</v>
      </c>
      <c r="K749" t="s">
        <v>39</v>
      </c>
      <c r="L749">
        <v>1642.1795</v>
      </c>
      <c r="M749" t="s">
        <v>46</v>
      </c>
      <c r="N749" t="s">
        <v>50</v>
      </c>
      <c r="O749">
        <v>0</v>
      </c>
      <c r="P749" t="s">
        <v>798</v>
      </c>
      <c r="Q749" t="s">
        <v>2268</v>
      </c>
      <c r="R749">
        <v>42.87</v>
      </c>
      <c r="S749" s="5">
        <v>44957</v>
      </c>
      <c r="T749" s="5">
        <v>44962</v>
      </c>
      <c r="U749" t="s">
        <v>2925</v>
      </c>
    </row>
    <row r="750" spans="1:21" x14ac:dyDescent="0.25">
      <c r="A750" s="5">
        <v>45366</v>
      </c>
      <c r="B750" s="7">
        <f>Table1[[#This Row],[TotalPrice]] * (1 - Table1[[#This Row],[Discount]])</f>
        <v>5401.0152000000007</v>
      </c>
      <c r="C750" s="7">
        <f>Table1[[#This Row],[Net Sales]] * 0.2</f>
        <v>1080.2030400000001</v>
      </c>
      <c r="D750" t="s">
        <v>23</v>
      </c>
      <c r="E750" t="s">
        <v>27</v>
      </c>
      <c r="F750">
        <v>14</v>
      </c>
      <c r="G750">
        <v>476.28</v>
      </c>
      <c r="H750" t="s">
        <v>32</v>
      </c>
      <c r="I750" t="s">
        <v>35</v>
      </c>
      <c r="J750" s="3">
        <v>0.1</v>
      </c>
      <c r="K750" t="s">
        <v>37</v>
      </c>
      <c r="L750">
        <v>6001.1280000000006</v>
      </c>
      <c r="M750" t="s">
        <v>45</v>
      </c>
      <c r="N750" t="s">
        <v>48</v>
      </c>
      <c r="O750">
        <v>0</v>
      </c>
      <c r="P750" t="s">
        <v>799</v>
      </c>
      <c r="Q750" t="s">
        <v>2269</v>
      </c>
      <c r="R750">
        <v>22.11</v>
      </c>
      <c r="S750" s="5">
        <v>45366</v>
      </c>
      <c r="T750" s="5">
        <v>45371</v>
      </c>
      <c r="U750" t="s">
        <v>2926</v>
      </c>
    </row>
    <row r="751" spans="1:21" x14ac:dyDescent="0.25">
      <c r="A751" s="5">
        <v>45100</v>
      </c>
      <c r="B751" s="7">
        <f>Table1[[#This Row],[TotalPrice]] * (1 - Table1[[#This Row],[Discount]])</f>
        <v>4258.0671999999986</v>
      </c>
      <c r="C751" s="7">
        <f>Table1[[#This Row],[Net Sales]] * 0.2</f>
        <v>851.61343999999974</v>
      </c>
      <c r="D751" t="s">
        <v>21</v>
      </c>
      <c r="E751" t="s">
        <v>29</v>
      </c>
      <c r="F751">
        <v>16</v>
      </c>
      <c r="G751">
        <v>294.88</v>
      </c>
      <c r="H751" t="s">
        <v>31</v>
      </c>
      <c r="I751" t="s">
        <v>36</v>
      </c>
      <c r="J751" s="3">
        <v>0.05</v>
      </c>
      <c r="K751" t="s">
        <v>39</v>
      </c>
      <c r="L751">
        <v>4482.1759999999986</v>
      </c>
      <c r="M751" t="s">
        <v>47</v>
      </c>
      <c r="O751">
        <v>1</v>
      </c>
      <c r="P751" t="s">
        <v>800</v>
      </c>
      <c r="Q751" t="s">
        <v>2089</v>
      </c>
      <c r="R751">
        <v>17.190000000000001</v>
      </c>
      <c r="S751" s="5">
        <v>45100</v>
      </c>
      <c r="T751" s="5">
        <v>45104</v>
      </c>
      <c r="U751" t="s">
        <v>2924</v>
      </c>
    </row>
    <row r="752" spans="1:21" x14ac:dyDescent="0.25">
      <c r="A752" s="5">
        <v>45457</v>
      </c>
      <c r="B752" s="7">
        <f>Table1[[#This Row],[TotalPrice]] * (1 - Table1[[#This Row],[Discount]])</f>
        <v>8182.0018250000003</v>
      </c>
      <c r="C752" s="7">
        <f>Table1[[#This Row],[Net Sales]] * 0.2</f>
        <v>1636.4003650000002</v>
      </c>
      <c r="D752" t="s">
        <v>21</v>
      </c>
      <c r="E752" t="s">
        <v>28</v>
      </c>
      <c r="F752">
        <v>19</v>
      </c>
      <c r="G752">
        <v>596.03</v>
      </c>
      <c r="H752" t="s">
        <v>33</v>
      </c>
      <c r="I752" t="s">
        <v>36</v>
      </c>
      <c r="J752" s="3">
        <v>0.15</v>
      </c>
      <c r="K752" t="s">
        <v>37</v>
      </c>
      <c r="L752">
        <v>9625.8845000000001</v>
      </c>
      <c r="M752" t="s">
        <v>46</v>
      </c>
      <c r="O752">
        <v>0</v>
      </c>
      <c r="P752" t="s">
        <v>801</v>
      </c>
      <c r="Q752" t="s">
        <v>2270</v>
      </c>
      <c r="R752">
        <v>31.95</v>
      </c>
      <c r="S752" s="5">
        <v>45457</v>
      </c>
      <c r="T752" s="5">
        <v>45466</v>
      </c>
      <c r="U752" t="s">
        <v>2924</v>
      </c>
    </row>
    <row r="753" spans="1:21" x14ac:dyDescent="0.25">
      <c r="A753" s="5">
        <v>45260</v>
      </c>
      <c r="B753" s="7">
        <f>Table1[[#This Row],[TotalPrice]] * (1 - Table1[[#This Row],[Discount]])</f>
        <v>1094.4000000000001</v>
      </c>
      <c r="C753" s="7">
        <f>Table1[[#This Row],[Net Sales]] * 0.2</f>
        <v>218.88000000000002</v>
      </c>
      <c r="D753" t="s">
        <v>23</v>
      </c>
      <c r="E753" t="s">
        <v>26</v>
      </c>
      <c r="F753">
        <v>6</v>
      </c>
      <c r="G753">
        <v>182.4</v>
      </c>
      <c r="H753" t="s">
        <v>31</v>
      </c>
      <c r="I753" t="s">
        <v>35</v>
      </c>
      <c r="J753" s="3">
        <v>0</v>
      </c>
      <c r="K753" t="s">
        <v>38</v>
      </c>
      <c r="L753">
        <v>1094.4000000000001</v>
      </c>
      <c r="M753" t="s">
        <v>43</v>
      </c>
      <c r="N753" t="s">
        <v>48</v>
      </c>
      <c r="O753">
        <v>1</v>
      </c>
      <c r="P753" t="s">
        <v>802</v>
      </c>
      <c r="Q753" t="s">
        <v>2271</v>
      </c>
      <c r="R753">
        <v>49.49</v>
      </c>
      <c r="S753" s="5">
        <v>45260</v>
      </c>
      <c r="T753" s="5">
        <v>45269</v>
      </c>
      <c r="U753" t="s">
        <v>2926</v>
      </c>
    </row>
    <row r="754" spans="1:21" x14ac:dyDescent="0.25">
      <c r="A754" s="5">
        <v>45403</v>
      </c>
      <c r="B754" s="7">
        <f>Table1[[#This Row],[TotalPrice]] * (1 - Table1[[#This Row],[Discount]])</f>
        <v>3618.57375</v>
      </c>
      <c r="C754" s="7">
        <f>Table1[[#This Row],[Net Sales]] * 0.2</f>
        <v>723.71475000000009</v>
      </c>
      <c r="D754" t="s">
        <v>21</v>
      </c>
      <c r="E754" t="s">
        <v>24</v>
      </c>
      <c r="F754">
        <v>10</v>
      </c>
      <c r="G754">
        <v>400.95</v>
      </c>
      <c r="H754" t="s">
        <v>33</v>
      </c>
      <c r="I754" t="s">
        <v>36</v>
      </c>
      <c r="J754" s="3">
        <v>0.05</v>
      </c>
      <c r="K754" t="s">
        <v>40</v>
      </c>
      <c r="L754">
        <v>3809.0250000000001</v>
      </c>
      <c r="M754" t="s">
        <v>43</v>
      </c>
      <c r="O754">
        <v>0</v>
      </c>
      <c r="P754" t="s">
        <v>803</v>
      </c>
      <c r="Q754" t="s">
        <v>2272</v>
      </c>
      <c r="R754">
        <v>17.46</v>
      </c>
      <c r="S754" s="5">
        <v>45403</v>
      </c>
      <c r="T754" s="5">
        <v>45412</v>
      </c>
      <c r="U754" t="s">
        <v>2924</v>
      </c>
    </row>
    <row r="755" spans="1:21" x14ac:dyDescent="0.25">
      <c r="A755" s="5">
        <v>45144</v>
      </c>
      <c r="B755" s="7">
        <f>Table1[[#This Row],[TotalPrice]] * (1 - Table1[[#This Row],[Discount]])</f>
        <v>2360.5970499999999</v>
      </c>
      <c r="C755" s="7">
        <f>Table1[[#This Row],[Net Sales]] * 0.2</f>
        <v>472.11941000000002</v>
      </c>
      <c r="D755" t="s">
        <v>19</v>
      </c>
      <c r="E755" t="s">
        <v>26</v>
      </c>
      <c r="F755">
        <v>7</v>
      </c>
      <c r="G755">
        <v>373.66</v>
      </c>
      <c r="H755" t="s">
        <v>31</v>
      </c>
      <c r="I755" t="s">
        <v>36</v>
      </c>
      <c r="J755" s="3">
        <v>0.05</v>
      </c>
      <c r="K755" t="s">
        <v>38</v>
      </c>
      <c r="L755">
        <v>2484.8389999999999</v>
      </c>
      <c r="M755" t="s">
        <v>44</v>
      </c>
      <c r="N755" t="s">
        <v>49</v>
      </c>
      <c r="O755">
        <v>0</v>
      </c>
      <c r="P755" t="s">
        <v>804</v>
      </c>
      <c r="Q755" t="s">
        <v>2273</v>
      </c>
      <c r="R755">
        <v>46.33</v>
      </c>
      <c r="S755" s="5">
        <v>45144</v>
      </c>
      <c r="T755" s="5">
        <v>45150</v>
      </c>
      <c r="U755" t="s">
        <v>2922</v>
      </c>
    </row>
    <row r="756" spans="1:21" x14ac:dyDescent="0.25">
      <c r="A756" s="5">
        <v>45464</v>
      </c>
      <c r="B756" s="7">
        <f>Table1[[#This Row],[TotalPrice]] * (1 - Table1[[#This Row],[Discount]])</f>
        <v>1798.75045</v>
      </c>
      <c r="C756" s="7">
        <f>Table1[[#This Row],[Net Sales]] * 0.2</f>
        <v>359.75009</v>
      </c>
      <c r="D756" t="s">
        <v>23</v>
      </c>
      <c r="E756" t="s">
        <v>26</v>
      </c>
      <c r="F756">
        <v>7</v>
      </c>
      <c r="G756">
        <v>355.66</v>
      </c>
      <c r="H756" t="s">
        <v>33</v>
      </c>
      <c r="I756" t="s">
        <v>36</v>
      </c>
      <c r="J756" s="3">
        <v>0.15</v>
      </c>
      <c r="K756" t="s">
        <v>40</v>
      </c>
      <c r="L756">
        <v>2116.1770000000001</v>
      </c>
      <c r="M756" t="s">
        <v>44</v>
      </c>
      <c r="N756" t="s">
        <v>48</v>
      </c>
      <c r="O756">
        <v>1</v>
      </c>
      <c r="P756" t="s">
        <v>805</v>
      </c>
      <c r="Q756" t="s">
        <v>2274</v>
      </c>
      <c r="R756">
        <v>28.77</v>
      </c>
      <c r="S756" s="5">
        <v>45464</v>
      </c>
      <c r="T756" s="5">
        <v>45470</v>
      </c>
      <c r="U756" t="s">
        <v>2926</v>
      </c>
    </row>
    <row r="757" spans="1:21" x14ac:dyDescent="0.25">
      <c r="A757" s="5">
        <v>45732</v>
      </c>
      <c r="B757" s="7">
        <f>Table1[[#This Row],[TotalPrice]] * (1 - Table1[[#This Row],[Discount]])</f>
        <v>2530.2132000000001</v>
      </c>
      <c r="C757" s="7">
        <f>Table1[[#This Row],[Net Sales]] * 0.2</f>
        <v>506.04264000000006</v>
      </c>
      <c r="D757" t="s">
        <v>21</v>
      </c>
      <c r="E757" t="s">
        <v>29</v>
      </c>
      <c r="F757">
        <v>12</v>
      </c>
      <c r="G757">
        <v>260.31</v>
      </c>
      <c r="H757" t="s">
        <v>33</v>
      </c>
      <c r="I757" t="s">
        <v>36</v>
      </c>
      <c r="J757" s="3">
        <v>0.1</v>
      </c>
      <c r="K757" t="s">
        <v>42</v>
      </c>
      <c r="L757">
        <v>2811.348</v>
      </c>
      <c r="M757" t="s">
        <v>47</v>
      </c>
      <c r="N757" t="s">
        <v>49</v>
      </c>
      <c r="O757">
        <v>0</v>
      </c>
      <c r="P757" t="s">
        <v>806</v>
      </c>
      <c r="Q757" t="s">
        <v>2275</v>
      </c>
      <c r="R757">
        <v>14.58</v>
      </c>
      <c r="S757" s="5">
        <v>45732</v>
      </c>
      <c r="T757" s="5">
        <v>45740</v>
      </c>
      <c r="U757" t="s">
        <v>2924</v>
      </c>
    </row>
    <row r="758" spans="1:21" x14ac:dyDescent="0.25">
      <c r="A758" s="5">
        <v>45402</v>
      </c>
      <c r="B758" s="7">
        <f>Table1[[#This Row],[TotalPrice]] * (1 - Table1[[#This Row],[Discount]])</f>
        <v>2680.4027499999997</v>
      </c>
      <c r="C758" s="7">
        <f>Table1[[#This Row],[Net Sales]] * 0.2</f>
        <v>536.08055000000002</v>
      </c>
      <c r="D758" t="s">
        <v>23</v>
      </c>
      <c r="E758" t="s">
        <v>29</v>
      </c>
      <c r="F758">
        <v>10</v>
      </c>
      <c r="G758">
        <v>370.99</v>
      </c>
      <c r="H758" t="s">
        <v>31</v>
      </c>
      <c r="I758" t="s">
        <v>36</v>
      </c>
      <c r="J758" s="3">
        <v>0.15</v>
      </c>
      <c r="K758" t="s">
        <v>39</v>
      </c>
      <c r="L758">
        <v>3153.415</v>
      </c>
      <c r="M758" t="s">
        <v>43</v>
      </c>
      <c r="N758" t="s">
        <v>49</v>
      </c>
      <c r="O758">
        <v>1</v>
      </c>
      <c r="P758" t="s">
        <v>807</v>
      </c>
      <c r="Q758" t="s">
        <v>2276</v>
      </c>
      <c r="R758">
        <v>11.16</v>
      </c>
      <c r="S758" s="5">
        <v>45402</v>
      </c>
      <c r="T758" s="5">
        <v>45407</v>
      </c>
      <c r="U758" t="s">
        <v>2926</v>
      </c>
    </row>
    <row r="759" spans="1:21" x14ac:dyDescent="0.25">
      <c r="A759" s="5">
        <v>45646</v>
      </c>
      <c r="B759" s="7">
        <f>Table1[[#This Row],[TotalPrice]] * (1 - Table1[[#This Row],[Discount]])</f>
        <v>888.92640000000006</v>
      </c>
      <c r="C759" s="7">
        <f>Table1[[#This Row],[Net Sales]] * 0.2</f>
        <v>177.78528000000003</v>
      </c>
      <c r="D759" t="s">
        <v>19</v>
      </c>
      <c r="E759" t="s">
        <v>24</v>
      </c>
      <c r="F759">
        <v>2</v>
      </c>
      <c r="G759">
        <v>548.72</v>
      </c>
      <c r="H759" t="s">
        <v>32</v>
      </c>
      <c r="I759" t="s">
        <v>35</v>
      </c>
      <c r="J759" s="3">
        <v>0.1</v>
      </c>
      <c r="K759" t="s">
        <v>39</v>
      </c>
      <c r="L759">
        <v>987.69600000000003</v>
      </c>
      <c r="M759" t="s">
        <v>45</v>
      </c>
      <c r="N759" t="s">
        <v>48</v>
      </c>
      <c r="O759">
        <v>1</v>
      </c>
      <c r="P759" t="s">
        <v>808</v>
      </c>
      <c r="Q759" t="s">
        <v>2277</v>
      </c>
      <c r="R759">
        <v>26.35</v>
      </c>
      <c r="S759" s="5">
        <v>45646</v>
      </c>
      <c r="T759" s="5">
        <v>45655</v>
      </c>
      <c r="U759" t="s">
        <v>2922</v>
      </c>
    </row>
    <row r="760" spans="1:21" x14ac:dyDescent="0.25">
      <c r="A760" s="5">
        <v>45160</v>
      </c>
      <c r="B760" s="7">
        <f>Table1[[#This Row],[TotalPrice]] * (1 - Table1[[#This Row],[Discount]])</f>
        <v>2748.24</v>
      </c>
      <c r="C760" s="7">
        <f>Table1[[#This Row],[Net Sales]] * 0.2</f>
        <v>549.64800000000002</v>
      </c>
      <c r="D760" t="s">
        <v>21</v>
      </c>
      <c r="E760" t="s">
        <v>30</v>
      </c>
      <c r="F760">
        <v>8</v>
      </c>
      <c r="G760">
        <v>343.53</v>
      </c>
      <c r="H760" t="s">
        <v>32</v>
      </c>
      <c r="I760" t="s">
        <v>35</v>
      </c>
      <c r="J760" s="3">
        <v>0</v>
      </c>
      <c r="K760" t="s">
        <v>39</v>
      </c>
      <c r="L760">
        <v>2748.24</v>
      </c>
      <c r="M760" t="s">
        <v>47</v>
      </c>
      <c r="O760">
        <v>0</v>
      </c>
      <c r="P760" t="s">
        <v>809</v>
      </c>
      <c r="Q760" t="s">
        <v>2278</v>
      </c>
      <c r="R760">
        <v>16.100000000000001</v>
      </c>
      <c r="S760" s="5">
        <v>45160</v>
      </c>
      <c r="T760" s="5">
        <v>45170</v>
      </c>
      <c r="U760" t="s">
        <v>2924</v>
      </c>
    </row>
    <row r="761" spans="1:21" x14ac:dyDescent="0.25">
      <c r="A761" s="5">
        <v>44989</v>
      </c>
      <c r="B761" s="7">
        <f>Table1[[#This Row],[TotalPrice]] * (1 - Table1[[#This Row],[Discount]])</f>
        <v>4647.2211500000003</v>
      </c>
      <c r="C761" s="7">
        <f>Table1[[#This Row],[Net Sales]] * 0.2</f>
        <v>929.44423000000006</v>
      </c>
      <c r="D761" t="s">
        <v>21</v>
      </c>
      <c r="E761" t="s">
        <v>29</v>
      </c>
      <c r="F761">
        <v>13</v>
      </c>
      <c r="G761">
        <v>494.78</v>
      </c>
      <c r="H761" t="s">
        <v>32</v>
      </c>
      <c r="I761" t="s">
        <v>35</v>
      </c>
      <c r="J761" s="3">
        <v>0.15</v>
      </c>
      <c r="K761" t="s">
        <v>41</v>
      </c>
      <c r="L761">
        <v>5467.3190000000004</v>
      </c>
      <c r="M761" t="s">
        <v>47</v>
      </c>
      <c r="N761" t="s">
        <v>48</v>
      </c>
      <c r="O761">
        <v>0</v>
      </c>
      <c r="P761" t="s">
        <v>810</v>
      </c>
      <c r="Q761" t="s">
        <v>2279</v>
      </c>
      <c r="R761">
        <v>5.85</v>
      </c>
      <c r="S761" s="5">
        <v>44989</v>
      </c>
      <c r="T761" s="5">
        <v>44998</v>
      </c>
      <c r="U761" t="s">
        <v>2924</v>
      </c>
    </row>
    <row r="762" spans="1:21" x14ac:dyDescent="0.25">
      <c r="A762" s="5">
        <v>45467</v>
      </c>
      <c r="B762" s="7">
        <f>Table1[[#This Row],[TotalPrice]] * (1 - Table1[[#This Row],[Discount]])</f>
        <v>266.95980000000003</v>
      </c>
      <c r="C762" s="7">
        <f>Table1[[#This Row],[Net Sales]] * 0.2</f>
        <v>53.391960000000012</v>
      </c>
      <c r="D762" t="s">
        <v>21</v>
      </c>
      <c r="E762" t="s">
        <v>24</v>
      </c>
      <c r="F762">
        <v>9</v>
      </c>
      <c r="G762">
        <v>36.619999999999997</v>
      </c>
      <c r="H762" t="s">
        <v>31</v>
      </c>
      <c r="I762" t="s">
        <v>35</v>
      </c>
      <c r="J762" s="3">
        <v>0.1</v>
      </c>
      <c r="K762" t="s">
        <v>37</v>
      </c>
      <c r="L762">
        <v>296.62200000000001</v>
      </c>
      <c r="M762" t="s">
        <v>46</v>
      </c>
      <c r="N762" t="s">
        <v>48</v>
      </c>
      <c r="O762">
        <v>1</v>
      </c>
      <c r="P762" t="s">
        <v>811</v>
      </c>
      <c r="Q762" t="s">
        <v>2280</v>
      </c>
      <c r="R762">
        <v>29.9</v>
      </c>
      <c r="S762" s="5">
        <v>45467</v>
      </c>
      <c r="T762" s="5">
        <v>45474</v>
      </c>
      <c r="U762" t="s">
        <v>2924</v>
      </c>
    </row>
    <row r="763" spans="1:21" x14ac:dyDescent="0.25">
      <c r="A763" s="5">
        <v>45635</v>
      </c>
      <c r="B763" s="7">
        <f>Table1[[#This Row],[TotalPrice]] * (1 - Table1[[#This Row],[Discount]])</f>
        <v>3026.8</v>
      </c>
      <c r="C763" s="7">
        <f>Table1[[#This Row],[Net Sales]] * 0.2</f>
        <v>605.36</v>
      </c>
      <c r="D763" t="s">
        <v>19</v>
      </c>
      <c r="E763" t="s">
        <v>29</v>
      </c>
      <c r="F763">
        <v>14</v>
      </c>
      <c r="G763">
        <v>216.2</v>
      </c>
      <c r="H763" t="s">
        <v>33</v>
      </c>
      <c r="I763" t="s">
        <v>35</v>
      </c>
      <c r="J763" s="3">
        <v>0</v>
      </c>
      <c r="K763" t="s">
        <v>41</v>
      </c>
      <c r="L763">
        <v>3026.8</v>
      </c>
      <c r="M763" t="s">
        <v>43</v>
      </c>
      <c r="N763" t="s">
        <v>50</v>
      </c>
      <c r="O763">
        <v>0</v>
      </c>
      <c r="P763" t="s">
        <v>812</v>
      </c>
      <c r="Q763" t="s">
        <v>2281</v>
      </c>
      <c r="R763">
        <v>14.39</v>
      </c>
      <c r="S763" s="5">
        <v>45635</v>
      </c>
      <c r="T763" s="5">
        <v>45639</v>
      </c>
      <c r="U763" t="s">
        <v>2922</v>
      </c>
    </row>
    <row r="764" spans="1:21" x14ac:dyDescent="0.25">
      <c r="A764" s="5">
        <v>45477</v>
      </c>
      <c r="B764" s="7">
        <f>Table1[[#This Row],[TotalPrice]] * (1 - Table1[[#This Row],[Discount]])</f>
        <v>1280.548225</v>
      </c>
      <c r="C764" s="7">
        <f>Table1[[#This Row],[Net Sales]] * 0.2</f>
        <v>256.109645</v>
      </c>
      <c r="D764" t="s">
        <v>23</v>
      </c>
      <c r="E764" t="s">
        <v>24</v>
      </c>
      <c r="F764">
        <v>11</v>
      </c>
      <c r="G764">
        <v>128.99</v>
      </c>
      <c r="H764" t="s">
        <v>32</v>
      </c>
      <c r="I764" t="s">
        <v>36</v>
      </c>
      <c r="J764" s="3">
        <v>0.05</v>
      </c>
      <c r="K764" t="s">
        <v>41</v>
      </c>
      <c r="L764">
        <v>1347.9455</v>
      </c>
      <c r="M764" t="s">
        <v>46</v>
      </c>
      <c r="N764" t="s">
        <v>49</v>
      </c>
      <c r="O764">
        <v>0</v>
      </c>
      <c r="P764" t="s">
        <v>813</v>
      </c>
      <c r="Q764" t="s">
        <v>1901</v>
      </c>
      <c r="R764">
        <v>38.58</v>
      </c>
      <c r="S764" s="5">
        <v>45477</v>
      </c>
      <c r="T764" s="5">
        <v>45480</v>
      </c>
      <c r="U764" t="s">
        <v>2926</v>
      </c>
    </row>
    <row r="765" spans="1:21" x14ac:dyDescent="0.25">
      <c r="A765" s="5">
        <v>45720</v>
      </c>
      <c r="B765" s="7">
        <f>Table1[[#This Row],[TotalPrice]] * (1 - Table1[[#This Row],[Discount]])</f>
        <v>1455.266725</v>
      </c>
      <c r="C765" s="7">
        <f>Table1[[#This Row],[Net Sales]] * 0.2</f>
        <v>291.05334499999998</v>
      </c>
      <c r="D765" t="s">
        <v>19</v>
      </c>
      <c r="E765" t="s">
        <v>25</v>
      </c>
      <c r="F765">
        <v>11</v>
      </c>
      <c r="G765">
        <v>183.11</v>
      </c>
      <c r="H765" t="s">
        <v>31</v>
      </c>
      <c r="I765" t="s">
        <v>36</v>
      </c>
      <c r="J765" s="3">
        <v>0.15</v>
      </c>
      <c r="K765" t="s">
        <v>39</v>
      </c>
      <c r="L765">
        <v>1712.0785000000001</v>
      </c>
      <c r="M765" t="s">
        <v>44</v>
      </c>
      <c r="N765" t="s">
        <v>48</v>
      </c>
      <c r="O765">
        <v>0</v>
      </c>
      <c r="P765" t="s">
        <v>814</v>
      </c>
      <c r="Q765" t="s">
        <v>2282</v>
      </c>
      <c r="R765">
        <v>41.83</v>
      </c>
      <c r="S765" s="5">
        <v>45720</v>
      </c>
      <c r="T765" s="5">
        <v>45722</v>
      </c>
      <c r="U765" t="s">
        <v>2922</v>
      </c>
    </row>
    <row r="766" spans="1:21" x14ac:dyDescent="0.25">
      <c r="A766" s="5">
        <v>45313</v>
      </c>
      <c r="B766" s="7">
        <f>Table1[[#This Row],[TotalPrice]] * (1 - Table1[[#This Row],[Discount]])</f>
        <v>2759.3486249999996</v>
      </c>
      <c r="C766" s="7">
        <f>Table1[[#This Row],[Net Sales]] * 0.2</f>
        <v>551.8697249999999</v>
      </c>
      <c r="D766" t="s">
        <v>19</v>
      </c>
      <c r="E766" t="s">
        <v>30</v>
      </c>
      <c r="F766">
        <v>11</v>
      </c>
      <c r="G766">
        <v>277.95</v>
      </c>
      <c r="H766" t="s">
        <v>32</v>
      </c>
      <c r="I766" t="s">
        <v>36</v>
      </c>
      <c r="J766" s="3">
        <v>0.05</v>
      </c>
      <c r="K766" t="s">
        <v>39</v>
      </c>
      <c r="L766">
        <v>2904.5774999999999</v>
      </c>
      <c r="M766" t="s">
        <v>44</v>
      </c>
      <c r="N766" t="s">
        <v>50</v>
      </c>
      <c r="O766">
        <v>0</v>
      </c>
      <c r="P766" t="s">
        <v>815</v>
      </c>
      <c r="Q766" t="s">
        <v>2283</v>
      </c>
      <c r="R766">
        <v>44.04</v>
      </c>
      <c r="S766" s="5">
        <v>45313</v>
      </c>
      <c r="T766" s="5">
        <v>45320</v>
      </c>
      <c r="U766" t="s">
        <v>2922</v>
      </c>
    </row>
    <row r="767" spans="1:21" x14ac:dyDescent="0.25">
      <c r="A767" s="5">
        <v>45728</v>
      </c>
      <c r="B767" s="7">
        <f>Table1[[#This Row],[TotalPrice]] * (1 - Table1[[#This Row],[Discount]])</f>
        <v>7000.8008</v>
      </c>
      <c r="C767" s="7">
        <f>Table1[[#This Row],[Net Sales]] * 0.2</f>
        <v>1400.1601600000001</v>
      </c>
      <c r="D767" t="s">
        <v>19</v>
      </c>
      <c r="E767" t="s">
        <v>26</v>
      </c>
      <c r="F767">
        <v>14</v>
      </c>
      <c r="G767">
        <v>554.08000000000004</v>
      </c>
      <c r="H767" t="s">
        <v>32</v>
      </c>
      <c r="I767" t="s">
        <v>36</v>
      </c>
      <c r="J767" s="3">
        <v>0.05</v>
      </c>
      <c r="K767" t="s">
        <v>41</v>
      </c>
      <c r="L767">
        <v>7369.2640000000001</v>
      </c>
      <c r="M767" t="s">
        <v>47</v>
      </c>
      <c r="O767">
        <v>0</v>
      </c>
      <c r="P767" t="s">
        <v>816</v>
      </c>
      <c r="Q767" t="s">
        <v>2284</v>
      </c>
      <c r="R767">
        <v>36.72</v>
      </c>
      <c r="S767" s="5">
        <v>45728</v>
      </c>
      <c r="T767" s="5">
        <v>45737</v>
      </c>
      <c r="U767" t="s">
        <v>2922</v>
      </c>
    </row>
    <row r="768" spans="1:21" x14ac:dyDescent="0.25">
      <c r="A768" s="5">
        <v>45716</v>
      </c>
      <c r="B768" s="7">
        <f>Table1[[#This Row],[TotalPrice]] * (1 - Table1[[#This Row],[Discount]])</f>
        <v>315.69450000000001</v>
      </c>
      <c r="C768" s="7">
        <f>Table1[[#This Row],[Net Sales]] * 0.2</f>
        <v>63.138900000000007</v>
      </c>
      <c r="D768" t="s">
        <v>22</v>
      </c>
      <c r="E768" t="s">
        <v>25</v>
      </c>
      <c r="F768">
        <v>15</v>
      </c>
      <c r="G768">
        <v>23.32</v>
      </c>
      <c r="H768" t="s">
        <v>32</v>
      </c>
      <c r="I768" t="s">
        <v>36</v>
      </c>
      <c r="J768" s="3">
        <v>0.05</v>
      </c>
      <c r="K768" t="s">
        <v>40</v>
      </c>
      <c r="L768">
        <v>332.31</v>
      </c>
      <c r="M768" t="s">
        <v>46</v>
      </c>
      <c r="O768">
        <v>0</v>
      </c>
      <c r="P768" t="s">
        <v>817</v>
      </c>
      <c r="Q768" t="s">
        <v>2285</v>
      </c>
      <c r="R768">
        <v>25.27</v>
      </c>
      <c r="S768" s="5">
        <v>45716</v>
      </c>
      <c r="T768" s="5">
        <v>45719</v>
      </c>
      <c r="U768" t="s">
        <v>2925</v>
      </c>
    </row>
    <row r="769" spans="1:21" x14ac:dyDescent="0.25">
      <c r="A769" s="5">
        <v>45435</v>
      </c>
      <c r="B769" s="7">
        <f>Table1[[#This Row],[TotalPrice]] * (1 - Table1[[#This Row],[Discount]])</f>
        <v>75.665599999999998</v>
      </c>
      <c r="C769" s="7">
        <f>Table1[[#This Row],[Net Sales]] * 0.2</f>
        <v>15.13312</v>
      </c>
      <c r="D769" t="s">
        <v>19</v>
      </c>
      <c r="E769" t="s">
        <v>26</v>
      </c>
      <c r="F769">
        <v>4</v>
      </c>
      <c r="G769">
        <v>20.96</v>
      </c>
      <c r="H769" t="s">
        <v>34</v>
      </c>
      <c r="I769" t="s">
        <v>35</v>
      </c>
      <c r="J769" s="3">
        <v>0.05</v>
      </c>
      <c r="K769" t="s">
        <v>42</v>
      </c>
      <c r="L769">
        <v>79.647999999999996</v>
      </c>
      <c r="M769" t="s">
        <v>43</v>
      </c>
      <c r="N769" t="s">
        <v>48</v>
      </c>
      <c r="O769">
        <v>1</v>
      </c>
      <c r="P769" t="s">
        <v>818</v>
      </c>
      <c r="Q769" t="s">
        <v>2286</v>
      </c>
      <c r="R769">
        <v>33.67</v>
      </c>
      <c r="S769" s="5">
        <v>45435</v>
      </c>
      <c r="T769" s="5">
        <v>45443</v>
      </c>
      <c r="U769" t="s">
        <v>2922</v>
      </c>
    </row>
    <row r="770" spans="1:21" x14ac:dyDescent="0.25">
      <c r="A770" s="5">
        <v>45186</v>
      </c>
      <c r="B770" s="7">
        <f>Table1[[#This Row],[TotalPrice]] * (1 - Table1[[#This Row],[Discount]])</f>
        <v>2149.05105</v>
      </c>
      <c r="C770" s="7">
        <f>Table1[[#This Row],[Net Sales]] * 0.2</f>
        <v>429.81021000000004</v>
      </c>
      <c r="D770" t="s">
        <v>21</v>
      </c>
      <c r="E770" t="s">
        <v>26</v>
      </c>
      <c r="F770">
        <v>18</v>
      </c>
      <c r="G770">
        <v>132.29</v>
      </c>
      <c r="H770" t="s">
        <v>32</v>
      </c>
      <c r="I770" t="s">
        <v>35</v>
      </c>
      <c r="J770" s="3">
        <v>0.05</v>
      </c>
      <c r="K770" t="s">
        <v>41</v>
      </c>
      <c r="L770">
        <v>2262.1590000000001</v>
      </c>
      <c r="M770" t="s">
        <v>45</v>
      </c>
      <c r="O770">
        <v>1</v>
      </c>
      <c r="P770" t="s">
        <v>819</v>
      </c>
      <c r="Q770" t="s">
        <v>2287</v>
      </c>
      <c r="R770">
        <v>24.3</v>
      </c>
      <c r="S770" s="5">
        <v>45186</v>
      </c>
      <c r="T770" s="5">
        <v>45189</v>
      </c>
      <c r="U770" t="s">
        <v>2924</v>
      </c>
    </row>
    <row r="771" spans="1:21" x14ac:dyDescent="0.25">
      <c r="A771" s="5">
        <v>45090</v>
      </c>
      <c r="B771" s="7">
        <f>Table1[[#This Row],[TotalPrice]] * (1 - Table1[[#This Row],[Discount]])</f>
        <v>3072.6134999999999</v>
      </c>
      <c r="C771" s="7">
        <f>Table1[[#This Row],[Net Sales]] * 0.2</f>
        <v>614.52269999999999</v>
      </c>
      <c r="D771" t="s">
        <v>19</v>
      </c>
      <c r="E771" t="s">
        <v>25</v>
      </c>
      <c r="F771">
        <v>19</v>
      </c>
      <c r="G771">
        <v>199.65</v>
      </c>
      <c r="H771" t="s">
        <v>32</v>
      </c>
      <c r="I771" t="s">
        <v>36</v>
      </c>
      <c r="J771" s="3">
        <v>0.1</v>
      </c>
      <c r="K771" t="s">
        <v>40</v>
      </c>
      <c r="L771">
        <v>3414.0149999999999</v>
      </c>
      <c r="M771" t="s">
        <v>47</v>
      </c>
      <c r="N771" t="s">
        <v>49</v>
      </c>
      <c r="O771">
        <v>1</v>
      </c>
      <c r="P771" t="s">
        <v>820</v>
      </c>
      <c r="Q771" t="s">
        <v>2288</v>
      </c>
      <c r="R771">
        <v>35.119999999999997</v>
      </c>
      <c r="S771" s="5">
        <v>45090</v>
      </c>
      <c r="T771" s="5">
        <v>45095</v>
      </c>
      <c r="U771" t="s">
        <v>2922</v>
      </c>
    </row>
    <row r="772" spans="1:21" x14ac:dyDescent="0.25">
      <c r="A772" s="5">
        <v>45808</v>
      </c>
      <c r="B772" s="7">
        <f>Table1[[#This Row],[TotalPrice]] * (1 - Table1[[#This Row],[Discount]])</f>
        <v>4912</v>
      </c>
      <c r="C772" s="7">
        <f>Table1[[#This Row],[Net Sales]] * 0.2</f>
        <v>982.40000000000009</v>
      </c>
      <c r="D772" t="s">
        <v>23</v>
      </c>
      <c r="E772" t="s">
        <v>25</v>
      </c>
      <c r="F772">
        <v>16</v>
      </c>
      <c r="G772">
        <v>307</v>
      </c>
      <c r="H772" t="s">
        <v>32</v>
      </c>
      <c r="I772" t="s">
        <v>35</v>
      </c>
      <c r="J772" s="3">
        <v>0</v>
      </c>
      <c r="K772" t="s">
        <v>42</v>
      </c>
      <c r="L772">
        <v>4912</v>
      </c>
      <c r="M772" t="s">
        <v>46</v>
      </c>
      <c r="N772" t="s">
        <v>48</v>
      </c>
      <c r="O772">
        <v>0</v>
      </c>
      <c r="P772" t="s">
        <v>821</v>
      </c>
      <c r="Q772" t="s">
        <v>2289</v>
      </c>
      <c r="R772">
        <v>11.99</v>
      </c>
      <c r="S772" s="5">
        <v>45808</v>
      </c>
      <c r="T772" s="5">
        <v>45810</v>
      </c>
      <c r="U772" t="s">
        <v>2926</v>
      </c>
    </row>
    <row r="773" spans="1:21" x14ac:dyDescent="0.25">
      <c r="A773" s="5">
        <v>45210</v>
      </c>
      <c r="B773" s="7">
        <f>Table1[[#This Row],[TotalPrice]] * (1 - Table1[[#This Row],[Discount]])</f>
        <v>228.25942499999999</v>
      </c>
      <c r="C773" s="7">
        <f>Table1[[#This Row],[Net Sales]] * 0.2</f>
        <v>45.651885</v>
      </c>
      <c r="D773" t="s">
        <v>19</v>
      </c>
      <c r="E773" t="s">
        <v>29</v>
      </c>
      <c r="F773">
        <v>1</v>
      </c>
      <c r="G773">
        <v>315.93</v>
      </c>
      <c r="H773" t="s">
        <v>33</v>
      </c>
      <c r="I773" t="s">
        <v>36</v>
      </c>
      <c r="J773" s="3">
        <v>0.15</v>
      </c>
      <c r="K773" t="s">
        <v>38</v>
      </c>
      <c r="L773">
        <v>268.54050000000001</v>
      </c>
      <c r="M773" t="s">
        <v>45</v>
      </c>
      <c r="N773" t="s">
        <v>49</v>
      </c>
      <c r="O773">
        <v>0</v>
      </c>
      <c r="P773" t="s">
        <v>822</v>
      </c>
      <c r="Q773" t="s">
        <v>2290</v>
      </c>
      <c r="R773">
        <v>43.2</v>
      </c>
      <c r="S773" s="5">
        <v>45210</v>
      </c>
      <c r="T773" s="5">
        <v>45213</v>
      </c>
      <c r="U773" t="s">
        <v>2922</v>
      </c>
    </row>
    <row r="774" spans="1:21" x14ac:dyDescent="0.25">
      <c r="A774" s="5">
        <v>45145</v>
      </c>
      <c r="B774" s="7">
        <f>Table1[[#This Row],[TotalPrice]] * (1 - Table1[[#This Row],[Discount]])</f>
        <v>2984.85</v>
      </c>
      <c r="C774" s="7">
        <f>Table1[[#This Row],[Net Sales]] * 0.2</f>
        <v>596.97</v>
      </c>
      <c r="D774" t="s">
        <v>23</v>
      </c>
      <c r="E774" t="s">
        <v>30</v>
      </c>
      <c r="F774">
        <v>5</v>
      </c>
      <c r="G774">
        <v>596.97</v>
      </c>
      <c r="H774" t="s">
        <v>32</v>
      </c>
      <c r="I774" t="s">
        <v>36</v>
      </c>
      <c r="J774" s="3">
        <v>0</v>
      </c>
      <c r="K774" t="s">
        <v>37</v>
      </c>
      <c r="L774">
        <v>2984.85</v>
      </c>
      <c r="M774" t="s">
        <v>47</v>
      </c>
      <c r="N774" t="s">
        <v>49</v>
      </c>
      <c r="O774">
        <v>0</v>
      </c>
      <c r="P774" t="s">
        <v>823</v>
      </c>
      <c r="Q774" t="s">
        <v>2291</v>
      </c>
      <c r="R774">
        <v>14.43</v>
      </c>
      <c r="S774" s="5">
        <v>45145</v>
      </c>
      <c r="T774" s="5">
        <v>45152</v>
      </c>
      <c r="U774" t="s">
        <v>2926</v>
      </c>
    </row>
    <row r="775" spans="1:21" x14ac:dyDescent="0.25">
      <c r="A775" s="5">
        <v>45263</v>
      </c>
      <c r="B775" s="7">
        <f>Table1[[#This Row],[TotalPrice]] * (1 - Table1[[#This Row],[Discount]])</f>
        <v>5783.8156499999996</v>
      </c>
      <c r="C775" s="7">
        <f>Table1[[#This Row],[Net Sales]] * 0.2</f>
        <v>1156.76313</v>
      </c>
      <c r="D775" t="s">
        <v>21</v>
      </c>
      <c r="E775" t="s">
        <v>24</v>
      </c>
      <c r="F775">
        <v>17</v>
      </c>
      <c r="G775">
        <v>376.98</v>
      </c>
      <c r="H775" t="s">
        <v>32</v>
      </c>
      <c r="I775" t="s">
        <v>36</v>
      </c>
      <c r="J775" s="3">
        <v>0.05</v>
      </c>
      <c r="K775" t="s">
        <v>40</v>
      </c>
      <c r="L775">
        <v>6088.2269999999999</v>
      </c>
      <c r="M775" t="s">
        <v>46</v>
      </c>
      <c r="O775">
        <v>1</v>
      </c>
      <c r="P775" t="s">
        <v>824</v>
      </c>
      <c r="Q775" t="s">
        <v>2292</v>
      </c>
      <c r="R775">
        <v>38.479999999999997</v>
      </c>
      <c r="S775" s="5">
        <v>45263</v>
      </c>
      <c r="T775" s="5">
        <v>45265</v>
      </c>
      <c r="U775" t="s">
        <v>2924</v>
      </c>
    </row>
    <row r="776" spans="1:21" x14ac:dyDescent="0.25">
      <c r="A776" s="5">
        <v>45505</v>
      </c>
      <c r="B776" s="7">
        <f>Table1[[#This Row],[TotalPrice]] * (1 - Table1[[#This Row],[Discount]])</f>
        <v>1013.9904</v>
      </c>
      <c r="C776" s="7">
        <f>Table1[[#This Row],[Net Sales]] * 0.2</f>
        <v>202.79808000000003</v>
      </c>
      <c r="D776" t="s">
        <v>22</v>
      </c>
      <c r="E776" t="s">
        <v>30</v>
      </c>
      <c r="F776">
        <v>6</v>
      </c>
      <c r="G776">
        <v>208.64</v>
      </c>
      <c r="H776" t="s">
        <v>34</v>
      </c>
      <c r="I776" t="s">
        <v>36</v>
      </c>
      <c r="J776" s="3">
        <v>0.1</v>
      </c>
      <c r="K776" t="s">
        <v>39</v>
      </c>
      <c r="L776">
        <v>1126.6559999999999</v>
      </c>
      <c r="M776" t="s">
        <v>45</v>
      </c>
      <c r="N776" t="s">
        <v>48</v>
      </c>
      <c r="O776">
        <v>0</v>
      </c>
      <c r="P776" t="s">
        <v>825</v>
      </c>
      <c r="Q776" t="s">
        <v>2293</v>
      </c>
      <c r="R776">
        <v>49.93</v>
      </c>
      <c r="S776" s="5">
        <v>45505</v>
      </c>
      <c r="T776" s="5">
        <v>45508</v>
      </c>
      <c r="U776" t="s">
        <v>2925</v>
      </c>
    </row>
    <row r="777" spans="1:21" x14ac:dyDescent="0.25">
      <c r="A777" s="5">
        <v>45005</v>
      </c>
      <c r="B777" s="7">
        <f>Table1[[#This Row],[TotalPrice]] * (1 - Table1[[#This Row],[Discount]])</f>
        <v>2154.7399999999998</v>
      </c>
      <c r="C777" s="7">
        <f>Table1[[#This Row],[Net Sales]] * 0.2</f>
        <v>430.94799999999998</v>
      </c>
      <c r="D777" t="s">
        <v>19</v>
      </c>
      <c r="E777" t="s">
        <v>27</v>
      </c>
      <c r="F777">
        <v>7</v>
      </c>
      <c r="G777">
        <v>307.82</v>
      </c>
      <c r="H777" t="s">
        <v>31</v>
      </c>
      <c r="I777" t="s">
        <v>35</v>
      </c>
      <c r="J777" s="3">
        <v>0</v>
      </c>
      <c r="K777" t="s">
        <v>37</v>
      </c>
      <c r="L777">
        <v>2154.7399999999998</v>
      </c>
      <c r="M777" t="s">
        <v>46</v>
      </c>
      <c r="N777" t="s">
        <v>50</v>
      </c>
      <c r="O777">
        <v>1</v>
      </c>
      <c r="P777" t="s">
        <v>826</v>
      </c>
      <c r="Q777" t="s">
        <v>2294</v>
      </c>
      <c r="R777">
        <v>14</v>
      </c>
      <c r="S777" s="5">
        <v>45005</v>
      </c>
      <c r="T777" s="5">
        <v>45012</v>
      </c>
      <c r="U777" t="s">
        <v>2922</v>
      </c>
    </row>
    <row r="778" spans="1:21" x14ac:dyDescent="0.25">
      <c r="A778" s="5">
        <v>45838</v>
      </c>
      <c r="B778" s="7">
        <f>Table1[[#This Row],[TotalPrice]] * (1 - Table1[[#This Row],[Discount]])</f>
        <v>4487.4465999999993</v>
      </c>
      <c r="C778" s="7">
        <f>Table1[[#This Row],[Net Sales]] * 0.2</f>
        <v>897.48931999999991</v>
      </c>
      <c r="D778" t="s">
        <v>22</v>
      </c>
      <c r="E778" t="s">
        <v>29</v>
      </c>
      <c r="F778">
        <v>13</v>
      </c>
      <c r="G778">
        <v>382.48</v>
      </c>
      <c r="H778" t="s">
        <v>34</v>
      </c>
      <c r="I778" t="s">
        <v>36</v>
      </c>
      <c r="J778" s="3">
        <v>0.05</v>
      </c>
      <c r="K778" t="s">
        <v>37</v>
      </c>
      <c r="L778">
        <v>4723.6279999999997</v>
      </c>
      <c r="M778" t="s">
        <v>45</v>
      </c>
      <c r="N778" t="s">
        <v>50</v>
      </c>
      <c r="O778">
        <v>0</v>
      </c>
      <c r="P778" t="s">
        <v>827</v>
      </c>
      <c r="Q778" t="s">
        <v>2295</v>
      </c>
      <c r="R778">
        <v>7.59</v>
      </c>
      <c r="S778" s="5">
        <v>45838</v>
      </c>
      <c r="T778" s="5">
        <v>45842</v>
      </c>
      <c r="U778" t="s">
        <v>2925</v>
      </c>
    </row>
    <row r="779" spans="1:21" x14ac:dyDescent="0.25">
      <c r="A779" s="5">
        <v>45693</v>
      </c>
      <c r="B779" s="7">
        <f>Table1[[#This Row],[TotalPrice]] * (1 - Table1[[#This Row],[Discount]])</f>
        <v>1692.27</v>
      </c>
      <c r="C779" s="7">
        <f>Table1[[#This Row],[Net Sales]] * 0.2</f>
        <v>338.45400000000001</v>
      </c>
      <c r="D779" t="s">
        <v>20</v>
      </c>
      <c r="E779" t="s">
        <v>26</v>
      </c>
      <c r="F779">
        <v>9</v>
      </c>
      <c r="G779">
        <v>188.03</v>
      </c>
      <c r="H779" t="s">
        <v>31</v>
      </c>
      <c r="I779" t="s">
        <v>36</v>
      </c>
      <c r="J779" s="3">
        <v>0</v>
      </c>
      <c r="K779" t="s">
        <v>39</v>
      </c>
      <c r="L779">
        <v>1692.27</v>
      </c>
      <c r="M779" t="s">
        <v>47</v>
      </c>
      <c r="N779" t="s">
        <v>48</v>
      </c>
      <c r="O779">
        <v>0</v>
      </c>
      <c r="P779" t="s">
        <v>828</v>
      </c>
      <c r="Q779" t="s">
        <v>2296</v>
      </c>
      <c r="R779">
        <v>11.44</v>
      </c>
      <c r="S779" s="5">
        <v>45693</v>
      </c>
      <c r="T779" s="5">
        <v>45695</v>
      </c>
      <c r="U779" t="s">
        <v>2923</v>
      </c>
    </row>
    <row r="780" spans="1:21" x14ac:dyDescent="0.25">
      <c r="A780" s="5">
        <v>45431</v>
      </c>
      <c r="B780" s="7">
        <f>Table1[[#This Row],[TotalPrice]] * (1 - Table1[[#This Row],[Discount]])</f>
        <v>2925.3230250000001</v>
      </c>
      <c r="C780" s="7">
        <f>Table1[[#This Row],[Net Sales]] * 0.2</f>
        <v>585.06460500000003</v>
      </c>
      <c r="D780" t="s">
        <v>19</v>
      </c>
      <c r="E780" t="s">
        <v>26</v>
      </c>
      <c r="F780">
        <v>17</v>
      </c>
      <c r="G780">
        <v>238.17</v>
      </c>
      <c r="H780" t="s">
        <v>34</v>
      </c>
      <c r="I780" t="s">
        <v>35</v>
      </c>
      <c r="J780" s="3">
        <v>0.15</v>
      </c>
      <c r="K780" t="s">
        <v>39</v>
      </c>
      <c r="L780">
        <v>3441.5565000000001</v>
      </c>
      <c r="M780" t="s">
        <v>47</v>
      </c>
      <c r="N780" t="s">
        <v>48</v>
      </c>
      <c r="O780">
        <v>0</v>
      </c>
      <c r="P780" t="s">
        <v>829</v>
      </c>
      <c r="Q780" t="s">
        <v>2297</v>
      </c>
      <c r="R780">
        <v>21.64</v>
      </c>
      <c r="S780" s="5">
        <v>45431</v>
      </c>
      <c r="T780" s="5">
        <v>45441</v>
      </c>
      <c r="U780" t="s">
        <v>2922</v>
      </c>
    </row>
    <row r="781" spans="1:21" x14ac:dyDescent="0.25">
      <c r="A781" s="5">
        <v>44989</v>
      </c>
      <c r="B781" s="7">
        <f>Table1[[#This Row],[TotalPrice]] * (1 - Table1[[#This Row],[Discount]])</f>
        <v>3650.7509999999993</v>
      </c>
      <c r="C781" s="7">
        <f>Table1[[#This Row],[Net Sales]] * 0.2</f>
        <v>730.15019999999993</v>
      </c>
      <c r="D781" t="s">
        <v>21</v>
      </c>
      <c r="E781" t="s">
        <v>30</v>
      </c>
      <c r="F781">
        <v>10</v>
      </c>
      <c r="G781">
        <v>450.71</v>
      </c>
      <c r="H781" t="s">
        <v>31</v>
      </c>
      <c r="I781" t="s">
        <v>36</v>
      </c>
      <c r="J781" s="3">
        <v>0.1</v>
      </c>
      <c r="K781" t="s">
        <v>42</v>
      </c>
      <c r="L781">
        <v>4056.389999999999</v>
      </c>
      <c r="M781" t="s">
        <v>44</v>
      </c>
      <c r="N781" t="s">
        <v>49</v>
      </c>
      <c r="O781">
        <v>0</v>
      </c>
      <c r="P781" t="s">
        <v>830</v>
      </c>
      <c r="Q781" t="s">
        <v>2298</v>
      </c>
      <c r="R781">
        <v>21.31</v>
      </c>
      <c r="S781" s="5">
        <v>44989</v>
      </c>
      <c r="T781" s="5">
        <v>44997</v>
      </c>
      <c r="U781" t="s">
        <v>2924</v>
      </c>
    </row>
    <row r="782" spans="1:21" x14ac:dyDescent="0.25">
      <c r="A782" s="5">
        <v>44948</v>
      </c>
      <c r="B782" s="7">
        <f>Table1[[#This Row],[TotalPrice]] * (1 - Table1[[#This Row],[Discount]])</f>
        <v>669.64319999999998</v>
      </c>
      <c r="C782" s="7">
        <f>Table1[[#This Row],[Net Sales]] * 0.2</f>
        <v>133.92864</v>
      </c>
      <c r="D782" t="s">
        <v>22</v>
      </c>
      <c r="E782" t="s">
        <v>28</v>
      </c>
      <c r="F782">
        <v>2</v>
      </c>
      <c r="G782">
        <v>413.36</v>
      </c>
      <c r="H782" t="s">
        <v>34</v>
      </c>
      <c r="I782" t="s">
        <v>36</v>
      </c>
      <c r="J782" s="3">
        <v>0.1</v>
      </c>
      <c r="K782" t="s">
        <v>38</v>
      </c>
      <c r="L782">
        <v>744.048</v>
      </c>
      <c r="M782" t="s">
        <v>43</v>
      </c>
      <c r="N782" t="s">
        <v>49</v>
      </c>
      <c r="O782">
        <v>1</v>
      </c>
      <c r="P782" t="s">
        <v>831</v>
      </c>
      <c r="Q782" t="s">
        <v>1989</v>
      </c>
      <c r="R782">
        <v>41.69</v>
      </c>
      <c r="S782" s="5">
        <v>44948</v>
      </c>
      <c r="T782" s="5">
        <v>44950</v>
      </c>
      <c r="U782" t="s">
        <v>2925</v>
      </c>
    </row>
    <row r="783" spans="1:21" x14ac:dyDescent="0.25">
      <c r="A783" s="5">
        <v>45005</v>
      </c>
      <c r="B783" s="7">
        <f>Table1[[#This Row],[TotalPrice]] * (1 - Table1[[#This Row],[Discount]])</f>
        <v>7755.4594999999999</v>
      </c>
      <c r="C783" s="7">
        <f>Table1[[#This Row],[Net Sales]] * 0.2</f>
        <v>1551.0919000000001</v>
      </c>
      <c r="D783" t="s">
        <v>20</v>
      </c>
      <c r="E783" t="s">
        <v>25</v>
      </c>
      <c r="F783">
        <v>20</v>
      </c>
      <c r="G783">
        <v>536.71</v>
      </c>
      <c r="H783" t="s">
        <v>31</v>
      </c>
      <c r="I783" t="s">
        <v>36</v>
      </c>
      <c r="J783" s="3">
        <v>0.15</v>
      </c>
      <c r="K783" t="s">
        <v>40</v>
      </c>
      <c r="L783">
        <v>9124.07</v>
      </c>
      <c r="M783" t="s">
        <v>46</v>
      </c>
      <c r="N783" t="s">
        <v>49</v>
      </c>
      <c r="O783">
        <v>0</v>
      </c>
      <c r="P783" t="s">
        <v>832</v>
      </c>
      <c r="Q783" t="s">
        <v>2299</v>
      </c>
      <c r="R783">
        <v>41.42</v>
      </c>
      <c r="S783" s="5">
        <v>45005</v>
      </c>
      <c r="T783" s="5">
        <v>45010</v>
      </c>
      <c r="U783" t="s">
        <v>2923</v>
      </c>
    </row>
    <row r="784" spans="1:21" x14ac:dyDescent="0.25">
      <c r="A784" s="5">
        <v>45448</v>
      </c>
      <c r="B784" s="7">
        <f>Table1[[#This Row],[TotalPrice]] * (1 - Table1[[#This Row],[Discount]])</f>
        <v>931.47024999999985</v>
      </c>
      <c r="C784" s="7">
        <f>Table1[[#This Row],[Net Sales]] * 0.2</f>
        <v>186.29404999999997</v>
      </c>
      <c r="D784" t="s">
        <v>23</v>
      </c>
      <c r="E784" t="s">
        <v>25</v>
      </c>
      <c r="F784">
        <v>5</v>
      </c>
      <c r="G784">
        <v>206.42</v>
      </c>
      <c r="H784" t="s">
        <v>34</v>
      </c>
      <c r="I784" t="s">
        <v>36</v>
      </c>
      <c r="J784" s="3">
        <v>0.05</v>
      </c>
      <c r="K784" t="s">
        <v>38</v>
      </c>
      <c r="L784">
        <v>980.49499999999989</v>
      </c>
      <c r="M784" t="s">
        <v>46</v>
      </c>
      <c r="N784" t="s">
        <v>50</v>
      </c>
      <c r="O784">
        <v>0</v>
      </c>
      <c r="P784" t="s">
        <v>833</v>
      </c>
      <c r="Q784" t="s">
        <v>2300</v>
      </c>
      <c r="R784">
        <v>35.51</v>
      </c>
      <c r="S784" s="5">
        <v>45448</v>
      </c>
      <c r="T784" s="5">
        <v>45456</v>
      </c>
      <c r="U784" t="s">
        <v>2926</v>
      </c>
    </row>
    <row r="785" spans="1:21" x14ac:dyDescent="0.25">
      <c r="A785" s="5">
        <v>45482</v>
      </c>
      <c r="B785" s="7">
        <f>Table1[[#This Row],[TotalPrice]] * (1 - Table1[[#This Row],[Discount]])</f>
        <v>742.23869999999988</v>
      </c>
      <c r="C785" s="7">
        <f>Table1[[#This Row],[Net Sales]] * 0.2</f>
        <v>148.44773999999998</v>
      </c>
      <c r="D785" t="s">
        <v>19</v>
      </c>
      <c r="E785" t="s">
        <v>30</v>
      </c>
      <c r="F785">
        <v>4</v>
      </c>
      <c r="G785">
        <v>256.83</v>
      </c>
      <c r="H785" t="s">
        <v>32</v>
      </c>
      <c r="I785" t="s">
        <v>35</v>
      </c>
      <c r="J785" s="3">
        <v>0.15</v>
      </c>
      <c r="K785" t="s">
        <v>40</v>
      </c>
      <c r="L785">
        <v>873.22199999999987</v>
      </c>
      <c r="M785" t="s">
        <v>47</v>
      </c>
      <c r="O785">
        <v>1</v>
      </c>
      <c r="P785" t="s">
        <v>834</v>
      </c>
      <c r="Q785" t="s">
        <v>2301</v>
      </c>
      <c r="R785">
        <v>44.72</v>
      </c>
      <c r="S785" s="5">
        <v>45482</v>
      </c>
      <c r="T785" s="5">
        <v>45490</v>
      </c>
      <c r="U785" t="s">
        <v>2922</v>
      </c>
    </row>
    <row r="786" spans="1:21" x14ac:dyDescent="0.25">
      <c r="A786" s="5">
        <v>45724</v>
      </c>
      <c r="B786" s="7">
        <f>Table1[[#This Row],[TotalPrice]] * (1 - Table1[[#This Row],[Discount]])</f>
        <v>247.04</v>
      </c>
      <c r="C786" s="7">
        <f>Table1[[#This Row],[Net Sales]] * 0.2</f>
        <v>49.408000000000001</v>
      </c>
      <c r="D786" t="s">
        <v>20</v>
      </c>
      <c r="E786" t="s">
        <v>28</v>
      </c>
      <c r="F786">
        <v>1</v>
      </c>
      <c r="G786">
        <v>247.04</v>
      </c>
      <c r="H786" t="s">
        <v>33</v>
      </c>
      <c r="I786" t="s">
        <v>35</v>
      </c>
      <c r="J786" s="3">
        <v>0</v>
      </c>
      <c r="K786" t="s">
        <v>42</v>
      </c>
      <c r="L786">
        <v>247.04</v>
      </c>
      <c r="M786" t="s">
        <v>45</v>
      </c>
      <c r="N786" t="s">
        <v>48</v>
      </c>
      <c r="O786">
        <v>0</v>
      </c>
      <c r="P786" t="s">
        <v>835</v>
      </c>
      <c r="Q786" t="s">
        <v>2302</v>
      </c>
      <c r="R786">
        <v>26.86</v>
      </c>
      <c r="S786" s="5">
        <v>45724</v>
      </c>
      <c r="T786" s="5">
        <v>45729</v>
      </c>
      <c r="U786" t="s">
        <v>2923</v>
      </c>
    </row>
    <row r="787" spans="1:21" x14ac:dyDescent="0.25">
      <c r="A787" s="5">
        <v>45829</v>
      </c>
      <c r="B787" s="7">
        <f>Table1[[#This Row],[TotalPrice]] * (1 - Table1[[#This Row],[Discount]])</f>
        <v>1264.47615</v>
      </c>
      <c r="C787" s="7">
        <f>Table1[[#This Row],[Net Sales]] * 0.2</f>
        <v>252.89523</v>
      </c>
      <c r="D787" t="s">
        <v>20</v>
      </c>
      <c r="E787" t="s">
        <v>29</v>
      </c>
      <c r="F787">
        <v>3</v>
      </c>
      <c r="G787">
        <v>583.38</v>
      </c>
      <c r="H787" t="s">
        <v>31</v>
      </c>
      <c r="I787" t="s">
        <v>36</v>
      </c>
      <c r="J787" s="3">
        <v>0.15</v>
      </c>
      <c r="K787" t="s">
        <v>41</v>
      </c>
      <c r="L787">
        <v>1487.6189999999999</v>
      </c>
      <c r="M787" t="s">
        <v>47</v>
      </c>
      <c r="N787" t="s">
        <v>50</v>
      </c>
      <c r="O787">
        <v>1</v>
      </c>
      <c r="P787" t="s">
        <v>836</v>
      </c>
      <c r="Q787" t="s">
        <v>2303</v>
      </c>
      <c r="R787">
        <v>30.12</v>
      </c>
      <c r="S787" s="5">
        <v>45829</v>
      </c>
      <c r="T787" s="5">
        <v>45838</v>
      </c>
      <c r="U787" t="s">
        <v>2923</v>
      </c>
    </row>
    <row r="788" spans="1:21" x14ac:dyDescent="0.25">
      <c r="A788" s="5">
        <v>45836</v>
      </c>
      <c r="B788" s="7">
        <f>Table1[[#This Row],[TotalPrice]] * (1 - Table1[[#This Row],[Discount]])</f>
        <v>3206.4116499999991</v>
      </c>
      <c r="C788" s="7">
        <f>Table1[[#This Row],[Net Sales]] * 0.2</f>
        <v>641.28232999999989</v>
      </c>
      <c r="D788" t="s">
        <v>21</v>
      </c>
      <c r="E788" t="s">
        <v>29</v>
      </c>
      <c r="F788">
        <v>13</v>
      </c>
      <c r="G788">
        <v>341.38</v>
      </c>
      <c r="H788" t="s">
        <v>33</v>
      </c>
      <c r="I788" t="s">
        <v>36</v>
      </c>
      <c r="J788" s="3">
        <v>0.15</v>
      </c>
      <c r="K788" t="s">
        <v>38</v>
      </c>
      <c r="L788">
        <v>3772.2489999999989</v>
      </c>
      <c r="M788" t="s">
        <v>47</v>
      </c>
      <c r="O788">
        <v>0</v>
      </c>
      <c r="P788" t="s">
        <v>837</v>
      </c>
      <c r="Q788" t="s">
        <v>2304</v>
      </c>
      <c r="R788">
        <v>18.2</v>
      </c>
      <c r="S788" s="5">
        <v>45836</v>
      </c>
      <c r="T788" s="5">
        <v>45839</v>
      </c>
      <c r="U788" t="s">
        <v>2924</v>
      </c>
    </row>
    <row r="789" spans="1:21" x14ac:dyDescent="0.25">
      <c r="A789" s="5">
        <v>45752</v>
      </c>
      <c r="B789" s="7">
        <f>Table1[[#This Row],[TotalPrice]] * (1 - Table1[[#This Row],[Discount]])</f>
        <v>3665.6543249999995</v>
      </c>
      <c r="C789" s="7">
        <f>Table1[[#This Row],[Net Sales]] * 0.2</f>
        <v>733.13086499999997</v>
      </c>
      <c r="D789" t="s">
        <v>23</v>
      </c>
      <c r="E789" t="s">
        <v>27</v>
      </c>
      <c r="F789">
        <v>19</v>
      </c>
      <c r="G789">
        <v>267.02999999999997</v>
      </c>
      <c r="H789" t="s">
        <v>34</v>
      </c>
      <c r="I789" t="s">
        <v>35</v>
      </c>
      <c r="J789" s="3">
        <v>0.15</v>
      </c>
      <c r="K789" t="s">
        <v>42</v>
      </c>
      <c r="L789">
        <v>4312.5344999999998</v>
      </c>
      <c r="M789" t="s">
        <v>43</v>
      </c>
      <c r="N789" t="s">
        <v>49</v>
      </c>
      <c r="O789">
        <v>1</v>
      </c>
      <c r="P789" t="s">
        <v>838</v>
      </c>
      <c r="Q789" t="s">
        <v>2305</v>
      </c>
      <c r="R789">
        <v>35.82</v>
      </c>
      <c r="S789" s="5">
        <v>45752</v>
      </c>
      <c r="T789" s="5">
        <v>45760</v>
      </c>
      <c r="U789" t="s">
        <v>2926</v>
      </c>
    </row>
    <row r="790" spans="1:21" x14ac:dyDescent="0.25">
      <c r="A790" s="5">
        <v>45356</v>
      </c>
      <c r="B790" s="7">
        <f>Table1[[#This Row],[TotalPrice]] * (1 - Table1[[#This Row],[Discount]])</f>
        <v>543.82999999999993</v>
      </c>
      <c r="C790" s="7">
        <f>Table1[[#This Row],[Net Sales]] * 0.2</f>
        <v>108.76599999999999</v>
      </c>
      <c r="D790" t="s">
        <v>20</v>
      </c>
      <c r="E790" t="s">
        <v>30</v>
      </c>
      <c r="F790">
        <v>7</v>
      </c>
      <c r="G790">
        <v>77.69</v>
      </c>
      <c r="H790" t="s">
        <v>34</v>
      </c>
      <c r="I790" t="s">
        <v>35</v>
      </c>
      <c r="J790" s="3">
        <v>0</v>
      </c>
      <c r="K790" t="s">
        <v>40</v>
      </c>
      <c r="L790">
        <v>543.82999999999993</v>
      </c>
      <c r="M790" t="s">
        <v>45</v>
      </c>
      <c r="N790" t="s">
        <v>49</v>
      </c>
      <c r="O790">
        <v>0</v>
      </c>
      <c r="P790" t="s">
        <v>839</v>
      </c>
      <c r="Q790" t="s">
        <v>2306</v>
      </c>
      <c r="R790">
        <v>41.89</v>
      </c>
      <c r="S790" s="5">
        <v>45356</v>
      </c>
      <c r="T790" s="5">
        <v>45363</v>
      </c>
      <c r="U790" t="s">
        <v>2923</v>
      </c>
    </row>
    <row r="791" spans="1:21" x14ac:dyDescent="0.25">
      <c r="A791" s="5">
        <v>45360</v>
      </c>
      <c r="B791" s="7">
        <f>Table1[[#This Row],[TotalPrice]] * (1 - Table1[[#This Row],[Discount]])</f>
        <v>6248.6</v>
      </c>
      <c r="C791" s="7">
        <f>Table1[[#This Row],[Net Sales]] * 0.2</f>
        <v>1249.7200000000003</v>
      </c>
      <c r="D791" t="s">
        <v>19</v>
      </c>
      <c r="E791" t="s">
        <v>25</v>
      </c>
      <c r="F791">
        <v>20</v>
      </c>
      <c r="G791">
        <v>312.43</v>
      </c>
      <c r="H791" t="s">
        <v>33</v>
      </c>
      <c r="I791" t="s">
        <v>36</v>
      </c>
      <c r="J791" s="3">
        <v>0</v>
      </c>
      <c r="K791" t="s">
        <v>40</v>
      </c>
      <c r="L791">
        <v>6248.6</v>
      </c>
      <c r="M791" t="s">
        <v>45</v>
      </c>
      <c r="N791" t="s">
        <v>49</v>
      </c>
      <c r="O791">
        <v>0</v>
      </c>
      <c r="P791" t="s">
        <v>840</v>
      </c>
      <c r="Q791" t="s">
        <v>2307</v>
      </c>
      <c r="R791">
        <v>28.11</v>
      </c>
      <c r="S791" s="5">
        <v>45360</v>
      </c>
      <c r="T791" s="5">
        <v>45362</v>
      </c>
      <c r="U791" t="s">
        <v>2922</v>
      </c>
    </row>
    <row r="792" spans="1:21" x14ac:dyDescent="0.25">
      <c r="A792" s="5">
        <v>45713</v>
      </c>
      <c r="B792" s="7">
        <f>Table1[[#This Row],[TotalPrice]] * (1 - Table1[[#This Row],[Discount]])</f>
        <v>241.77974999999998</v>
      </c>
      <c r="C792" s="7">
        <f>Table1[[#This Row],[Net Sales]] * 0.2</f>
        <v>48.35595</v>
      </c>
      <c r="D792" t="s">
        <v>22</v>
      </c>
      <c r="E792" t="s">
        <v>28</v>
      </c>
      <c r="F792">
        <v>19</v>
      </c>
      <c r="G792">
        <v>14.1</v>
      </c>
      <c r="H792" t="s">
        <v>33</v>
      </c>
      <c r="I792" t="s">
        <v>35</v>
      </c>
      <c r="J792" s="3">
        <v>0.05</v>
      </c>
      <c r="K792" t="s">
        <v>40</v>
      </c>
      <c r="L792">
        <v>254.505</v>
      </c>
      <c r="M792" t="s">
        <v>47</v>
      </c>
      <c r="N792" t="s">
        <v>48</v>
      </c>
      <c r="O792">
        <v>0</v>
      </c>
      <c r="P792" t="s">
        <v>841</v>
      </c>
      <c r="Q792" t="s">
        <v>2308</v>
      </c>
      <c r="R792">
        <v>37.840000000000003</v>
      </c>
      <c r="S792" s="5">
        <v>45713</v>
      </c>
      <c r="T792" s="5">
        <v>45716</v>
      </c>
      <c r="U792" t="s">
        <v>2925</v>
      </c>
    </row>
    <row r="793" spans="1:21" x14ac:dyDescent="0.25">
      <c r="A793" s="5">
        <v>45612</v>
      </c>
      <c r="B793" s="7">
        <f>Table1[[#This Row],[TotalPrice]] * (1 - Table1[[#This Row],[Discount]])</f>
        <v>4093.8392749999989</v>
      </c>
      <c r="C793" s="7">
        <f>Table1[[#This Row],[Net Sales]] * 0.2</f>
        <v>818.76785499999983</v>
      </c>
      <c r="D793" t="s">
        <v>23</v>
      </c>
      <c r="E793" t="s">
        <v>29</v>
      </c>
      <c r="F793">
        <v>17</v>
      </c>
      <c r="G793">
        <v>266.83</v>
      </c>
      <c r="H793" t="s">
        <v>34</v>
      </c>
      <c r="I793" t="s">
        <v>36</v>
      </c>
      <c r="J793" s="3">
        <v>0.05</v>
      </c>
      <c r="K793" t="s">
        <v>39</v>
      </c>
      <c r="L793">
        <v>4309.3044999999993</v>
      </c>
      <c r="M793" t="s">
        <v>45</v>
      </c>
      <c r="N793" t="s">
        <v>50</v>
      </c>
      <c r="O793">
        <v>0</v>
      </c>
      <c r="P793" t="s">
        <v>842</v>
      </c>
      <c r="Q793" t="s">
        <v>2309</v>
      </c>
      <c r="R793">
        <v>32.520000000000003</v>
      </c>
      <c r="S793" s="5">
        <v>45612</v>
      </c>
      <c r="T793" s="5">
        <v>45619</v>
      </c>
      <c r="U793" t="s">
        <v>2926</v>
      </c>
    </row>
    <row r="794" spans="1:21" x14ac:dyDescent="0.25">
      <c r="A794" s="5">
        <v>45505</v>
      </c>
      <c r="B794" s="7">
        <f>Table1[[#This Row],[TotalPrice]] * (1 - Table1[[#This Row],[Discount]])</f>
        <v>4478.3855000000003</v>
      </c>
      <c r="C794" s="7">
        <f>Table1[[#This Row],[Net Sales]] * 0.2</f>
        <v>895.67710000000011</v>
      </c>
      <c r="D794" t="s">
        <v>20</v>
      </c>
      <c r="E794" t="s">
        <v>30</v>
      </c>
      <c r="F794">
        <v>20</v>
      </c>
      <c r="G794">
        <v>248.11</v>
      </c>
      <c r="H794" t="s">
        <v>34</v>
      </c>
      <c r="I794" t="s">
        <v>35</v>
      </c>
      <c r="J794" s="3">
        <v>0.05</v>
      </c>
      <c r="K794" t="s">
        <v>40</v>
      </c>
      <c r="L794">
        <v>4714.09</v>
      </c>
      <c r="M794" t="s">
        <v>43</v>
      </c>
      <c r="N794" t="s">
        <v>49</v>
      </c>
      <c r="O794">
        <v>0</v>
      </c>
      <c r="P794" t="s">
        <v>843</v>
      </c>
      <c r="Q794" t="s">
        <v>2310</v>
      </c>
      <c r="R794">
        <v>22.96</v>
      </c>
      <c r="S794" s="5">
        <v>45505</v>
      </c>
      <c r="T794" s="5">
        <v>45510</v>
      </c>
      <c r="U794" t="s">
        <v>2923</v>
      </c>
    </row>
    <row r="795" spans="1:21" x14ac:dyDescent="0.25">
      <c r="A795" s="5">
        <v>45402</v>
      </c>
      <c r="B795" s="7">
        <f>Table1[[#This Row],[TotalPrice]] * (1 - Table1[[#This Row],[Discount]])</f>
        <v>1429.3794999999998</v>
      </c>
      <c r="C795" s="7">
        <f>Table1[[#This Row],[Net Sales]] * 0.2</f>
        <v>285.87589999999994</v>
      </c>
      <c r="D795" t="s">
        <v>23</v>
      </c>
      <c r="E795" t="s">
        <v>27</v>
      </c>
      <c r="F795">
        <v>5</v>
      </c>
      <c r="G795">
        <v>316.76</v>
      </c>
      <c r="H795" t="s">
        <v>31</v>
      </c>
      <c r="I795" t="s">
        <v>36</v>
      </c>
      <c r="J795" s="3">
        <v>0.05</v>
      </c>
      <c r="K795" t="s">
        <v>38</v>
      </c>
      <c r="L795">
        <v>1504.61</v>
      </c>
      <c r="M795" t="s">
        <v>44</v>
      </c>
      <c r="N795" t="s">
        <v>48</v>
      </c>
      <c r="O795">
        <v>1</v>
      </c>
      <c r="P795" t="s">
        <v>844</v>
      </c>
      <c r="Q795" t="s">
        <v>2162</v>
      </c>
      <c r="R795">
        <v>12.7</v>
      </c>
      <c r="S795" s="5">
        <v>45402</v>
      </c>
      <c r="T795" s="5">
        <v>45412</v>
      </c>
      <c r="U795" t="s">
        <v>2926</v>
      </c>
    </row>
    <row r="796" spans="1:21" x14ac:dyDescent="0.25">
      <c r="A796" s="5">
        <v>45402</v>
      </c>
      <c r="B796" s="7">
        <f>Table1[[#This Row],[TotalPrice]] * (1 - Table1[[#This Row],[Discount]])</f>
        <v>274.78440000000001</v>
      </c>
      <c r="C796" s="7">
        <f>Table1[[#This Row],[Net Sales]] * 0.2</f>
        <v>54.956880000000005</v>
      </c>
      <c r="D796" t="s">
        <v>20</v>
      </c>
      <c r="E796" t="s">
        <v>24</v>
      </c>
      <c r="F796">
        <v>2</v>
      </c>
      <c r="G796">
        <v>169.62</v>
      </c>
      <c r="H796" t="s">
        <v>33</v>
      </c>
      <c r="I796" t="s">
        <v>36</v>
      </c>
      <c r="J796" s="3">
        <v>0.1</v>
      </c>
      <c r="K796" t="s">
        <v>38</v>
      </c>
      <c r="L796">
        <v>305.31599999999997</v>
      </c>
      <c r="M796" t="s">
        <v>46</v>
      </c>
      <c r="O796">
        <v>0</v>
      </c>
      <c r="P796" t="s">
        <v>845</v>
      </c>
      <c r="Q796" t="s">
        <v>2311</v>
      </c>
      <c r="R796">
        <v>45.41</v>
      </c>
      <c r="S796" s="5">
        <v>45402</v>
      </c>
      <c r="T796" s="5">
        <v>45407</v>
      </c>
      <c r="U796" t="s">
        <v>2923</v>
      </c>
    </row>
    <row r="797" spans="1:21" x14ac:dyDescent="0.25">
      <c r="A797" s="5">
        <v>45191</v>
      </c>
      <c r="B797" s="7">
        <f>Table1[[#This Row],[TotalPrice]] * (1 - Table1[[#This Row],[Discount]])</f>
        <v>485.67895000000004</v>
      </c>
      <c r="C797" s="7">
        <f>Table1[[#This Row],[Net Sales]] * 0.2</f>
        <v>97.135790000000014</v>
      </c>
      <c r="D797" t="s">
        <v>21</v>
      </c>
      <c r="E797" t="s">
        <v>24</v>
      </c>
      <c r="F797">
        <v>19</v>
      </c>
      <c r="G797">
        <v>35.380000000000003</v>
      </c>
      <c r="H797" t="s">
        <v>32</v>
      </c>
      <c r="I797" t="s">
        <v>36</v>
      </c>
      <c r="J797" s="3">
        <v>0.15</v>
      </c>
      <c r="K797" t="s">
        <v>41</v>
      </c>
      <c r="L797">
        <v>571.38700000000006</v>
      </c>
      <c r="M797" t="s">
        <v>43</v>
      </c>
      <c r="N797" t="s">
        <v>49</v>
      </c>
      <c r="O797">
        <v>0</v>
      </c>
      <c r="P797" t="s">
        <v>846</v>
      </c>
      <c r="Q797" t="s">
        <v>2312</v>
      </c>
      <c r="R797">
        <v>7.06</v>
      </c>
      <c r="S797" s="5">
        <v>45191</v>
      </c>
      <c r="T797" s="5">
        <v>45197</v>
      </c>
      <c r="U797" t="s">
        <v>2924</v>
      </c>
    </row>
    <row r="798" spans="1:21" x14ac:dyDescent="0.25">
      <c r="A798" s="5">
        <v>45709</v>
      </c>
      <c r="B798" s="7">
        <f>Table1[[#This Row],[TotalPrice]] * (1 - Table1[[#This Row],[Discount]])</f>
        <v>641.71440000000007</v>
      </c>
      <c r="C798" s="7">
        <f>Table1[[#This Row],[Net Sales]] * 0.2</f>
        <v>128.34288000000001</v>
      </c>
      <c r="D798" t="s">
        <v>23</v>
      </c>
      <c r="E798" t="s">
        <v>27</v>
      </c>
      <c r="F798">
        <v>3</v>
      </c>
      <c r="G798">
        <v>264.08</v>
      </c>
      <c r="H798" t="s">
        <v>32</v>
      </c>
      <c r="I798" t="s">
        <v>36</v>
      </c>
      <c r="J798" s="3">
        <v>0.1</v>
      </c>
      <c r="K798" t="s">
        <v>41</v>
      </c>
      <c r="L798">
        <v>713.01600000000008</v>
      </c>
      <c r="M798" t="s">
        <v>43</v>
      </c>
      <c r="O798">
        <v>0</v>
      </c>
      <c r="P798" t="s">
        <v>847</v>
      </c>
      <c r="Q798" t="s">
        <v>2313</v>
      </c>
      <c r="R798">
        <v>25.39</v>
      </c>
      <c r="S798" s="5">
        <v>45709</v>
      </c>
      <c r="T798" s="5">
        <v>45718</v>
      </c>
      <c r="U798" t="s">
        <v>2926</v>
      </c>
    </row>
    <row r="799" spans="1:21" x14ac:dyDescent="0.25">
      <c r="A799" s="5">
        <v>45832</v>
      </c>
      <c r="B799" s="7">
        <f>Table1[[#This Row],[TotalPrice]] * (1 - Table1[[#This Row],[Discount]])</f>
        <v>496.93549999999999</v>
      </c>
      <c r="C799" s="7">
        <f>Table1[[#This Row],[Net Sales]] * 0.2</f>
        <v>99.387100000000004</v>
      </c>
      <c r="D799" t="s">
        <v>19</v>
      </c>
      <c r="E799" t="s">
        <v>29</v>
      </c>
      <c r="F799">
        <v>5</v>
      </c>
      <c r="G799">
        <v>137.56</v>
      </c>
      <c r="H799" t="s">
        <v>33</v>
      </c>
      <c r="I799" t="s">
        <v>35</v>
      </c>
      <c r="J799" s="3">
        <v>0.15</v>
      </c>
      <c r="K799" t="s">
        <v>41</v>
      </c>
      <c r="L799">
        <v>584.63</v>
      </c>
      <c r="M799" t="s">
        <v>46</v>
      </c>
      <c r="N799" t="s">
        <v>49</v>
      </c>
      <c r="O799">
        <v>0</v>
      </c>
      <c r="P799" t="s">
        <v>848</v>
      </c>
      <c r="Q799" t="s">
        <v>1655</v>
      </c>
      <c r="R799">
        <v>6.45</v>
      </c>
      <c r="S799" s="5">
        <v>45832</v>
      </c>
      <c r="T799" s="5">
        <v>45839</v>
      </c>
      <c r="U799" t="s">
        <v>2922</v>
      </c>
    </row>
    <row r="800" spans="1:21" x14ac:dyDescent="0.25">
      <c r="A800" s="5">
        <v>45258</v>
      </c>
      <c r="B800" s="7">
        <f>Table1[[#This Row],[TotalPrice]] * (1 - Table1[[#This Row],[Discount]])</f>
        <v>912.83539999999994</v>
      </c>
      <c r="C800" s="7">
        <f>Table1[[#This Row],[Net Sales]] * 0.2</f>
        <v>182.56708</v>
      </c>
      <c r="D800" t="s">
        <v>22</v>
      </c>
      <c r="E800" t="s">
        <v>24</v>
      </c>
      <c r="F800">
        <v>8</v>
      </c>
      <c r="G800">
        <v>157.93</v>
      </c>
      <c r="H800" t="s">
        <v>31</v>
      </c>
      <c r="I800" t="s">
        <v>36</v>
      </c>
      <c r="J800" s="3">
        <v>0.15</v>
      </c>
      <c r="K800" t="s">
        <v>41</v>
      </c>
      <c r="L800">
        <v>1073.924</v>
      </c>
      <c r="M800" t="s">
        <v>43</v>
      </c>
      <c r="N800" t="s">
        <v>49</v>
      </c>
      <c r="O800">
        <v>0</v>
      </c>
      <c r="P800" t="s">
        <v>849</v>
      </c>
      <c r="Q800" t="s">
        <v>2314</v>
      </c>
      <c r="R800">
        <v>6.31</v>
      </c>
      <c r="S800" s="5">
        <v>45258</v>
      </c>
      <c r="T800" s="5">
        <v>45265</v>
      </c>
      <c r="U800" t="s">
        <v>2925</v>
      </c>
    </row>
    <row r="801" spans="1:21" x14ac:dyDescent="0.25">
      <c r="A801" s="5">
        <v>45390</v>
      </c>
      <c r="B801" s="7">
        <f>Table1[[#This Row],[TotalPrice]] * (1 - Table1[[#This Row],[Discount]])</f>
        <v>686.94689999999991</v>
      </c>
      <c r="C801" s="7">
        <f>Table1[[#This Row],[Net Sales]] * 0.2</f>
        <v>137.38937999999999</v>
      </c>
      <c r="D801" t="s">
        <v>21</v>
      </c>
      <c r="E801" t="s">
        <v>26</v>
      </c>
      <c r="F801">
        <v>6</v>
      </c>
      <c r="G801">
        <v>126.86</v>
      </c>
      <c r="H801" t="s">
        <v>33</v>
      </c>
      <c r="I801" t="s">
        <v>35</v>
      </c>
      <c r="J801" s="3">
        <v>0.05</v>
      </c>
      <c r="K801" t="s">
        <v>37</v>
      </c>
      <c r="L801">
        <v>723.10199999999998</v>
      </c>
      <c r="M801" t="s">
        <v>46</v>
      </c>
      <c r="N801" t="s">
        <v>48</v>
      </c>
      <c r="O801">
        <v>0</v>
      </c>
      <c r="P801" t="s">
        <v>850</v>
      </c>
      <c r="Q801" t="s">
        <v>2315</v>
      </c>
      <c r="R801">
        <v>35.49</v>
      </c>
      <c r="S801" s="5">
        <v>45390</v>
      </c>
      <c r="T801" s="5">
        <v>45399</v>
      </c>
      <c r="U801" t="s">
        <v>2924</v>
      </c>
    </row>
    <row r="802" spans="1:21" x14ac:dyDescent="0.25">
      <c r="A802" s="5">
        <v>45664</v>
      </c>
      <c r="B802" s="7">
        <f>Table1[[#This Row],[TotalPrice]] * (1 - Table1[[#This Row],[Discount]])</f>
        <v>3249.6768750000001</v>
      </c>
      <c r="C802" s="7">
        <f>Table1[[#This Row],[Net Sales]] * 0.2</f>
        <v>649.93537500000002</v>
      </c>
      <c r="D802" t="s">
        <v>21</v>
      </c>
      <c r="E802" t="s">
        <v>27</v>
      </c>
      <c r="F802">
        <v>15</v>
      </c>
      <c r="G802">
        <v>240.05</v>
      </c>
      <c r="H802" t="s">
        <v>33</v>
      </c>
      <c r="I802" t="s">
        <v>36</v>
      </c>
      <c r="J802" s="3">
        <v>0.05</v>
      </c>
      <c r="K802" t="s">
        <v>40</v>
      </c>
      <c r="L802">
        <v>3420.7125000000001</v>
      </c>
      <c r="M802" t="s">
        <v>45</v>
      </c>
      <c r="N802" t="s">
        <v>48</v>
      </c>
      <c r="O802">
        <v>0</v>
      </c>
      <c r="P802" t="s">
        <v>851</v>
      </c>
      <c r="Q802" t="s">
        <v>2221</v>
      </c>
      <c r="R802">
        <v>14.31</v>
      </c>
      <c r="S802" s="5">
        <v>45664</v>
      </c>
      <c r="T802" s="5">
        <v>45671</v>
      </c>
      <c r="U802" t="s">
        <v>2924</v>
      </c>
    </row>
    <row r="803" spans="1:21" x14ac:dyDescent="0.25">
      <c r="A803" s="5">
        <v>44981</v>
      </c>
      <c r="B803" s="7">
        <f>Table1[[#This Row],[TotalPrice]] * (1 - Table1[[#This Row],[Discount]])</f>
        <v>91.440899999999999</v>
      </c>
      <c r="C803" s="7">
        <f>Table1[[#This Row],[Net Sales]] * 0.2</f>
        <v>18.288180000000001</v>
      </c>
      <c r="D803" t="s">
        <v>20</v>
      </c>
      <c r="E803" t="s">
        <v>29</v>
      </c>
      <c r="F803">
        <v>3</v>
      </c>
      <c r="G803">
        <v>37.630000000000003</v>
      </c>
      <c r="H803" t="s">
        <v>32</v>
      </c>
      <c r="I803" t="s">
        <v>35</v>
      </c>
      <c r="J803" s="3">
        <v>0.1</v>
      </c>
      <c r="K803" t="s">
        <v>40</v>
      </c>
      <c r="L803">
        <v>101.601</v>
      </c>
      <c r="M803" t="s">
        <v>46</v>
      </c>
      <c r="N803" t="s">
        <v>48</v>
      </c>
      <c r="O803">
        <v>0</v>
      </c>
      <c r="P803" t="s">
        <v>852</v>
      </c>
      <c r="Q803" t="s">
        <v>2316</v>
      </c>
      <c r="R803">
        <v>43.7</v>
      </c>
      <c r="S803" s="5">
        <v>44981</v>
      </c>
      <c r="T803" s="5">
        <v>44988</v>
      </c>
      <c r="U803" t="s">
        <v>2923</v>
      </c>
    </row>
    <row r="804" spans="1:21" x14ac:dyDescent="0.25">
      <c r="A804" s="5">
        <v>45218</v>
      </c>
      <c r="B804" s="7">
        <f>Table1[[#This Row],[TotalPrice]] * (1 - Table1[[#This Row],[Discount]])</f>
        <v>4139.3430000000008</v>
      </c>
      <c r="C804" s="7">
        <f>Table1[[#This Row],[Net Sales]] * 0.2</f>
        <v>827.86860000000024</v>
      </c>
      <c r="D804" t="s">
        <v>19</v>
      </c>
      <c r="E804" t="s">
        <v>27</v>
      </c>
      <c r="F804">
        <v>13</v>
      </c>
      <c r="G804">
        <v>393.1</v>
      </c>
      <c r="H804" t="s">
        <v>31</v>
      </c>
      <c r="I804" t="s">
        <v>35</v>
      </c>
      <c r="J804" s="3">
        <v>0.1</v>
      </c>
      <c r="K804" t="s">
        <v>38</v>
      </c>
      <c r="L804">
        <v>4599.2700000000004</v>
      </c>
      <c r="M804" t="s">
        <v>43</v>
      </c>
      <c r="O804">
        <v>0</v>
      </c>
      <c r="P804" t="s">
        <v>853</v>
      </c>
      <c r="Q804" t="s">
        <v>1558</v>
      </c>
      <c r="R804">
        <v>12.64</v>
      </c>
      <c r="S804" s="5">
        <v>45218</v>
      </c>
      <c r="T804" s="5">
        <v>45225</v>
      </c>
      <c r="U804" t="s">
        <v>2922</v>
      </c>
    </row>
    <row r="805" spans="1:21" x14ac:dyDescent="0.25">
      <c r="A805" s="5">
        <v>45460</v>
      </c>
      <c r="B805" s="7">
        <f>Table1[[#This Row],[TotalPrice]] * (1 - Table1[[#This Row],[Discount]])</f>
        <v>605.88849999999991</v>
      </c>
      <c r="C805" s="7">
        <f>Table1[[#This Row],[Net Sales]] * 0.2</f>
        <v>121.17769999999999</v>
      </c>
      <c r="D805" t="s">
        <v>21</v>
      </c>
      <c r="E805" t="s">
        <v>27</v>
      </c>
      <c r="F805">
        <v>10</v>
      </c>
      <c r="G805">
        <v>83.86</v>
      </c>
      <c r="H805" t="s">
        <v>32</v>
      </c>
      <c r="I805" t="s">
        <v>35</v>
      </c>
      <c r="J805" s="3">
        <v>0.15</v>
      </c>
      <c r="K805" t="s">
        <v>38</v>
      </c>
      <c r="L805">
        <v>712.81</v>
      </c>
      <c r="M805" t="s">
        <v>45</v>
      </c>
      <c r="O805">
        <v>0</v>
      </c>
      <c r="P805" t="s">
        <v>854</v>
      </c>
      <c r="Q805" t="s">
        <v>2317</v>
      </c>
      <c r="R805">
        <v>41.11</v>
      </c>
      <c r="S805" s="5">
        <v>45460</v>
      </c>
      <c r="T805" s="5">
        <v>45464</v>
      </c>
      <c r="U805" t="s">
        <v>2924</v>
      </c>
    </row>
    <row r="806" spans="1:21" x14ac:dyDescent="0.25">
      <c r="A806" s="5">
        <v>45098</v>
      </c>
      <c r="B806" s="7">
        <f>Table1[[#This Row],[TotalPrice]] * (1 - Table1[[#This Row],[Discount]])</f>
        <v>1100.7</v>
      </c>
      <c r="C806" s="7">
        <f>Table1[[#This Row],[Net Sales]] * 0.2</f>
        <v>220.14000000000001</v>
      </c>
      <c r="D806" t="s">
        <v>22</v>
      </c>
      <c r="E806" t="s">
        <v>26</v>
      </c>
      <c r="F806">
        <v>10</v>
      </c>
      <c r="G806">
        <v>110.07</v>
      </c>
      <c r="H806" t="s">
        <v>31</v>
      </c>
      <c r="I806" t="s">
        <v>35</v>
      </c>
      <c r="J806" s="3">
        <v>0</v>
      </c>
      <c r="K806" t="s">
        <v>39</v>
      </c>
      <c r="L806">
        <v>1100.7</v>
      </c>
      <c r="M806" t="s">
        <v>45</v>
      </c>
      <c r="O806">
        <v>0</v>
      </c>
      <c r="P806" t="s">
        <v>855</v>
      </c>
      <c r="Q806" t="s">
        <v>2318</v>
      </c>
      <c r="R806">
        <v>18.47</v>
      </c>
      <c r="S806" s="5">
        <v>45098</v>
      </c>
      <c r="T806" s="5">
        <v>45106</v>
      </c>
      <c r="U806" t="s">
        <v>2925</v>
      </c>
    </row>
    <row r="807" spans="1:21" x14ac:dyDescent="0.25">
      <c r="A807" s="5">
        <v>45534</v>
      </c>
      <c r="B807" s="7">
        <f>Table1[[#This Row],[TotalPrice]] * (1 - Table1[[#This Row],[Discount]])</f>
        <v>1252.7283</v>
      </c>
      <c r="C807" s="7">
        <f>Table1[[#This Row],[Net Sales]] * 0.2</f>
        <v>250.54566</v>
      </c>
      <c r="D807" t="s">
        <v>19</v>
      </c>
      <c r="E807" t="s">
        <v>25</v>
      </c>
      <c r="F807">
        <v>6</v>
      </c>
      <c r="G807">
        <v>288.98</v>
      </c>
      <c r="H807" t="s">
        <v>33</v>
      </c>
      <c r="I807" t="s">
        <v>35</v>
      </c>
      <c r="J807" s="3">
        <v>0.15</v>
      </c>
      <c r="K807" t="s">
        <v>41</v>
      </c>
      <c r="L807">
        <v>1473.798</v>
      </c>
      <c r="M807" t="s">
        <v>44</v>
      </c>
      <c r="O807">
        <v>0</v>
      </c>
      <c r="P807" t="s">
        <v>856</v>
      </c>
      <c r="Q807" t="s">
        <v>2319</v>
      </c>
      <c r="R807">
        <v>38.630000000000003</v>
      </c>
      <c r="S807" s="5">
        <v>45534</v>
      </c>
      <c r="T807" s="5">
        <v>45537</v>
      </c>
      <c r="U807" t="s">
        <v>2922</v>
      </c>
    </row>
    <row r="808" spans="1:21" x14ac:dyDescent="0.25">
      <c r="A808" s="5">
        <v>45660</v>
      </c>
      <c r="B808" s="7">
        <f>Table1[[#This Row],[TotalPrice]] * (1 - Table1[[#This Row],[Discount]])</f>
        <v>4511.3999999999996</v>
      </c>
      <c r="C808" s="7">
        <f>Table1[[#This Row],[Net Sales]] * 0.2</f>
        <v>902.28</v>
      </c>
      <c r="D808" t="s">
        <v>22</v>
      </c>
      <c r="E808" t="s">
        <v>26</v>
      </c>
      <c r="F808">
        <v>10</v>
      </c>
      <c r="G808">
        <v>451.14</v>
      </c>
      <c r="H808" t="s">
        <v>32</v>
      </c>
      <c r="I808" t="s">
        <v>36</v>
      </c>
      <c r="J808" s="3">
        <v>0</v>
      </c>
      <c r="K808" t="s">
        <v>42</v>
      </c>
      <c r="L808">
        <v>4511.3999999999996</v>
      </c>
      <c r="M808" t="s">
        <v>44</v>
      </c>
      <c r="N808" t="s">
        <v>48</v>
      </c>
      <c r="O808">
        <v>0</v>
      </c>
      <c r="P808" t="s">
        <v>857</v>
      </c>
      <c r="Q808" t="s">
        <v>2320</v>
      </c>
      <c r="R808">
        <v>29.96</v>
      </c>
      <c r="S808" s="5">
        <v>45660</v>
      </c>
      <c r="T808" s="5">
        <v>45670</v>
      </c>
      <c r="U808" t="s">
        <v>2925</v>
      </c>
    </row>
    <row r="809" spans="1:21" x14ac:dyDescent="0.25">
      <c r="A809" s="5">
        <v>44980</v>
      </c>
      <c r="B809" s="7">
        <f>Table1[[#This Row],[TotalPrice]] * (1 - Table1[[#This Row],[Discount]])</f>
        <v>8145.28</v>
      </c>
      <c r="C809" s="7">
        <f>Table1[[#This Row],[Net Sales]] * 0.2</f>
        <v>1629.056</v>
      </c>
      <c r="D809" t="s">
        <v>23</v>
      </c>
      <c r="E809" t="s">
        <v>30</v>
      </c>
      <c r="F809">
        <v>16</v>
      </c>
      <c r="G809">
        <v>509.08</v>
      </c>
      <c r="H809" t="s">
        <v>33</v>
      </c>
      <c r="I809" t="s">
        <v>35</v>
      </c>
      <c r="J809" s="3">
        <v>0</v>
      </c>
      <c r="K809" t="s">
        <v>40</v>
      </c>
      <c r="L809">
        <v>8145.28</v>
      </c>
      <c r="M809" t="s">
        <v>43</v>
      </c>
      <c r="N809" t="s">
        <v>48</v>
      </c>
      <c r="O809">
        <v>0</v>
      </c>
      <c r="P809" t="s">
        <v>858</v>
      </c>
      <c r="Q809" t="s">
        <v>1960</v>
      </c>
      <c r="R809">
        <v>37.53</v>
      </c>
      <c r="S809" s="5">
        <v>44980</v>
      </c>
      <c r="T809" s="5">
        <v>44987</v>
      </c>
      <c r="U809" t="s">
        <v>2926</v>
      </c>
    </row>
    <row r="810" spans="1:21" x14ac:dyDescent="0.25">
      <c r="A810" s="5">
        <v>45773</v>
      </c>
      <c r="B810" s="7">
        <f>Table1[[#This Row],[TotalPrice]] * (1 - Table1[[#This Row],[Discount]])</f>
        <v>2103.6552999999999</v>
      </c>
      <c r="C810" s="7">
        <f>Table1[[#This Row],[Net Sales]] * 0.2</f>
        <v>420.73106000000001</v>
      </c>
      <c r="D810" t="s">
        <v>22</v>
      </c>
      <c r="E810" t="s">
        <v>30</v>
      </c>
      <c r="F810">
        <v>4</v>
      </c>
      <c r="G810">
        <v>582.73</v>
      </c>
      <c r="H810" t="s">
        <v>34</v>
      </c>
      <c r="I810" t="s">
        <v>35</v>
      </c>
      <c r="J810" s="3">
        <v>0.05</v>
      </c>
      <c r="K810" t="s">
        <v>40</v>
      </c>
      <c r="L810">
        <v>2214.3739999999998</v>
      </c>
      <c r="M810" t="s">
        <v>47</v>
      </c>
      <c r="N810" t="s">
        <v>50</v>
      </c>
      <c r="O810">
        <v>0</v>
      </c>
      <c r="P810" t="s">
        <v>859</v>
      </c>
      <c r="Q810" t="s">
        <v>2321</v>
      </c>
      <c r="R810">
        <v>44.26</v>
      </c>
      <c r="S810" s="5">
        <v>45773</v>
      </c>
      <c r="T810" s="5">
        <v>45776</v>
      </c>
      <c r="U810" t="s">
        <v>2925</v>
      </c>
    </row>
    <row r="811" spans="1:21" x14ac:dyDescent="0.25">
      <c r="A811" s="5">
        <v>45085</v>
      </c>
      <c r="B811" s="7">
        <f>Table1[[#This Row],[TotalPrice]] * (1 - Table1[[#This Row],[Discount]])</f>
        <v>1037.1600000000001</v>
      </c>
      <c r="C811" s="7">
        <f>Table1[[#This Row],[Net Sales]] * 0.2</f>
        <v>207.43200000000002</v>
      </c>
      <c r="D811" t="s">
        <v>20</v>
      </c>
      <c r="E811" t="s">
        <v>25</v>
      </c>
      <c r="F811">
        <v>9</v>
      </c>
      <c r="G811">
        <v>115.24</v>
      </c>
      <c r="H811" t="s">
        <v>31</v>
      </c>
      <c r="I811" t="s">
        <v>35</v>
      </c>
      <c r="J811" s="3">
        <v>0</v>
      </c>
      <c r="K811" t="s">
        <v>38</v>
      </c>
      <c r="L811">
        <v>1037.1600000000001</v>
      </c>
      <c r="M811" t="s">
        <v>45</v>
      </c>
      <c r="N811" t="s">
        <v>48</v>
      </c>
      <c r="O811">
        <v>0</v>
      </c>
      <c r="P811" t="s">
        <v>860</v>
      </c>
      <c r="Q811" t="s">
        <v>2322</v>
      </c>
      <c r="R811">
        <v>8.2799999999999994</v>
      </c>
      <c r="S811" s="5">
        <v>45085</v>
      </c>
      <c r="T811" s="5">
        <v>45091</v>
      </c>
      <c r="U811" t="s">
        <v>2923</v>
      </c>
    </row>
    <row r="812" spans="1:21" x14ac:dyDescent="0.25">
      <c r="A812" s="5">
        <v>45001</v>
      </c>
      <c r="B812" s="7">
        <f>Table1[[#This Row],[TotalPrice]] * (1 - Table1[[#This Row],[Discount]])</f>
        <v>6412.2030000000013</v>
      </c>
      <c r="C812" s="7">
        <f>Table1[[#This Row],[Net Sales]] * 0.2</f>
        <v>1282.4406000000004</v>
      </c>
      <c r="D812" t="s">
        <v>21</v>
      </c>
      <c r="E812" t="s">
        <v>28</v>
      </c>
      <c r="F812">
        <v>14</v>
      </c>
      <c r="G812">
        <v>565.45000000000005</v>
      </c>
      <c r="H812" t="s">
        <v>34</v>
      </c>
      <c r="I812" t="s">
        <v>35</v>
      </c>
      <c r="J812" s="3">
        <v>0.1</v>
      </c>
      <c r="K812" t="s">
        <v>37</v>
      </c>
      <c r="L812">
        <v>7124.670000000001</v>
      </c>
      <c r="M812" t="s">
        <v>43</v>
      </c>
      <c r="N812" t="s">
        <v>50</v>
      </c>
      <c r="O812">
        <v>0</v>
      </c>
      <c r="P812" t="s">
        <v>861</v>
      </c>
      <c r="Q812" t="s">
        <v>2323</v>
      </c>
      <c r="R812">
        <v>24.4</v>
      </c>
      <c r="S812" s="5">
        <v>45001</v>
      </c>
      <c r="T812" s="5">
        <v>45010</v>
      </c>
      <c r="U812" t="s">
        <v>2924</v>
      </c>
    </row>
    <row r="813" spans="1:21" x14ac:dyDescent="0.25">
      <c r="A813" s="5">
        <v>45588</v>
      </c>
      <c r="B813" s="7">
        <f>Table1[[#This Row],[TotalPrice]] * (1 - Table1[[#This Row],[Discount]])</f>
        <v>1336.94</v>
      </c>
      <c r="C813" s="7">
        <f>Table1[[#This Row],[Net Sales]] * 0.2</f>
        <v>267.38800000000003</v>
      </c>
      <c r="D813" t="s">
        <v>21</v>
      </c>
      <c r="E813" t="s">
        <v>25</v>
      </c>
      <c r="F813">
        <v>11</v>
      </c>
      <c r="G813">
        <v>121.54</v>
      </c>
      <c r="H813" t="s">
        <v>34</v>
      </c>
      <c r="I813" t="s">
        <v>35</v>
      </c>
      <c r="J813" s="3">
        <v>0</v>
      </c>
      <c r="K813" t="s">
        <v>40</v>
      </c>
      <c r="L813">
        <v>1336.94</v>
      </c>
      <c r="M813" t="s">
        <v>45</v>
      </c>
      <c r="N813" t="s">
        <v>49</v>
      </c>
      <c r="O813">
        <v>0</v>
      </c>
      <c r="P813" t="s">
        <v>862</v>
      </c>
      <c r="Q813" t="s">
        <v>2324</v>
      </c>
      <c r="R813">
        <v>16.62</v>
      </c>
      <c r="S813" s="5">
        <v>45588</v>
      </c>
      <c r="T813" s="5">
        <v>45593</v>
      </c>
      <c r="U813" t="s">
        <v>2924</v>
      </c>
    </row>
    <row r="814" spans="1:21" x14ac:dyDescent="0.25">
      <c r="A814" s="5">
        <v>45800</v>
      </c>
      <c r="B814" s="7">
        <f>Table1[[#This Row],[TotalPrice]] * (1 - Table1[[#This Row],[Discount]])</f>
        <v>1167.4935</v>
      </c>
      <c r="C814" s="7">
        <f>Table1[[#This Row],[Net Sales]] * 0.2</f>
        <v>233.49870000000001</v>
      </c>
      <c r="D814" t="s">
        <v>19</v>
      </c>
      <c r="E814" t="s">
        <v>30</v>
      </c>
      <c r="F814">
        <v>9</v>
      </c>
      <c r="G814">
        <v>160.15</v>
      </c>
      <c r="H814" t="s">
        <v>34</v>
      </c>
      <c r="I814" t="s">
        <v>36</v>
      </c>
      <c r="J814" s="3">
        <v>0.1</v>
      </c>
      <c r="K814" t="s">
        <v>38</v>
      </c>
      <c r="L814">
        <v>1297.2149999999999</v>
      </c>
      <c r="M814" t="s">
        <v>46</v>
      </c>
      <c r="O814">
        <v>1</v>
      </c>
      <c r="P814" t="s">
        <v>863</v>
      </c>
      <c r="Q814" t="s">
        <v>2325</v>
      </c>
      <c r="R814">
        <v>29.64</v>
      </c>
      <c r="S814" s="5">
        <v>45800</v>
      </c>
      <c r="T814" s="5">
        <v>45805</v>
      </c>
      <c r="U814" t="s">
        <v>2922</v>
      </c>
    </row>
    <row r="815" spans="1:21" x14ac:dyDescent="0.25">
      <c r="A815" s="5">
        <v>45052</v>
      </c>
      <c r="B815" s="7">
        <f>Table1[[#This Row],[TotalPrice]] * (1 - Table1[[#This Row],[Discount]])</f>
        <v>2219.4640999999997</v>
      </c>
      <c r="C815" s="7">
        <f>Table1[[#This Row],[Net Sales]] * 0.2</f>
        <v>443.89281999999997</v>
      </c>
      <c r="D815" t="s">
        <v>19</v>
      </c>
      <c r="E815" t="s">
        <v>26</v>
      </c>
      <c r="F815">
        <v>14</v>
      </c>
      <c r="G815">
        <v>175.66</v>
      </c>
      <c r="H815" t="s">
        <v>31</v>
      </c>
      <c r="I815" t="s">
        <v>35</v>
      </c>
      <c r="J815" s="3">
        <v>0.05</v>
      </c>
      <c r="K815" t="s">
        <v>42</v>
      </c>
      <c r="L815">
        <v>2336.2779999999998</v>
      </c>
      <c r="M815" t="s">
        <v>47</v>
      </c>
      <c r="N815" t="s">
        <v>49</v>
      </c>
      <c r="O815">
        <v>0</v>
      </c>
      <c r="P815" t="s">
        <v>864</v>
      </c>
      <c r="Q815" t="s">
        <v>2326</v>
      </c>
      <c r="R815">
        <v>26.12</v>
      </c>
      <c r="S815" s="5">
        <v>45052</v>
      </c>
      <c r="T815" s="5">
        <v>45060</v>
      </c>
      <c r="U815" t="s">
        <v>2922</v>
      </c>
    </row>
    <row r="816" spans="1:21" x14ac:dyDescent="0.25">
      <c r="A816" s="5">
        <v>45519</v>
      </c>
      <c r="B816" s="7">
        <f>Table1[[#This Row],[TotalPrice]] * (1 - Table1[[#This Row],[Discount]])</f>
        <v>1185.8037750000001</v>
      </c>
      <c r="C816" s="7">
        <f>Table1[[#This Row],[Net Sales]] * 0.2</f>
        <v>237.16075500000002</v>
      </c>
      <c r="D816" t="s">
        <v>20</v>
      </c>
      <c r="E816" t="s">
        <v>29</v>
      </c>
      <c r="F816">
        <v>3</v>
      </c>
      <c r="G816">
        <v>437.97</v>
      </c>
      <c r="H816" t="s">
        <v>33</v>
      </c>
      <c r="I816" t="s">
        <v>35</v>
      </c>
      <c r="J816" s="3">
        <v>0.05</v>
      </c>
      <c r="K816" t="s">
        <v>37</v>
      </c>
      <c r="L816">
        <v>1248.2145</v>
      </c>
      <c r="M816" t="s">
        <v>47</v>
      </c>
      <c r="N816" t="s">
        <v>49</v>
      </c>
      <c r="O816">
        <v>1</v>
      </c>
      <c r="P816" t="s">
        <v>865</v>
      </c>
      <c r="Q816" t="s">
        <v>2327</v>
      </c>
      <c r="R816">
        <v>23.29</v>
      </c>
      <c r="S816" s="5">
        <v>45519</v>
      </c>
      <c r="T816" s="5">
        <v>45526</v>
      </c>
      <c r="U816" t="s">
        <v>2923</v>
      </c>
    </row>
    <row r="817" spans="1:21" x14ac:dyDescent="0.25">
      <c r="A817" s="5">
        <v>45161</v>
      </c>
      <c r="B817" s="7">
        <f>Table1[[#This Row],[TotalPrice]] * (1 - Table1[[#This Row],[Discount]])</f>
        <v>3568.4852999999998</v>
      </c>
      <c r="C817" s="7">
        <f>Table1[[#This Row],[Net Sales]] * 0.2</f>
        <v>713.69705999999996</v>
      </c>
      <c r="D817" t="s">
        <v>20</v>
      </c>
      <c r="E817" t="s">
        <v>30</v>
      </c>
      <c r="F817">
        <v>12</v>
      </c>
      <c r="G817">
        <v>411.59</v>
      </c>
      <c r="H817" t="s">
        <v>31</v>
      </c>
      <c r="I817" t="s">
        <v>35</v>
      </c>
      <c r="J817" s="3">
        <v>0.15</v>
      </c>
      <c r="K817" t="s">
        <v>41</v>
      </c>
      <c r="L817">
        <v>4198.2179999999998</v>
      </c>
      <c r="M817" t="s">
        <v>47</v>
      </c>
      <c r="N817" t="s">
        <v>48</v>
      </c>
      <c r="O817">
        <v>0</v>
      </c>
      <c r="P817" t="s">
        <v>866</v>
      </c>
      <c r="Q817" t="s">
        <v>2328</v>
      </c>
      <c r="R817">
        <v>19.170000000000002</v>
      </c>
      <c r="S817" s="5">
        <v>45161</v>
      </c>
      <c r="T817" s="5">
        <v>45169</v>
      </c>
      <c r="U817" t="s">
        <v>2923</v>
      </c>
    </row>
    <row r="818" spans="1:21" x14ac:dyDescent="0.25">
      <c r="A818" s="5">
        <v>45760</v>
      </c>
      <c r="B818" s="7">
        <f>Table1[[#This Row],[TotalPrice]] * (1 - Table1[[#This Row],[Discount]])</f>
        <v>163.29</v>
      </c>
      <c r="C818" s="7">
        <f>Table1[[#This Row],[Net Sales]] * 0.2</f>
        <v>32.658000000000001</v>
      </c>
      <c r="D818" t="s">
        <v>20</v>
      </c>
      <c r="E818" t="s">
        <v>24</v>
      </c>
      <c r="F818">
        <v>1</v>
      </c>
      <c r="G818">
        <v>163.29</v>
      </c>
      <c r="H818" t="s">
        <v>31</v>
      </c>
      <c r="I818" t="s">
        <v>36</v>
      </c>
      <c r="J818" s="3">
        <v>0</v>
      </c>
      <c r="K818" t="s">
        <v>41</v>
      </c>
      <c r="L818">
        <v>163.29</v>
      </c>
      <c r="M818" t="s">
        <v>45</v>
      </c>
      <c r="N818" t="s">
        <v>50</v>
      </c>
      <c r="O818">
        <v>0</v>
      </c>
      <c r="P818" t="s">
        <v>867</v>
      </c>
      <c r="Q818" t="s">
        <v>2329</v>
      </c>
      <c r="R818">
        <v>21.15</v>
      </c>
      <c r="S818" s="5">
        <v>45760</v>
      </c>
      <c r="T818" s="5">
        <v>45769</v>
      </c>
      <c r="U818" t="s">
        <v>2923</v>
      </c>
    </row>
    <row r="819" spans="1:21" x14ac:dyDescent="0.25">
      <c r="A819" s="5">
        <v>45454</v>
      </c>
      <c r="B819" s="7">
        <f>Table1[[#This Row],[TotalPrice]] * (1 - Table1[[#This Row],[Discount]])</f>
        <v>2430.0714999999996</v>
      </c>
      <c r="C819" s="7">
        <f>Table1[[#This Row],[Net Sales]] * 0.2</f>
        <v>486.01429999999993</v>
      </c>
      <c r="D819" t="s">
        <v>22</v>
      </c>
      <c r="E819" t="s">
        <v>26</v>
      </c>
      <c r="F819">
        <v>5</v>
      </c>
      <c r="G819">
        <v>538.52</v>
      </c>
      <c r="H819" t="s">
        <v>31</v>
      </c>
      <c r="I819" t="s">
        <v>35</v>
      </c>
      <c r="J819" s="3">
        <v>0.05</v>
      </c>
      <c r="K819" t="s">
        <v>38</v>
      </c>
      <c r="L819">
        <v>2557.9699999999998</v>
      </c>
      <c r="M819" t="s">
        <v>44</v>
      </c>
      <c r="O819">
        <v>0</v>
      </c>
      <c r="P819" t="s">
        <v>868</v>
      </c>
      <c r="Q819" t="s">
        <v>2330</v>
      </c>
      <c r="R819">
        <v>45.81</v>
      </c>
      <c r="S819" s="5">
        <v>45454</v>
      </c>
      <c r="T819" s="5">
        <v>45460</v>
      </c>
      <c r="U819" t="s">
        <v>2925</v>
      </c>
    </row>
    <row r="820" spans="1:21" x14ac:dyDescent="0.25">
      <c r="A820" s="5">
        <v>45411</v>
      </c>
      <c r="B820" s="7">
        <f>Table1[[#This Row],[TotalPrice]] * (1 - Table1[[#This Row],[Discount]])</f>
        <v>2280.5145000000002</v>
      </c>
      <c r="C820" s="7">
        <f>Table1[[#This Row],[Net Sales]] * 0.2</f>
        <v>456.10290000000009</v>
      </c>
      <c r="D820" t="s">
        <v>20</v>
      </c>
      <c r="E820" t="s">
        <v>25</v>
      </c>
      <c r="F820">
        <v>11</v>
      </c>
      <c r="G820">
        <v>255.95</v>
      </c>
      <c r="H820" t="s">
        <v>33</v>
      </c>
      <c r="I820" t="s">
        <v>35</v>
      </c>
      <c r="J820" s="3">
        <v>0.1</v>
      </c>
      <c r="K820" t="s">
        <v>38</v>
      </c>
      <c r="L820">
        <v>2533.9050000000002</v>
      </c>
      <c r="M820" t="s">
        <v>43</v>
      </c>
      <c r="O820">
        <v>0</v>
      </c>
      <c r="P820" t="s">
        <v>869</v>
      </c>
      <c r="Q820" t="s">
        <v>2331</v>
      </c>
      <c r="R820">
        <v>21.99</v>
      </c>
      <c r="S820" s="5">
        <v>45411</v>
      </c>
      <c r="T820" s="5">
        <v>45416</v>
      </c>
      <c r="U820" t="s">
        <v>2923</v>
      </c>
    </row>
    <row r="821" spans="1:21" x14ac:dyDescent="0.25">
      <c r="A821" s="5">
        <v>45012</v>
      </c>
      <c r="B821" s="7">
        <f>Table1[[#This Row],[TotalPrice]] * (1 - Table1[[#This Row],[Discount]])</f>
        <v>1645.5473999999999</v>
      </c>
      <c r="C821" s="7">
        <f>Table1[[#This Row],[Net Sales]] * 0.2</f>
        <v>329.10948000000002</v>
      </c>
      <c r="D821" t="s">
        <v>20</v>
      </c>
      <c r="E821" t="s">
        <v>26</v>
      </c>
      <c r="F821">
        <v>7</v>
      </c>
      <c r="G821">
        <v>290.22000000000003</v>
      </c>
      <c r="H821" t="s">
        <v>32</v>
      </c>
      <c r="I821" t="s">
        <v>36</v>
      </c>
      <c r="J821" s="3">
        <v>0.1</v>
      </c>
      <c r="K821" t="s">
        <v>38</v>
      </c>
      <c r="L821">
        <v>1828.386</v>
      </c>
      <c r="M821" t="s">
        <v>47</v>
      </c>
      <c r="N821" t="s">
        <v>50</v>
      </c>
      <c r="O821">
        <v>0</v>
      </c>
      <c r="P821" t="s">
        <v>870</v>
      </c>
      <c r="Q821" t="s">
        <v>2332</v>
      </c>
      <c r="R821">
        <v>33.15</v>
      </c>
      <c r="S821" s="5">
        <v>45012</v>
      </c>
      <c r="T821" s="5">
        <v>45020</v>
      </c>
      <c r="U821" t="s">
        <v>2923</v>
      </c>
    </row>
    <row r="822" spans="1:21" x14ac:dyDescent="0.25">
      <c r="A822" s="5">
        <v>45588</v>
      </c>
      <c r="B822" s="7">
        <f>Table1[[#This Row],[TotalPrice]] * (1 - Table1[[#This Row],[Discount]])</f>
        <v>3222.99</v>
      </c>
      <c r="C822" s="7">
        <f>Table1[[#This Row],[Net Sales]] * 0.2</f>
        <v>644.59799999999996</v>
      </c>
      <c r="D822" t="s">
        <v>21</v>
      </c>
      <c r="E822" t="s">
        <v>27</v>
      </c>
      <c r="F822">
        <v>20</v>
      </c>
      <c r="G822">
        <v>198.95</v>
      </c>
      <c r="H822" t="s">
        <v>31</v>
      </c>
      <c r="I822" t="s">
        <v>36</v>
      </c>
      <c r="J822" s="3">
        <v>0.1</v>
      </c>
      <c r="K822" t="s">
        <v>41</v>
      </c>
      <c r="L822">
        <v>3581.1</v>
      </c>
      <c r="M822" t="s">
        <v>45</v>
      </c>
      <c r="O822">
        <v>1</v>
      </c>
      <c r="P822" t="s">
        <v>871</v>
      </c>
      <c r="Q822" t="s">
        <v>2333</v>
      </c>
      <c r="R822">
        <v>5.16</v>
      </c>
      <c r="S822" s="5">
        <v>45588</v>
      </c>
      <c r="T822" s="5">
        <v>45590</v>
      </c>
      <c r="U822" t="s">
        <v>2924</v>
      </c>
    </row>
    <row r="823" spans="1:21" x14ac:dyDescent="0.25">
      <c r="A823" s="5">
        <v>45098</v>
      </c>
      <c r="B823" s="7">
        <f>Table1[[#This Row],[TotalPrice]] * (1 - Table1[[#This Row],[Discount]])</f>
        <v>4586.5022500000005</v>
      </c>
      <c r="C823" s="7">
        <f>Table1[[#This Row],[Net Sales]] * 0.2</f>
        <v>917.30045000000018</v>
      </c>
      <c r="D823" t="s">
        <v>21</v>
      </c>
      <c r="E823" t="s">
        <v>30</v>
      </c>
      <c r="F823">
        <v>11</v>
      </c>
      <c r="G823">
        <v>577.1</v>
      </c>
      <c r="H823" t="s">
        <v>33</v>
      </c>
      <c r="I823" t="s">
        <v>36</v>
      </c>
      <c r="J823" s="3">
        <v>0.15</v>
      </c>
      <c r="K823" t="s">
        <v>39</v>
      </c>
      <c r="L823">
        <v>5395.8850000000002</v>
      </c>
      <c r="M823" t="s">
        <v>47</v>
      </c>
      <c r="N823" t="s">
        <v>49</v>
      </c>
      <c r="O823">
        <v>0</v>
      </c>
      <c r="P823" t="s">
        <v>872</v>
      </c>
      <c r="Q823" t="s">
        <v>1857</v>
      </c>
      <c r="R823">
        <v>13.16</v>
      </c>
      <c r="S823" s="5">
        <v>45098</v>
      </c>
      <c r="T823" s="5">
        <v>45105</v>
      </c>
      <c r="U823" t="s">
        <v>2924</v>
      </c>
    </row>
    <row r="824" spans="1:21" x14ac:dyDescent="0.25">
      <c r="A824" s="5">
        <v>45058</v>
      </c>
      <c r="B824" s="7">
        <f>Table1[[#This Row],[TotalPrice]] * (1 - Table1[[#This Row],[Discount]])</f>
        <v>405.81</v>
      </c>
      <c r="C824" s="7">
        <f>Table1[[#This Row],[Net Sales]] * 0.2</f>
        <v>81.162000000000006</v>
      </c>
      <c r="D824" t="s">
        <v>22</v>
      </c>
      <c r="E824" t="s">
        <v>30</v>
      </c>
      <c r="F824">
        <v>10</v>
      </c>
      <c r="G824">
        <v>50.1</v>
      </c>
      <c r="H824" t="s">
        <v>32</v>
      </c>
      <c r="I824" t="s">
        <v>35</v>
      </c>
      <c r="J824" s="3">
        <v>0.1</v>
      </c>
      <c r="K824" t="s">
        <v>42</v>
      </c>
      <c r="L824">
        <v>450.9</v>
      </c>
      <c r="M824" t="s">
        <v>47</v>
      </c>
      <c r="N824" t="s">
        <v>48</v>
      </c>
      <c r="O824">
        <v>1</v>
      </c>
      <c r="P824" t="s">
        <v>873</v>
      </c>
      <c r="Q824" t="s">
        <v>2122</v>
      </c>
      <c r="R824">
        <v>23.43</v>
      </c>
      <c r="S824" s="5">
        <v>45058</v>
      </c>
      <c r="T824" s="5">
        <v>45065</v>
      </c>
      <c r="U824" t="s">
        <v>2925</v>
      </c>
    </row>
    <row r="825" spans="1:21" x14ac:dyDescent="0.25">
      <c r="A825" s="5">
        <v>45585</v>
      </c>
      <c r="B825" s="7">
        <f>Table1[[#This Row],[TotalPrice]] * (1 - Table1[[#This Row],[Discount]])</f>
        <v>7611.8987499999994</v>
      </c>
      <c r="C825" s="7">
        <f>Table1[[#This Row],[Net Sales]] * 0.2</f>
        <v>1522.3797500000001</v>
      </c>
      <c r="D825" t="s">
        <v>22</v>
      </c>
      <c r="E825" t="s">
        <v>30</v>
      </c>
      <c r="F825">
        <v>19</v>
      </c>
      <c r="G825">
        <v>554.5</v>
      </c>
      <c r="H825" t="s">
        <v>31</v>
      </c>
      <c r="I825" t="s">
        <v>36</v>
      </c>
      <c r="J825" s="3">
        <v>0.15</v>
      </c>
      <c r="K825" t="s">
        <v>40</v>
      </c>
      <c r="L825">
        <v>8955.1749999999993</v>
      </c>
      <c r="M825" t="s">
        <v>43</v>
      </c>
      <c r="O825">
        <v>1</v>
      </c>
      <c r="P825" t="s">
        <v>874</v>
      </c>
      <c r="Q825" t="s">
        <v>2334</v>
      </c>
      <c r="R825">
        <v>47.16</v>
      </c>
      <c r="S825" s="5">
        <v>45585</v>
      </c>
      <c r="T825" s="5">
        <v>45589</v>
      </c>
      <c r="U825" t="s">
        <v>2925</v>
      </c>
    </row>
    <row r="826" spans="1:21" x14ac:dyDescent="0.25">
      <c r="A826" s="5">
        <v>45386</v>
      </c>
      <c r="B826" s="7">
        <f>Table1[[#This Row],[TotalPrice]] * (1 - Table1[[#This Row],[Discount]])</f>
        <v>1642.34</v>
      </c>
      <c r="C826" s="7">
        <f>Table1[[#This Row],[Net Sales]] * 0.2</f>
        <v>328.46800000000002</v>
      </c>
      <c r="D826" t="s">
        <v>21</v>
      </c>
      <c r="E826" t="s">
        <v>24</v>
      </c>
      <c r="F826">
        <v>14</v>
      </c>
      <c r="G826">
        <v>117.31</v>
      </c>
      <c r="H826" t="s">
        <v>32</v>
      </c>
      <c r="I826" t="s">
        <v>35</v>
      </c>
      <c r="J826" s="3">
        <v>0</v>
      </c>
      <c r="K826" t="s">
        <v>41</v>
      </c>
      <c r="L826">
        <v>1642.34</v>
      </c>
      <c r="M826" t="s">
        <v>43</v>
      </c>
      <c r="N826" t="s">
        <v>50</v>
      </c>
      <c r="O826">
        <v>0</v>
      </c>
      <c r="P826" t="s">
        <v>875</v>
      </c>
      <c r="Q826" t="s">
        <v>2335</v>
      </c>
      <c r="R826">
        <v>41.24</v>
      </c>
      <c r="S826" s="5">
        <v>45386</v>
      </c>
      <c r="T826" s="5">
        <v>45389</v>
      </c>
      <c r="U826" t="s">
        <v>2924</v>
      </c>
    </row>
    <row r="827" spans="1:21" x14ac:dyDescent="0.25">
      <c r="A827" s="5">
        <v>45669</v>
      </c>
      <c r="B827" s="7">
        <f>Table1[[#This Row],[TotalPrice]] * (1 - Table1[[#This Row],[Discount]])</f>
        <v>581.93999999999994</v>
      </c>
      <c r="C827" s="7">
        <f>Table1[[#This Row],[Net Sales]] * 0.2</f>
        <v>116.38799999999999</v>
      </c>
      <c r="D827" t="s">
        <v>22</v>
      </c>
      <c r="E827" t="s">
        <v>29</v>
      </c>
      <c r="F827">
        <v>3</v>
      </c>
      <c r="G827">
        <v>193.98</v>
      </c>
      <c r="H827" t="s">
        <v>32</v>
      </c>
      <c r="I827" t="s">
        <v>36</v>
      </c>
      <c r="J827" s="3">
        <v>0</v>
      </c>
      <c r="K827" t="s">
        <v>42</v>
      </c>
      <c r="L827">
        <v>581.93999999999994</v>
      </c>
      <c r="M827" t="s">
        <v>45</v>
      </c>
      <c r="N827" t="s">
        <v>50</v>
      </c>
      <c r="O827">
        <v>0</v>
      </c>
      <c r="P827" t="s">
        <v>876</v>
      </c>
      <c r="Q827" t="s">
        <v>2336</v>
      </c>
      <c r="R827">
        <v>27.53</v>
      </c>
      <c r="S827" s="5">
        <v>45669</v>
      </c>
      <c r="T827" s="5">
        <v>45673</v>
      </c>
      <c r="U827" t="s">
        <v>2925</v>
      </c>
    </row>
    <row r="828" spans="1:21" x14ac:dyDescent="0.25">
      <c r="A828" s="5">
        <v>45131</v>
      </c>
      <c r="B828" s="7">
        <f>Table1[[#This Row],[TotalPrice]] * (1 - Table1[[#This Row],[Discount]])</f>
        <v>6982.8229999999994</v>
      </c>
      <c r="C828" s="7">
        <f>Table1[[#This Row],[Net Sales]] * 0.2</f>
        <v>1396.5645999999999</v>
      </c>
      <c r="D828" t="s">
        <v>20</v>
      </c>
      <c r="E828" t="s">
        <v>25</v>
      </c>
      <c r="F828">
        <v>20</v>
      </c>
      <c r="G828">
        <v>386.86</v>
      </c>
      <c r="H828" t="s">
        <v>32</v>
      </c>
      <c r="I828" t="s">
        <v>35</v>
      </c>
      <c r="J828" s="3">
        <v>0.05</v>
      </c>
      <c r="K828" t="s">
        <v>40</v>
      </c>
      <c r="L828">
        <v>7350.34</v>
      </c>
      <c r="M828" t="s">
        <v>43</v>
      </c>
      <c r="N828" t="s">
        <v>50</v>
      </c>
      <c r="O828">
        <v>0</v>
      </c>
      <c r="P828" t="s">
        <v>877</v>
      </c>
      <c r="Q828" t="s">
        <v>2337</v>
      </c>
      <c r="R828">
        <v>41.56</v>
      </c>
      <c r="S828" s="5">
        <v>45131</v>
      </c>
      <c r="T828" s="5">
        <v>45136</v>
      </c>
      <c r="U828" t="s">
        <v>2923</v>
      </c>
    </row>
    <row r="829" spans="1:21" x14ac:dyDescent="0.25">
      <c r="A829" s="5">
        <v>45178</v>
      </c>
      <c r="B829" s="7">
        <f>Table1[[#This Row],[TotalPrice]] * (1 - Table1[[#This Row],[Discount]])</f>
        <v>975.96</v>
      </c>
      <c r="C829" s="7">
        <f>Table1[[#This Row],[Net Sales]] * 0.2</f>
        <v>195.19200000000001</v>
      </c>
      <c r="D829" t="s">
        <v>21</v>
      </c>
      <c r="E829" t="s">
        <v>27</v>
      </c>
      <c r="F829">
        <v>12</v>
      </c>
      <c r="G829">
        <v>81.33</v>
      </c>
      <c r="H829" t="s">
        <v>34</v>
      </c>
      <c r="I829" t="s">
        <v>35</v>
      </c>
      <c r="J829" s="3">
        <v>0</v>
      </c>
      <c r="K829" t="s">
        <v>40</v>
      </c>
      <c r="L829">
        <v>975.96</v>
      </c>
      <c r="M829" t="s">
        <v>47</v>
      </c>
      <c r="N829" t="s">
        <v>49</v>
      </c>
      <c r="O829">
        <v>1</v>
      </c>
      <c r="P829" t="s">
        <v>878</v>
      </c>
      <c r="Q829" t="s">
        <v>2246</v>
      </c>
      <c r="R829">
        <v>30.73</v>
      </c>
      <c r="S829" s="5">
        <v>45178</v>
      </c>
      <c r="T829" s="5">
        <v>45182</v>
      </c>
      <c r="U829" t="s">
        <v>2924</v>
      </c>
    </row>
    <row r="830" spans="1:21" x14ac:dyDescent="0.25">
      <c r="A830" s="5">
        <v>45402</v>
      </c>
      <c r="B830" s="7">
        <f>Table1[[#This Row],[TotalPrice]] * (1 - Table1[[#This Row],[Discount]])</f>
        <v>1989.2231249999998</v>
      </c>
      <c r="C830" s="7">
        <f>Table1[[#This Row],[Net Sales]] * 0.2</f>
        <v>397.84462499999995</v>
      </c>
      <c r="D830" t="s">
        <v>19</v>
      </c>
      <c r="E830" t="s">
        <v>30</v>
      </c>
      <c r="F830">
        <v>5</v>
      </c>
      <c r="G830">
        <v>550.65</v>
      </c>
      <c r="H830" t="s">
        <v>32</v>
      </c>
      <c r="I830" t="s">
        <v>36</v>
      </c>
      <c r="J830" s="3">
        <v>0.15</v>
      </c>
      <c r="K830" t="s">
        <v>42</v>
      </c>
      <c r="L830">
        <v>2340.2624999999998</v>
      </c>
      <c r="M830" t="s">
        <v>44</v>
      </c>
      <c r="O830">
        <v>0</v>
      </c>
      <c r="P830" t="s">
        <v>879</v>
      </c>
      <c r="Q830" t="s">
        <v>2338</v>
      </c>
      <c r="R830">
        <v>16.82</v>
      </c>
      <c r="S830" s="5">
        <v>45402</v>
      </c>
      <c r="T830" s="5">
        <v>45409</v>
      </c>
      <c r="U830" t="s">
        <v>2922</v>
      </c>
    </row>
    <row r="831" spans="1:21" x14ac:dyDescent="0.25">
      <c r="A831" s="5">
        <v>45694</v>
      </c>
      <c r="B831" s="7">
        <f>Table1[[#This Row],[TotalPrice]] * (1 - Table1[[#This Row],[Discount]])</f>
        <v>1710.8150999999998</v>
      </c>
      <c r="C831" s="7">
        <f>Table1[[#This Row],[Net Sales]] * 0.2</f>
        <v>342.16301999999996</v>
      </c>
      <c r="D831" t="s">
        <v>23</v>
      </c>
      <c r="E831" t="s">
        <v>30</v>
      </c>
      <c r="F831">
        <v>4</v>
      </c>
      <c r="G831">
        <v>473.91</v>
      </c>
      <c r="H831" t="s">
        <v>32</v>
      </c>
      <c r="I831" t="s">
        <v>36</v>
      </c>
      <c r="J831" s="3">
        <v>0.05</v>
      </c>
      <c r="K831" t="s">
        <v>37</v>
      </c>
      <c r="L831">
        <v>1800.8579999999999</v>
      </c>
      <c r="M831" t="s">
        <v>45</v>
      </c>
      <c r="N831" t="s">
        <v>49</v>
      </c>
      <c r="O831">
        <v>0</v>
      </c>
      <c r="P831" t="s">
        <v>880</v>
      </c>
      <c r="Q831" t="s">
        <v>2227</v>
      </c>
      <c r="R831">
        <v>29.22</v>
      </c>
      <c r="S831" s="5">
        <v>45694</v>
      </c>
      <c r="T831" s="5">
        <v>45702</v>
      </c>
      <c r="U831" t="s">
        <v>2926</v>
      </c>
    </row>
    <row r="832" spans="1:21" x14ac:dyDescent="0.25">
      <c r="A832" s="5">
        <v>45095</v>
      </c>
      <c r="B832" s="7">
        <f>Table1[[#This Row],[TotalPrice]] * (1 - Table1[[#This Row],[Discount]])</f>
        <v>479.17999999999989</v>
      </c>
      <c r="C832" s="7">
        <f>Table1[[#This Row],[Net Sales]] * 0.2</f>
        <v>95.835999999999984</v>
      </c>
      <c r="D832" t="s">
        <v>23</v>
      </c>
      <c r="E832" t="s">
        <v>29</v>
      </c>
      <c r="F832">
        <v>19</v>
      </c>
      <c r="G832">
        <v>25.22</v>
      </c>
      <c r="H832" t="s">
        <v>33</v>
      </c>
      <c r="I832" t="s">
        <v>35</v>
      </c>
      <c r="J832" s="3">
        <v>0</v>
      </c>
      <c r="K832" t="s">
        <v>42</v>
      </c>
      <c r="L832">
        <v>479.17999999999989</v>
      </c>
      <c r="M832" t="s">
        <v>45</v>
      </c>
      <c r="O832">
        <v>0</v>
      </c>
      <c r="P832" t="s">
        <v>881</v>
      </c>
      <c r="Q832" t="s">
        <v>2339</v>
      </c>
      <c r="R832">
        <v>31.31</v>
      </c>
      <c r="S832" s="5">
        <v>45095</v>
      </c>
      <c r="T832" s="5">
        <v>45099</v>
      </c>
      <c r="U832" t="s">
        <v>2926</v>
      </c>
    </row>
    <row r="833" spans="1:21" x14ac:dyDescent="0.25">
      <c r="A833" s="5">
        <v>45597</v>
      </c>
      <c r="B833" s="7">
        <f>Table1[[#This Row],[TotalPrice]] * (1 - Table1[[#This Row],[Discount]])</f>
        <v>874.08</v>
      </c>
      <c r="C833" s="7">
        <f>Table1[[#This Row],[Net Sales]] * 0.2</f>
        <v>174.81600000000003</v>
      </c>
      <c r="D833" t="s">
        <v>21</v>
      </c>
      <c r="E833" t="s">
        <v>25</v>
      </c>
      <c r="F833">
        <v>2</v>
      </c>
      <c r="G833">
        <v>437.04</v>
      </c>
      <c r="H833" t="s">
        <v>33</v>
      </c>
      <c r="I833" t="s">
        <v>35</v>
      </c>
      <c r="J833" s="3">
        <v>0</v>
      </c>
      <c r="K833" t="s">
        <v>39</v>
      </c>
      <c r="L833">
        <v>874.08</v>
      </c>
      <c r="M833" t="s">
        <v>45</v>
      </c>
      <c r="N833" t="s">
        <v>49</v>
      </c>
      <c r="O833">
        <v>1</v>
      </c>
      <c r="P833" t="s">
        <v>882</v>
      </c>
      <c r="Q833" t="s">
        <v>2340</v>
      </c>
      <c r="R833">
        <v>37.369999999999997</v>
      </c>
      <c r="S833" s="5">
        <v>45597</v>
      </c>
      <c r="T833" s="5">
        <v>45604</v>
      </c>
      <c r="U833" t="s">
        <v>2924</v>
      </c>
    </row>
    <row r="834" spans="1:21" x14ac:dyDescent="0.25">
      <c r="A834" s="5">
        <v>45516</v>
      </c>
      <c r="B834" s="7">
        <f>Table1[[#This Row],[TotalPrice]] * (1 - Table1[[#This Row],[Discount]])</f>
        <v>1621.50675</v>
      </c>
      <c r="C834" s="7">
        <f>Table1[[#This Row],[Net Sales]] * 0.2</f>
        <v>324.30135000000001</v>
      </c>
      <c r="D834" t="s">
        <v>23</v>
      </c>
      <c r="E834" t="s">
        <v>26</v>
      </c>
      <c r="F834">
        <v>5</v>
      </c>
      <c r="G834">
        <v>448.86</v>
      </c>
      <c r="H834" t="s">
        <v>33</v>
      </c>
      <c r="I834" t="s">
        <v>35</v>
      </c>
      <c r="J834" s="3">
        <v>0.15</v>
      </c>
      <c r="K834" t="s">
        <v>39</v>
      </c>
      <c r="L834">
        <v>1907.655</v>
      </c>
      <c r="M834" t="s">
        <v>45</v>
      </c>
      <c r="N834" t="s">
        <v>49</v>
      </c>
      <c r="O834">
        <v>1</v>
      </c>
      <c r="P834" t="s">
        <v>883</v>
      </c>
      <c r="Q834" t="s">
        <v>2341</v>
      </c>
      <c r="R834">
        <v>21.22</v>
      </c>
      <c r="S834" s="5">
        <v>45516</v>
      </c>
      <c r="T834" s="5">
        <v>45525</v>
      </c>
      <c r="U834" t="s">
        <v>2926</v>
      </c>
    </row>
    <row r="835" spans="1:21" x14ac:dyDescent="0.25">
      <c r="A835" s="5">
        <v>45755</v>
      </c>
      <c r="B835" s="7">
        <f>Table1[[#This Row],[TotalPrice]] * (1 - Table1[[#This Row],[Discount]])</f>
        <v>4199.16</v>
      </c>
      <c r="C835" s="7">
        <f>Table1[[#This Row],[Net Sales]] * 0.2</f>
        <v>839.83199999999999</v>
      </c>
      <c r="D835" t="s">
        <v>22</v>
      </c>
      <c r="E835" t="s">
        <v>25</v>
      </c>
      <c r="F835">
        <v>14</v>
      </c>
      <c r="G835">
        <v>299.94</v>
      </c>
      <c r="H835" t="s">
        <v>34</v>
      </c>
      <c r="I835" t="s">
        <v>36</v>
      </c>
      <c r="J835" s="3">
        <v>0</v>
      </c>
      <c r="K835" t="s">
        <v>40</v>
      </c>
      <c r="L835">
        <v>4199.16</v>
      </c>
      <c r="M835" t="s">
        <v>44</v>
      </c>
      <c r="N835" t="s">
        <v>48</v>
      </c>
      <c r="O835">
        <v>0</v>
      </c>
      <c r="P835" t="s">
        <v>884</v>
      </c>
      <c r="Q835" t="s">
        <v>2342</v>
      </c>
      <c r="R835">
        <v>21.04</v>
      </c>
      <c r="S835" s="5">
        <v>45755</v>
      </c>
      <c r="T835" s="5">
        <v>45764</v>
      </c>
      <c r="U835" t="s">
        <v>2925</v>
      </c>
    </row>
    <row r="836" spans="1:21" x14ac:dyDescent="0.25">
      <c r="A836" s="5">
        <v>45493</v>
      </c>
      <c r="B836" s="7">
        <f>Table1[[#This Row],[TotalPrice]] * (1 - Table1[[#This Row],[Discount]])</f>
        <v>1295.7603999999999</v>
      </c>
      <c r="C836" s="7">
        <f>Table1[[#This Row],[Net Sales]] * 0.2</f>
        <v>259.15208000000001</v>
      </c>
      <c r="D836" t="s">
        <v>22</v>
      </c>
      <c r="E836" t="s">
        <v>24</v>
      </c>
      <c r="F836">
        <v>8</v>
      </c>
      <c r="G836">
        <v>224.18</v>
      </c>
      <c r="H836" t="s">
        <v>31</v>
      </c>
      <c r="I836" t="s">
        <v>36</v>
      </c>
      <c r="J836" s="3">
        <v>0.15</v>
      </c>
      <c r="K836" t="s">
        <v>42</v>
      </c>
      <c r="L836">
        <v>1524.424</v>
      </c>
      <c r="M836" t="s">
        <v>46</v>
      </c>
      <c r="O836">
        <v>0</v>
      </c>
      <c r="P836" t="s">
        <v>885</v>
      </c>
      <c r="Q836" t="s">
        <v>2343</v>
      </c>
      <c r="R836">
        <v>36.9</v>
      </c>
      <c r="S836" s="5">
        <v>45493</v>
      </c>
      <c r="T836" s="5">
        <v>45499</v>
      </c>
      <c r="U836" t="s">
        <v>2925</v>
      </c>
    </row>
    <row r="837" spans="1:21" x14ac:dyDescent="0.25">
      <c r="A837" s="5">
        <v>44974</v>
      </c>
      <c r="B837" s="7">
        <f>Table1[[#This Row],[TotalPrice]] * (1 - Table1[[#This Row],[Discount]])</f>
        <v>1774.4413500000001</v>
      </c>
      <c r="C837" s="7">
        <f>Table1[[#This Row],[Net Sales]] * 0.2</f>
        <v>354.88827000000003</v>
      </c>
      <c r="D837" t="s">
        <v>23</v>
      </c>
      <c r="E837" t="s">
        <v>26</v>
      </c>
      <c r="F837">
        <v>6</v>
      </c>
      <c r="G837">
        <v>327.69</v>
      </c>
      <c r="H837" t="s">
        <v>34</v>
      </c>
      <c r="I837" t="s">
        <v>35</v>
      </c>
      <c r="J837" s="3">
        <v>0.05</v>
      </c>
      <c r="K837" t="s">
        <v>41</v>
      </c>
      <c r="L837">
        <v>1867.8330000000001</v>
      </c>
      <c r="M837" t="s">
        <v>47</v>
      </c>
      <c r="O837">
        <v>0</v>
      </c>
      <c r="P837" t="s">
        <v>886</v>
      </c>
      <c r="Q837" t="s">
        <v>2344</v>
      </c>
      <c r="R837">
        <v>22.34</v>
      </c>
      <c r="S837" s="5">
        <v>44974</v>
      </c>
      <c r="T837" s="5">
        <v>44978</v>
      </c>
      <c r="U837" t="s">
        <v>2926</v>
      </c>
    </row>
    <row r="838" spans="1:21" x14ac:dyDescent="0.25">
      <c r="A838" s="5">
        <v>45475</v>
      </c>
      <c r="B838" s="7">
        <f>Table1[[#This Row],[TotalPrice]] * (1 - Table1[[#This Row],[Discount]])</f>
        <v>3120.989399999999</v>
      </c>
      <c r="C838" s="7">
        <f>Table1[[#This Row],[Net Sales]] * 0.2</f>
        <v>624.19787999999983</v>
      </c>
      <c r="D838" t="s">
        <v>19</v>
      </c>
      <c r="E838" t="s">
        <v>25</v>
      </c>
      <c r="F838">
        <v>8</v>
      </c>
      <c r="G838">
        <v>432.27</v>
      </c>
      <c r="H838" t="s">
        <v>34</v>
      </c>
      <c r="I838" t="s">
        <v>36</v>
      </c>
      <c r="J838" s="3">
        <v>0.05</v>
      </c>
      <c r="K838" t="s">
        <v>37</v>
      </c>
      <c r="L838">
        <v>3285.251999999999</v>
      </c>
      <c r="M838" t="s">
        <v>47</v>
      </c>
      <c r="N838" t="s">
        <v>48</v>
      </c>
      <c r="O838">
        <v>1</v>
      </c>
      <c r="P838" t="s">
        <v>887</v>
      </c>
      <c r="Q838" t="s">
        <v>2345</v>
      </c>
      <c r="R838">
        <v>20.64</v>
      </c>
      <c r="S838" s="5">
        <v>45475</v>
      </c>
      <c r="T838" s="5">
        <v>45477</v>
      </c>
      <c r="U838" t="s">
        <v>2922</v>
      </c>
    </row>
    <row r="839" spans="1:21" x14ac:dyDescent="0.25">
      <c r="A839" s="5">
        <v>45748</v>
      </c>
      <c r="B839" s="7">
        <f>Table1[[#This Row],[TotalPrice]] * (1 - Table1[[#This Row],[Discount]])</f>
        <v>722.44219999999984</v>
      </c>
      <c r="C839" s="7">
        <f>Table1[[#This Row],[Net Sales]] * 0.2</f>
        <v>144.48843999999997</v>
      </c>
      <c r="D839" t="s">
        <v>21</v>
      </c>
      <c r="E839" t="s">
        <v>28</v>
      </c>
      <c r="F839">
        <v>4</v>
      </c>
      <c r="G839">
        <v>249.98</v>
      </c>
      <c r="H839" t="s">
        <v>33</v>
      </c>
      <c r="I839" t="s">
        <v>36</v>
      </c>
      <c r="J839" s="3">
        <v>0.15</v>
      </c>
      <c r="K839" t="s">
        <v>37</v>
      </c>
      <c r="L839">
        <v>849.9319999999999</v>
      </c>
      <c r="M839" t="s">
        <v>46</v>
      </c>
      <c r="N839" t="s">
        <v>49</v>
      </c>
      <c r="O839">
        <v>0</v>
      </c>
      <c r="P839" t="s">
        <v>888</v>
      </c>
      <c r="Q839" t="s">
        <v>2346</v>
      </c>
      <c r="R839">
        <v>49.08</v>
      </c>
      <c r="S839" s="5">
        <v>45748</v>
      </c>
      <c r="T839" s="5">
        <v>45751</v>
      </c>
      <c r="U839" t="s">
        <v>2924</v>
      </c>
    </row>
    <row r="840" spans="1:21" x14ac:dyDescent="0.25">
      <c r="A840" s="5">
        <v>45810</v>
      </c>
      <c r="B840" s="7">
        <f>Table1[[#This Row],[TotalPrice]] * (1 - Table1[[#This Row],[Discount]])</f>
        <v>1965.4456500000001</v>
      </c>
      <c r="C840" s="7">
        <f>Table1[[#This Row],[Net Sales]] * 0.2</f>
        <v>393.08913000000007</v>
      </c>
      <c r="D840" t="s">
        <v>20</v>
      </c>
      <c r="E840" t="s">
        <v>30</v>
      </c>
      <c r="F840">
        <v>14</v>
      </c>
      <c r="G840">
        <v>194.31</v>
      </c>
      <c r="H840" t="s">
        <v>33</v>
      </c>
      <c r="I840" t="s">
        <v>35</v>
      </c>
      <c r="J840" s="3">
        <v>0.15</v>
      </c>
      <c r="K840" t="s">
        <v>39</v>
      </c>
      <c r="L840">
        <v>2312.2890000000002</v>
      </c>
      <c r="M840" t="s">
        <v>46</v>
      </c>
      <c r="N840" t="s">
        <v>48</v>
      </c>
      <c r="O840">
        <v>0</v>
      </c>
      <c r="P840" t="s">
        <v>889</v>
      </c>
      <c r="Q840" t="s">
        <v>2347</v>
      </c>
      <c r="R840">
        <v>15.3</v>
      </c>
      <c r="S840" s="5">
        <v>45810</v>
      </c>
      <c r="T840" s="5">
        <v>45817</v>
      </c>
      <c r="U840" t="s">
        <v>2923</v>
      </c>
    </row>
    <row r="841" spans="1:21" x14ac:dyDescent="0.25">
      <c r="A841" s="5">
        <v>45617</v>
      </c>
      <c r="B841" s="7">
        <f>Table1[[#This Row],[TotalPrice]] * (1 - Table1[[#This Row],[Discount]])</f>
        <v>346.45</v>
      </c>
      <c r="C841" s="7">
        <f>Table1[[#This Row],[Net Sales]] * 0.2</f>
        <v>69.290000000000006</v>
      </c>
      <c r="D841" t="s">
        <v>23</v>
      </c>
      <c r="E841" t="s">
        <v>25</v>
      </c>
      <c r="F841">
        <v>5</v>
      </c>
      <c r="G841">
        <v>69.290000000000006</v>
      </c>
      <c r="H841" t="s">
        <v>33</v>
      </c>
      <c r="I841" t="s">
        <v>35</v>
      </c>
      <c r="J841" s="3">
        <v>0</v>
      </c>
      <c r="K841" t="s">
        <v>40</v>
      </c>
      <c r="L841">
        <v>346.45</v>
      </c>
      <c r="M841" t="s">
        <v>45</v>
      </c>
      <c r="O841">
        <v>0</v>
      </c>
      <c r="P841" t="s">
        <v>890</v>
      </c>
      <c r="Q841" t="s">
        <v>2348</v>
      </c>
      <c r="R841">
        <v>20.83</v>
      </c>
      <c r="S841" s="5">
        <v>45617</v>
      </c>
      <c r="T841" s="5">
        <v>45625</v>
      </c>
      <c r="U841" t="s">
        <v>2926</v>
      </c>
    </row>
    <row r="842" spans="1:21" x14ac:dyDescent="0.25">
      <c r="A842" s="5">
        <v>45301</v>
      </c>
      <c r="B842" s="7">
        <f>Table1[[#This Row],[TotalPrice]] * (1 - Table1[[#This Row],[Discount]])</f>
        <v>4603.6500000000005</v>
      </c>
      <c r="C842" s="7">
        <f>Table1[[#This Row],[Net Sales]] * 0.2</f>
        <v>920.73000000000013</v>
      </c>
      <c r="D842" t="s">
        <v>20</v>
      </c>
      <c r="E842" t="s">
        <v>30</v>
      </c>
      <c r="F842">
        <v>15</v>
      </c>
      <c r="G842">
        <v>306.91000000000003</v>
      </c>
      <c r="H842" t="s">
        <v>32</v>
      </c>
      <c r="I842" t="s">
        <v>36</v>
      </c>
      <c r="J842" s="3">
        <v>0</v>
      </c>
      <c r="K842" t="s">
        <v>40</v>
      </c>
      <c r="L842">
        <v>4603.6500000000005</v>
      </c>
      <c r="M842" t="s">
        <v>47</v>
      </c>
      <c r="N842" t="s">
        <v>48</v>
      </c>
      <c r="O842">
        <v>1</v>
      </c>
      <c r="P842" t="s">
        <v>891</v>
      </c>
      <c r="Q842" t="s">
        <v>2349</v>
      </c>
      <c r="R842">
        <v>19.38</v>
      </c>
      <c r="S842" s="5">
        <v>45301</v>
      </c>
      <c r="T842" s="5">
        <v>45305</v>
      </c>
      <c r="U842" t="s">
        <v>2923</v>
      </c>
    </row>
    <row r="843" spans="1:21" x14ac:dyDescent="0.25">
      <c r="A843" s="5">
        <v>45220</v>
      </c>
      <c r="B843" s="7">
        <f>Table1[[#This Row],[TotalPrice]] * (1 - Table1[[#This Row],[Discount]])</f>
        <v>1127.9669999999999</v>
      </c>
      <c r="C843" s="7">
        <f>Table1[[#This Row],[Net Sales]] * 0.2</f>
        <v>225.59339999999997</v>
      </c>
      <c r="D843" t="s">
        <v>21</v>
      </c>
      <c r="E843" t="s">
        <v>26</v>
      </c>
      <c r="F843">
        <v>4</v>
      </c>
      <c r="G843">
        <v>390.3</v>
      </c>
      <c r="H843" t="s">
        <v>32</v>
      </c>
      <c r="I843" t="s">
        <v>36</v>
      </c>
      <c r="J843" s="3">
        <v>0.15</v>
      </c>
      <c r="K843" t="s">
        <v>41</v>
      </c>
      <c r="L843">
        <v>1327.02</v>
      </c>
      <c r="M843" t="s">
        <v>46</v>
      </c>
      <c r="O843">
        <v>0</v>
      </c>
      <c r="P843" t="s">
        <v>892</v>
      </c>
      <c r="Q843" t="s">
        <v>2350</v>
      </c>
      <c r="R843">
        <v>43.56</v>
      </c>
      <c r="S843" s="5">
        <v>45220</v>
      </c>
      <c r="T843" s="5">
        <v>45225</v>
      </c>
      <c r="U843" t="s">
        <v>2924</v>
      </c>
    </row>
    <row r="844" spans="1:21" x14ac:dyDescent="0.25">
      <c r="A844" s="5">
        <v>45677</v>
      </c>
      <c r="B844" s="7">
        <f>Table1[[#This Row],[TotalPrice]] * (1 - Table1[[#This Row],[Discount]])</f>
        <v>432.81</v>
      </c>
      <c r="C844" s="7">
        <f>Table1[[#This Row],[Net Sales]] * 0.2</f>
        <v>86.562000000000012</v>
      </c>
      <c r="D844" t="s">
        <v>21</v>
      </c>
      <c r="E844" t="s">
        <v>25</v>
      </c>
      <c r="F844">
        <v>7</v>
      </c>
      <c r="G844">
        <v>61.83</v>
      </c>
      <c r="H844" t="s">
        <v>31</v>
      </c>
      <c r="I844" t="s">
        <v>36</v>
      </c>
      <c r="J844" s="3">
        <v>0</v>
      </c>
      <c r="K844" t="s">
        <v>41</v>
      </c>
      <c r="L844">
        <v>432.81</v>
      </c>
      <c r="M844" t="s">
        <v>43</v>
      </c>
      <c r="N844" t="s">
        <v>50</v>
      </c>
      <c r="O844">
        <v>0</v>
      </c>
      <c r="P844" t="s">
        <v>893</v>
      </c>
      <c r="Q844" t="s">
        <v>2351</v>
      </c>
      <c r="R844">
        <v>25.49</v>
      </c>
      <c r="S844" s="5">
        <v>45677</v>
      </c>
      <c r="T844" s="5">
        <v>45679</v>
      </c>
      <c r="U844" t="s">
        <v>2924</v>
      </c>
    </row>
    <row r="845" spans="1:21" x14ac:dyDescent="0.25">
      <c r="A845" s="5">
        <v>45605</v>
      </c>
      <c r="B845" s="7">
        <f>Table1[[#This Row],[TotalPrice]] * (1 - Table1[[#This Row],[Discount]])</f>
        <v>526.3741</v>
      </c>
      <c r="C845" s="7">
        <f>Table1[[#This Row],[Net Sales]] * 0.2</f>
        <v>105.27482000000001</v>
      </c>
      <c r="D845" t="s">
        <v>23</v>
      </c>
      <c r="E845" t="s">
        <v>28</v>
      </c>
      <c r="F845">
        <v>7</v>
      </c>
      <c r="G845">
        <v>83.32</v>
      </c>
      <c r="H845" t="s">
        <v>34</v>
      </c>
      <c r="I845" t="s">
        <v>35</v>
      </c>
      <c r="J845" s="3">
        <v>0.05</v>
      </c>
      <c r="K845" t="s">
        <v>40</v>
      </c>
      <c r="L845">
        <v>554.07799999999997</v>
      </c>
      <c r="M845" t="s">
        <v>47</v>
      </c>
      <c r="N845" t="s">
        <v>48</v>
      </c>
      <c r="O845">
        <v>0</v>
      </c>
      <c r="P845" t="s">
        <v>894</v>
      </c>
      <c r="Q845" t="s">
        <v>2352</v>
      </c>
      <c r="R845">
        <v>23.4</v>
      </c>
      <c r="S845" s="5">
        <v>45605</v>
      </c>
      <c r="T845" s="5">
        <v>45613</v>
      </c>
      <c r="U845" t="s">
        <v>2926</v>
      </c>
    </row>
    <row r="846" spans="1:21" x14ac:dyDescent="0.25">
      <c r="A846" s="5">
        <v>45385</v>
      </c>
      <c r="B846" s="7">
        <f>Table1[[#This Row],[TotalPrice]] * (1 - Table1[[#This Row],[Discount]])</f>
        <v>2032.6466</v>
      </c>
      <c r="C846" s="7">
        <f>Table1[[#This Row],[Net Sales]] * 0.2</f>
        <v>406.52932000000004</v>
      </c>
      <c r="D846" t="s">
        <v>23</v>
      </c>
      <c r="E846" t="s">
        <v>28</v>
      </c>
      <c r="F846">
        <v>4</v>
      </c>
      <c r="G846">
        <v>563.05999999999995</v>
      </c>
      <c r="H846" t="s">
        <v>34</v>
      </c>
      <c r="I846" t="s">
        <v>36</v>
      </c>
      <c r="J846" s="3">
        <v>0.05</v>
      </c>
      <c r="K846" t="s">
        <v>42</v>
      </c>
      <c r="L846">
        <v>2139.6280000000002</v>
      </c>
      <c r="M846" t="s">
        <v>47</v>
      </c>
      <c r="N846" t="s">
        <v>50</v>
      </c>
      <c r="O846">
        <v>0</v>
      </c>
      <c r="P846" t="s">
        <v>895</v>
      </c>
      <c r="Q846" t="s">
        <v>2353</v>
      </c>
      <c r="R846">
        <v>19.5</v>
      </c>
      <c r="S846" s="5">
        <v>45385</v>
      </c>
      <c r="T846" s="5">
        <v>45389</v>
      </c>
      <c r="U846" t="s">
        <v>2926</v>
      </c>
    </row>
    <row r="847" spans="1:21" x14ac:dyDescent="0.25">
      <c r="A847" s="5">
        <v>45297</v>
      </c>
      <c r="B847" s="7">
        <f>Table1[[#This Row],[TotalPrice]] * (1 - Table1[[#This Row],[Discount]])</f>
        <v>2407.7673749999999</v>
      </c>
      <c r="C847" s="7">
        <f>Table1[[#This Row],[Net Sales]] * 0.2</f>
        <v>481.55347499999999</v>
      </c>
      <c r="D847" t="s">
        <v>21</v>
      </c>
      <c r="E847" t="s">
        <v>25</v>
      </c>
      <c r="F847">
        <v>13</v>
      </c>
      <c r="G847">
        <v>256.35000000000002</v>
      </c>
      <c r="H847" t="s">
        <v>34</v>
      </c>
      <c r="I847" t="s">
        <v>35</v>
      </c>
      <c r="J847" s="3">
        <v>0.15</v>
      </c>
      <c r="K847" t="s">
        <v>38</v>
      </c>
      <c r="L847">
        <v>2832.6675</v>
      </c>
      <c r="M847" t="s">
        <v>47</v>
      </c>
      <c r="N847" t="s">
        <v>49</v>
      </c>
      <c r="O847">
        <v>0</v>
      </c>
      <c r="P847" t="s">
        <v>896</v>
      </c>
      <c r="Q847" t="s">
        <v>2354</v>
      </c>
      <c r="R847">
        <v>26.04</v>
      </c>
      <c r="S847" s="5">
        <v>45297</v>
      </c>
      <c r="T847" s="5">
        <v>45299</v>
      </c>
      <c r="U847" t="s">
        <v>2924</v>
      </c>
    </row>
    <row r="848" spans="1:21" x14ac:dyDescent="0.25">
      <c r="A848" s="5">
        <v>45140</v>
      </c>
      <c r="B848" s="7">
        <f>Table1[[#This Row],[TotalPrice]] * (1 - Table1[[#This Row],[Discount]])</f>
        <v>2463.2293500000001</v>
      </c>
      <c r="C848" s="7">
        <f>Table1[[#This Row],[Net Sales]] * 0.2</f>
        <v>492.64587000000006</v>
      </c>
      <c r="D848" t="s">
        <v>22</v>
      </c>
      <c r="E848" t="s">
        <v>30</v>
      </c>
      <c r="F848">
        <v>9</v>
      </c>
      <c r="G848">
        <v>303.26</v>
      </c>
      <c r="H848" t="s">
        <v>32</v>
      </c>
      <c r="I848" t="s">
        <v>35</v>
      </c>
      <c r="J848" s="3">
        <v>0.05</v>
      </c>
      <c r="K848" t="s">
        <v>41</v>
      </c>
      <c r="L848">
        <v>2592.873</v>
      </c>
      <c r="M848" t="s">
        <v>46</v>
      </c>
      <c r="N848" t="s">
        <v>48</v>
      </c>
      <c r="O848">
        <v>0</v>
      </c>
      <c r="P848" t="s">
        <v>897</v>
      </c>
      <c r="Q848" t="s">
        <v>2355</v>
      </c>
      <c r="R848">
        <v>17.010000000000002</v>
      </c>
      <c r="S848" s="5">
        <v>45140</v>
      </c>
      <c r="T848" s="5">
        <v>45143</v>
      </c>
      <c r="U848" t="s">
        <v>2925</v>
      </c>
    </row>
    <row r="849" spans="1:21" x14ac:dyDescent="0.25">
      <c r="A849" s="5">
        <v>45256</v>
      </c>
      <c r="B849" s="7">
        <f>Table1[[#This Row],[TotalPrice]] * (1 - Table1[[#This Row],[Discount]])</f>
        <v>2864.2212</v>
      </c>
      <c r="C849" s="7">
        <f>Table1[[#This Row],[Net Sales]] * 0.2</f>
        <v>572.84424000000001</v>
      </c>
      <c r="D849" t="s">
        <v>21</v>
      </c>
      <c r="E849" t="s">
        <v>27</v>
      </c>
      <c r="F849">
        <v>9</v>
      </c>
      <c r="G849">
        <v>440.48</v>
      </c>
      <c r="H849" t="s">
        <v>32</v>
      </c>
      <c r="I849" t="s">
        <v>36</v>
      </c>
      <c r="J849" s="3">
        <v>0.15</v>
      </c>
      <c r="K849" t="s">
        <v>41</v>
      </c>
      <c r="L849">
        <v>3369.672</v>
      </c>
      <c r="M849" t="s">
        <v>44</v>
      </c>
      <c r="N849" t="s">
        <v>50</v>
      </c>
      <c r="O849">
        <v>0</v>
      </c>
      <c r="P849" t="s">
        <v>898</v>
      </c>
      <c r="Q849" t="s">
        <v>2356</v>
      </c>
      <c r="R849">
        <v>32.94</v>
      </c>
      <c r="S849" s="5">
        <v>45256</v>
      </c>
      <c r="T849" s="5">
        <v>45261</v>
      </c>
      <c r="U849" t="s">
        <v>2924</v>
      </c>
    </row>
    <row r="850" spans="1:21" x14ac:dyDescent="0.25">
      <c r="A850" s="5">
        <v>45767</v>
      </c>
      <c r="B850" s="7">
        <f>Table1[[#This Row],[TotalPrice]] * (1 - Table1[[#This Row],[Discount]])</f>
        <v>7199.4681249999994</v>
      </c>
      <c r="C850" s="7">
        <f>Table1[[#This Row],[Net Sales]] * 0.2</f>
        <v>1439.8936249999999</v>
      </c>
      <c r="D850" t="s">
        <v>19</v>
      </c>
      <c r="E850" t="s">
        <v>26</v>
      </c>
      <c r="F850">
        <v>17</v>
      </c>
      <c r="G850">
        <v>469.25</v>
      </c>
      <c r="H850" t="s">
        <v>31</v>
      </c>
      <c r="I850" t="s">
        <v>35</v>
      </c>
      <c r="J850" s="3">
        <v>0.05</v>
      </c>
      <c r="K850" t="s">
        <v>42</v>
      </c>
      <c r="L850">
        <v>7578.3874999999998</v>
      </c>
      <c r="M850" t="s">
        <v>45</v>
      </c>
      <c r="O850">
        <v>0</v>
      </c>
      <c r="P850" t="s">
        <v>899</v>
      </c>
      <c r="Q850" t="s">
        <v>2357</v>
      </c>
      <c r="R850">
        <v>45.76</v>
      </c>
      <c r="S850" s="5">
        <v>45767</v>
      </c>
      <c r="T850" s="5">
        <v>45773</v>
      </c>
      <c r="U850" t="s">
        <v>2922</v>
      </c>
    </row>
    <row r="851" spans="1:21" x14ac:dyDescent="0.25">
      <c r="A851" s="5">
        <v>45289</v>
      </c>
      <c r="B851" s="7">
        <f>Table1[[#This Row],[TotalPrice]] * (1 - Table1[[#This Row],[Discount]])</f>
        <v>6395.3387999999995</v>
      </c>
      <c r="C851" s="7">
        <f>Table1[[#This Row],[Net Sales]] * 0.2</f>
        <v>1279.0677599999999</v>
      </c>
      <c r="D851" t="s">
        <v>20</v>
      </c>
      <c r="E851" t="s">
        <v>27</v>
      </c>
      <c r="F851">
        <v>18</v>
      </c>
      <c r="G851">
        <v>491.76</v>
      </c>
      <c r="H851" t="s">
        <v>32</v>
      </c>
      <c r="I851" t="s">
        <v>35</v>
      </c>
      <c r="J851" s="3">
        <v>0.15</v>
      </c>
      <c r="K851" t="s">
        <v>37</v>
      </c>
      <c r="L851">
        <v>7523.9279999999999</v>
      </c>
      <c r="M851" t="s">
        <v>45</v>
      </c>
      <c r="N851" t="s">
        <v>49</v>
      </c>
      <c r="O851">
        <v>0</v>
      </c>
      <c r="P851" t="s">
        <v>900</v>
      </c>
      <c r="Q851" t="s">
        <v>2358</v>
      </c>
      <c r="R851">
        <v>37.49</v>
      </c>
      <c r="S851" s="5">
        <v>45289</v>
      </c>
      <c r="T851" s="5">
        <v>45296</v>
      </c>
      <c r="U851" t="s">
        <v>2923</v>
      </c>
    </row>
    <row r="852" spans="1:21" x14ac:dyDescent="0.25">
      <c r="A852" s="5">
        <v>45665</v>
      </c>
      <c r="B852" s="7">
        <f>Table1[[#This Row],[TotalPrice]] * (1 - Table1[[#This Row],[Discount]])</f>
        <v>7978.2173249999996</v>
      </c>
      <c r="C852" s="7">
        <f>Table1[[#This Row],[Net Sales]] * 0.2</f>
        <v>1595.6434650000001</v>
      </c>
      <c r="D852" t="s">
        <v>22</v>
      </c>
      <c r="E852" t="s">
        <v>27</v>
      </c>
      <c r="F852">
        <v>19</v>
      </c>
      <c r="G852">
        <v>465.27</v>
      </c>
      <c r="H852" t="s">
        <v>33</v>
      </c>
      <c r="I852" t="s">
        <v>36</v>
      </c>
      <c r="J852" s="3">
        <v>0.05</v>
      </c>
      <c r="K852" t="s">
        <v>41</v>
      </c>
      <c r="L852">
        <v>8398.1234999999997</v>
      </c>
      <c r="M852" t="s">
        <v>45</v>
      </c>
      <c r="O852">
        <v>0</v>
      </c>
      <c r="P852" t="s">
        <v>901</v>
      </c>
      <c r="Q852" t="s">
        <v>2359</v>
      </c>
      <c r="R852">
        <v>44.95</v>
      </c>
      <c r="S852" s="5">
        <v>45665</v>
      </c>
      <c r="T852" s="5">
        <v>45667</v>
      </c>
      <c r="U852" t="s">
        <v>2925</v>
      </c>
    </row>
    <row r="853" spans="1:21" x14ac:dyDescent="0.25">
      <c r="A853" s="5">
        <v>45418</v>
      </c>
      <c r="B853" s="7">
        <f>Table1[[#This Row],[TotalPrice]] * (1 - Table1[[#This Row],[Discount]])</f>
        <v>6186.24</v>
      </c>
      <c r="C853" s="7">
        <f>Table1[[#This Row],[Net Sales]] * 0.2</f>
        <v>1237.248</v>
      </c>
      <c r="D853" t="s">
        <v>19</v>
      </c>
      <c r="E853" t="s">
        <v>27</v>
      </c>
      <c r="F853">
        <v>18</v>
      </c>
      <c r="G853">
        <v>343.68</v>
      </c>
      <c r="H853" t="s">
        <v>31</v>
      </c>
      <c r="I853" t="s">
        <v>36</v>
      </c>
      <c r="J853" s="3">
        <v>0</v>
      </c>
      <c r="K853" t="s">
        <v>37</v>
      </c>
      <c r="L853">
        <v>6186.24</v>
      </c>
      <c r="M853" t="s">
        <v>44</v>
      </c>
      <c r="N853" t="s">
        <v>49</v>
      </c>
      <c r="O853">
        <v>0</v>
      </c>
      <c r="P853" t="s">
        <v>902</v>
      </c>
      <c r="Q853" t="s">
        <v>2360</v>
      </c>
      <c r="R853">
        <v>20.37</v>
      </c>
      <c r="S853" s="5">
        <v>45418</v>
      </c>
      <c r="T853" s="5">
        <v>45426</v>
      </c>
      <c r="U853" t="s">
        <v>2922</v>
      </c>
    </row>
    <row r="854" spans="1:21" x14ac:dyDescent="0.25">
      <c r="A854" s="5">
        <v>45550</v>
      </c>
      <c r="B854" s="7">
        <f>Table1[[#This Row],[TotalPrice]] * (1 - Table1[[#This Row],[Discount]])</f>
        <v>5970.163849999999</v>
      </c>
      <c r="C854" s="7">
        <f>Table1[[#This Row],[Net Sales]] * 0.2</f>
        <v>1194.0327699999998</v>
      </c>
      <c r="D854" t="s">
        <v>21</v>
      </c>
      <c r="E854" t="s">
        <v>26</v>
      </c>
      <c r="F854">
        <v>14</v>
      </c>
      <c r="G854">
        <v>472.51</v>
      </c>
      <c r="H854" t="s">
        <v>34</v>
      </c>
      <c r="I854" t="s">
        <v>35</v>
      </c>
      <c r="J854" s="3">
        <v>0.05</v>
      </c>
      <c r="K854" t="s">
        <v>42</v>
      </c>
      <c r="L854">
        <v>6284.3829999999989</v>
      </c>
      <c r="M854" t="s">
        <v>44</v>
      </c>
      <c r="O854">
        <v>0</v>
      </c>
      <c r="P854" t="s">
        <v>903</v>
      </c>
      <c r="Q854" t="s">
        <v>2361</v>
      </c>
      <c r="R854">
        <v>13.54</v>
      </c>
      <c r="S854" s="5">
        <v>45550</v>
      </c>
      <c r="T854" s="5">
        <v>45555</v>
      </c>
      <c r="U854" t="s">
        <v>2924</v>
      </c>
    </row>
    <row r="855" spans="1:21" x14ac:dyDescent="0.25">
      <c r="A855" s="5">
        <v>44964</v>
      </c>
      <c r="B855" s="7">
        <f>Table1[[#This Row],[TotalPrice]] * (1 - Table1[[#This Row],[Discount]])</f>
        <v>2308.8240000000001</v>
      </c>
      <c r="C855" s="7">
        <f>Table1[[#This Row],[Net Sales]] * 0.2</f>
        <v>461.76480000000004</v>
      </c>
      <c r="D855" t="s">
        <v>23</v>
      </c>
      <c r="E855" t="s">
        <v>24</v>
      </c>
      <c r="F855">
        <v>20</v>
      </c>
      <c r="G855">
        <v>142.52000000000001</v>
      </c>
      <c r="H855" t="s">
        <v>32</v>
      </c>
      <c r="I855" t="s">
        <v>36</v>
      </c>
      <c r="J855" s="3">
        <v>0.1</v>
      </c>
      <c r="K855" t="s">
        <v>37</v>
      </c>
      <c r="L855">
        <v>2565.36</v>
      </c>
      <c r="M855" t="s">
        <v>47</v>
      </c>
      <c r="N855" t="s">
        <v>48</v>
      </c>
      <c r="O855">
        <v>0</v>
      </c>
      <c r="P855" t="s">
        <v>904</v>
      </c>
      <c r="Q855" t="s">
        <v>2362</v>
      </c>
      <c r="R855">
        <v>30.67</v>
      </c>
      <c r="S855" s="5">
        <v>44964</v>
      </c>
      <c r="T855" s="5">
        <v>44969</v>
      </c>
      <c r="U855" t="s">
        <v>2926</v>
      </c>
    </row>
    <row r="856" spans="1:21" x14ac:dyDescent="0.25">
      <c r="A856" s="5">
        <v>44986</v>
      </c>
      <c r="B856" s="7">
        <f>Table1[[#This Row],[TotalPrice]] * (1 - Table1[[#This Row],[Discount]])</f>
        <v>28.356549999999999</v>
      </c>
      <c r="C856" s="7">
        <f>Table1[[#This Row],[Net Sales]] * 0.2</f>
        <v>5.6713100000000001</v>
      </c>
      <c r="D856" t="s">
        <v>19</v>
      </c>
      <c r="E856" t="s">
        <v>25</v>
      </c>
      <c r="F856">
        <v>1</v>
      </c>
      <c r="G856">
        <v>31.42</v>
      </c>
      <c r="H856" t="s">
        <v>31</v>
      </c>
      <c r="I856" t="s">
        <v>36</v>
      </c>
      <c r="J856" s="3">
        <v>0.05</v>
      </c>
      <c r="K856" t="s">
        <v>42</v>
      </c>
      <c r="L856">
        <v>29.849</v>
      </c>
      <c r="M856" t="s">
        <v>45</v>
      </c>
      <c r="N856" t="s">
        <v>49</v>
      </c>
      <c r="O856">
        <v>0</v>
      </c>
      <c r="P856" t="s">
        <v>905</v>
      </c>
      <c r="Q856" t="s">
        <v>1735</v>
      </c>
      <c r="R856">
        <v>11.35</v>
      </c>
      <c r="S856" s="5">
        <v>44986</v>
      </c>
      <c r="T856" s="5">
        <v>44994</v>
      </c>
      <c r="U856" t="s">
        <v>2922</v>
      </c>
    </row>
    <row r="857" spans="1:21" x14ac:dyDescent="0.25">
      <c r="A857" s="5">
        <v>45420</v>
      </c>
      <c r="B857" s="7">
        <f>Table1[[#This Row],[TotalPrice]] * (1 - Table1[[#This Row],[Discount]])</f>
        <v>7029.1519250000001</v>
      </c>
      <c r="C857" s="7">
        <f>Table1[[#This Row],[Net Sales]] * 0.2</f>
        <v>1405.8303850000002</v>
      </c>
      <c r="D857" t="s">
        <v>21</v>
      </c>
      <c r="E857" t="s">
        <v>29</v>
      </c>
      <c r="F857">
        <v>17</v>
      </c>
      <c r="G857">
        <v>572.29</v>
      </c>
      <c r="H857" t="s">
        <v>34</v>
      </c>
      <c r="I857" t="s">
        <v>36</v>
      </c>
      <c r="J857" s="3">
        <v>0.15</v>
      </c>
      <c r="K857" t="s">
        <v>37</v>
      </c>
      <c r="L857">
        <v>8269.5905000000002</v>
      </c>
      <c r="M857" t="s">
        <v>43</v>
      </c>
      <c r="N857" t="s">
        <v>49</v>
      </c>
      <c r="O857">
        <v>1</v>
      </c>
      <c r="P857" t="s">
        <v>906</v>
      </c>
      <c r="Q857" t="s">
        <v>2363</v>
      </c>
      <c r="R857">
        <v>44.99</v>
      </c>
      <c r="S857" s="5">
        <v>45420</v>
      </c>
      <c r="T857" s="5">
        <v>45424</v>
      </c>
      <c r="U857" t="s">
        <v>2924</v>
      </c>
    </row>
    <row r="858" spans="1:21" x14ac:dyDescent="0.25">
      <c r="A858" s="5">
        <v>45449</v>
      </c>
      <c r="B858" s="7">
        <f>Table1[[#This Row],[TotalPrice]] * (1 - Table1[[#This Row],[Discount]])</f>
        <v>4863.8880000000008</v>
      </c>
      <c r="C858" s="7">
        <f>Table1[[#This Row],[Net Sales]] * 0.2</f>
        <v>972.77760000000023</v>
      </c>
      <c r="D858" t="s">
        <v>19</v>
      </c>
      <c r="E858" t="s">
        <v>26</v>
      </c>
      <c r="F858">
        <v>18</v>
      </c>
      <c r="G858">
        <v>333.6</v>
      </c>
      <c r="H858" t="s">
        <v>32</v>
      </c>
      <c r="I858" t="s">
        <v>36</v>
      </c>
      <c r="J858" s="3">
        <v>0.1</v>
      </c>
      <c r="K858" t="s">
        <v>40</v>
      </c>
      <c r="L858">
        <v>5404.3200000000006</v>
      </c>
      <c r="M858" t="s">
        <v>46</v>
      </c>
      <c r="N858" t="s">
        <v>48</v>
      </c>
      <c r="O858">
        <v>1</v>
      </c>
      <c r="P858" t="s">
        <v>907</v>
      </c>
      <c r="Q858" t="s">
        <v>2364</v>
      </c>
      <c r="R858">
        <v>33.79</v>
      </c>
      <c r="S858" s="5">
        <v>45449</v>
      </c>
      <c r="T858" s="5">
        <v>45451</v>
      </c>
      <c r="U858" t="s">
        <v>2922</v>
      </c>
    </row>
    <row r="859" spans="1:21" x14ac:dyDescent="0.25">
      <c r="A859" s="5">
        <v>45045</v>
      </c>
      <c r="B859" s="7">
        <f>Table1[[#This Row],[TotalPrice]] * (1 - Table1[[#This Row],[Discount]])</f>
        <v>590.88217499999996</v>
      </c>
      <c r="C859" s="7">
        <f>Table1[[#This Row],[Net Sales]] * 0.2</f>
        <v>118.176435</v>
      </c>
      <c r="D859" t="s">
        <v>21</v>
      </c>
      <c r="E859" t="s">
        <v>27</v>
      </c>
      <c r="F859">
        <v>9</v>
      </c>
      <c r="G859">
        <v>90.87</v>
      </c>
      <c r="H859" t="s">
        <v>34</v>
      </c>
      <c r="I859" t="s">
        <v>36</v>
      </c>
      <c r="J859" s="3">
        <v>0.15</v>
      </c>
      <c r="K859" t="s">
        <v>40</v>
      </c>
      <c r="L859">
        <v>695.15549999999996</v>
      </c>
      <c r="M859" t="s">
        <v>46</v>
      </c>
      <c r="N859" t="s">
        <v>50</v>
      </c>
      <c r="O859">
        <v>0</v>
      </c>
      <c r="P859" t="s">
        <v>908</v>
      </c>
      <c r="Q859" t="s">
        <v>2365</v>
      </c>
      <c r="R859">
        <v>26.56</v>
      </c>
      <c r="S859" s="5">
        <v>45045</v>
      </c>
      <c r="T859" s="5">
        <v>45054</v>
      </c>
      <c r="U859" t="s">
        <v>2924</v>
      </c>
    </row>
    <row r="860" spans="1:21" x14ac:dyDescent="0.25">
      <c r="A860" s="5">
        <v>45189</v>
      </c>
      <c r="B860" s="7">
        <f>Table1[[#This Row],[TotalPrice]] * (1 - Table1[[#This Row],[Discount]])</f>
        <v>4780.8222750000014</v>
      </c>
      <c r="C860" s="7">
        <f>Table1[[#This Row],[Net Sales]] * 0.2</f>
        <v>956.16445500000032</v>
      </c>
      <c r="D860" t="s">
        <v>22</v>
      </c>
      <c r="E860" t="s">
        <v>29</v>
      </c>
      <c r="F860">
        <v>9</v>
      </c>
      <c r="G860">
        <v>588.59</v>
      </c>
      <c r="H860" t="s">
        <v>34</v>
      </c>
      <c r="I860" t="s">
        <v>35</v>
      </c>
      <c r="J860" s="3">
        <v>0.05</v>
      </c>
      <c r="K860" t="s">
        <v>41</v>
      </c>
      <c r="L860">
        <v>5032.4445000000014</v>
      </c>
      <c r="M860" t="s">
        <v>43</v>
      </c>
      <c r="O860">
        <v>0</v>
      </c>
      <c r="P860" t="s">
        <v>909</v>
      </c>
      <c r="Q860" t="s">
        <v>2366</v>
      </c>
      <c r="R860">
        <v>42.3</v>
      </c>
      <c r="S860" s="5">
        <v>45189</v>
      </c>
      <c r="T860" s="5">
        <v>45191</v>
      </c>
      <c r="U860" t="s">
        <v>2925</v>
      </c>
    </row>
    <row r="861" spans="1:21" x14ac:dyDescent="0.25">
      <c r="A861" s="5">
        <v>45604</v>
      </c>
      <c r="B861" s="7">
        <f>Table1[[#This Row],[TotalPrice]] * (1 - Table1[[#This Row],[Discount]])</f>
        <v>2490.0336000000002</v>
      </c>
      <c r="C861" s="7">
        <f>Table1[[#This Row],[Net Sales]] * 0.2</f>
        <v>498.00672000000009</v>
      </c>
      <c r="D861" t="s">
        <v>20</v>
      </c>
      <c r="E861" t="s">
        <v>27</v>
      </c>
      <c r="F861">
        <v>18</v>
      </c>
      <c r="G861">
        <v>153.28</v>
      </c>
      <c r="H861" t="s">
        <v>31</v>
      </c>
      <c r="I861" t="s">
        <v>36</v>
      </c>
      <c r="J861" s="3">
        <v>0.05</v>
      </c>
      <c r="K861" t="s">
        <v>39</v>
      </c>
      <c r="L861">
        <v>2621.0880000000002</v>
      </c>
      <c r="M861" t="s">
        <v>43</v>
      </c>
      <c r="N861" t="s">
        <v>50</v>
      </c>
      <c r="O861">
        <v>1</v>
      </c>
      <c r="P861" t="s">
        <v>910</v>
      </c>
      <c r="Q861" t="s">
        <v>2367</v>
      </c>
      <c r="R861">
        <v>33.71</v>
      </c>
      <c r="S861" s="5">
        <v>45604</v>
      </c>
      <c r="T861" s="5">
        <v>45609</v>
      </c>
      <c r="U861" t="s">
        <v>2923</v>
      </c>
    </row>
    <row r="862" spans="1:21" x14ac:dyDescent="0.25">
      <c r="A862" s="5">
        <v>45007</v>
      </c>
      <c r="B862" s="7">
        <f>Table1[[#This Row],[TotalPrice]] * (1 - Table1[[#This Row],[Discount]])</f>
        <v>2394.7190249999999</v>
      </c>
      <c r="C862" s="7">
        <f>Table1[[#This Row],[Net Sales]] * 0.2</f>
        <v>478.943805</v>
      </c>
      <c r="D862" t="s">
        <v>21</v>
      </c>
      <c r="E862" t="s">
        <v>30</v>
      </c>
      <c r="F862">
        <v>17</v>
      </c>
      <c r="G862">
        <v>194.97</v>
      </c>
      <c r="H862" t="s">
        <v>32</v>
      </c>
      <c r="I862" t="s">
        <v>36</v>
      </c>
      <c r="J862" s="3">
        <v>0.15</v>
      </c>
      <c r="K862" t="s">
        <v>40</v>
      </c>
      <c r="L862">
        <v>2817.3164999999999</v>
      </c>
      <c r="M862" t="s">
        <v>44</v>
      </c>
      <c r="N862" t="s">
        <v>49</v>
      </c>
      <c r="O862">
        <v>1</v>
      </c>
      <c r="P862" t="s">
        <v>911</v>
      </c>
      <c r="Q862" t="s">
        <v>2368</v>
      </c>
      <c r="R862">
        <v>5.59</v>
      </c>
      <c r="S862" s="5">
        <v>45007</v>
      </c>
      <c r="T862" s="5">
        <v>45015</v>
      </c>
      <c r="U862" t="s">
        <v>2924</v>
      </c>
    </row>
    <row r="863" spans="1:21" x14ac:dyDescent="0.25">
      <c r="A863" s="5">
        <v>45174</v>
      </c>
      <c r="B863" s="7">
        <f>Table1[[#This Row],[TotalPrice]] * (1 - Table1[[#This Row],[Discount]])</f>
        <v>1838.05</v>
      </c>
      <c r="C863" s="7">
        <f>Table1[[#This Row],[Net Sales]] * 0.2</f>
        <v>367.61</v>
      </c>
      <c r="D863" t="s">
        <v>19</v>
      </c>
      <c r="E863" t="s">
        <v>28</v>
      </c>
      <c r="F863">
        <v>5</v>
      </c>
      <c r="G863">
        <v>367.61</v>
      </c>
      <c r="H863" t="s">
        <v>33</v>
      </c>
      <c r="I863" t="s">
        <v>36</v>
      </c>
      <c r="J863" s="3">
        <v>0</v>
      </c>
      <c r="K863" t="s">
        <v>38</v>
      </c>
      <c r="L863">
        <v>1838.05</v>
      </c>
      <c r="M863" t="s">
        <v>45</v>
      </c>
      <c r="N863" t="s">
        <v>49</v>
      </c>
      <c r="O863">
        <v>0</v>
      </c>
      <c r="P863" t="s">
        <v>912</v>
      </c>
      <c r="Q863" t="s">
        <v>2369</v>
      </c>
      <c r="R863">
        <v>19.55</v>
      </c>
      <c r="S863" s="5">
        <v>45174</v>
      </c>
      <c r="T863" s="5">
        <v>45182</v>
      </c>
      <c r="U863" t="s">
        <v>2922</v>
      </c>
    </row>
    <row r="864" spans="1:21" x14ac:dyDescent="0.25">
      <c r="A864" s="5">
        <v>44983</v>
      </c>
      <c r="B864" s="7">
        <f>Table1[[#This Row],[TotalPrice]] * (1 - Table1[[#This Row],[Discount]])</f>
        <v>8829.6087499999994</v>
      </c>
      <c r="C864" s="7">
        <f>Table1[[#This Row],[Net Sales]] * 0.2</f>
        <v>1765.92175</v>
      </c>
      <c r="D864" t="s">
        <v>19</v>
      </c>
      <c r="E864" t="s">
        <v>24</v>
      </c>
      <c r="F864">
        <v>17</v>
      </c>
      <c r="G864">
        <v>575.5</v>
      </c>
      <c r="H864" t="s">
        <v>34</v>
      </c>
      <c r="I864" t="s">
        <v>36</v>
      </c>
      <c r="J864" s="3">
        <v>0.05</v>
      </c>
      <c r="K864" t="s">
        <v>38</v>
      </c>
      <c r="L864">
        <v>9294.3249999999989</v>
      </c>
      <c r="M864" t="s">
        <v>46</v>
      </c>
      <c r="N864" t="s">
        <v>48</v>
      </c>
      <c r="O864">
        <v>0</v>
      </c>
      <c r="P864" t="s">
        <v>913</v>
      </c>
      <c r="Q864" t="s">
        <v>2370</v>
      </c>
      <c r="R864">
        <v>13.42</v>
      </c>
      <c r="S864" s="5">
        <v>44983</v>
      </c>
      <c r="T864" s="5">
        <v>44990</v>
      </c>
      <c r="U864" t="s">
        <v>2922</v>
      </c>
    </row>
    <row r="865" spans="1:21" x14ac:dyDescent="0.25">
      <c r="A865" s="5">
        <v>45622</v>
      </c>
      <c r="B865" s="7">
        <f>Table1[[#This Row],[TotalPrice]] * (1 - Table1[[#This Row],[Discount]])</f>
        <v>497.33287499999989</v>
      </c>
      <c r="C865" s="7">
        <f>Table1[[#This Row],[Net Sales]] * 0.2</f>
        <v>99.466574999999978</v>
      </c>
      <c r="D865" t="s">
        <v>23</v>
      </c>
      <c r="E865" t="s">
        <v>27</v>
      </c>
      <c r="F865">
        <v>3</v>
      </c>
      <c r="G865">
        <v>229.45</v>
      </c>
      <c r="H865" t="s">
        <v>34</v>
      </c>
      <c r="I865" t="s">
        <v>36</v>
      </c>
      <c r="J865" s="3">
        <v>0.15</v>
      </c>
      <c r="K865" t="s">
        <v>42</v>
      </c>
      <c r="L865">
        <v>585.09749999999985</v>
      </c>
      <c r="M865" t="s">
        <v>46</v>
      </c>
      <c r="N865" t="s">
        <v>50</v>
      </c>
      <c r="O865">
        <v>1</v>
      </c>
      <c r="P865" t="s">
        <v>914</v>
      </c>
      <c r="Q865" t="s">
        <v>2371</v>
      </c>
      <c r="R865">
        <v>19.809999999999999</v>
      </c>
      <c r="S865" s="5">
        <v>45622</v>
      </c>
      <c r="T865" s="5">
        <v>45625</v>
      </c>
      <c r="U865" t="s">
        <v>2926</v>
      </c>
    </row>
    <row r="866" spans="1:21" x14ac:dyDescent="0.25">
      <c r="A866" s="5">
        <v>45579</v>
      </c>
      <c r="B866" s="7">
        <f>Table1[[#This Row],[TotalPrice]] * (1 - Table1[[#This Row],[Discount]])</f>
        <v>1174.8900000000001</v>
      </c>
      <c r="C866" s="7">
        <f>Table1[[#This Row],[Net Sales]] * 0.2</f>
        <v>234.97800000000004</v>
      </c>
      <c r="D866" t="s">
        <v>22</v>
      </c>
      <c r="E866" t="s">
        <v>27</v>
      </c>
      <c r="F866">
        <v>3</v>
      </c>
      <c r="G866">
        <v>391.63</v>
      </c>
      <c r="H866" t="s">
        <v>33</v>
      </c>
      <c r="I866" t="s">
        <v>36</v>
      </c>
      <c r="J866" s="3">
        <v>0</v>
      </c>
      <c r="K866" t="s">
        <v>39</v>
      </c>
      <c r="L866">
        <v>1174.8900000000001</v>
      </c>
      <c r="M866" t="s">
        <v>46</v>
      </c>
      <c r="O866">
        <v>1</v>
      </c>
      <c r="P866" t="s">
        <v>915</v>
      </c>
      <c r="Q866" t="s">
        <v>2372</v>
      </c>
      <c r="R866">
        <v>25.36</v>
      </c>
      <c r="S866" s="5">
        <v>45579</v>
      </c>
      <c r="T866" s="5">
        <v>45582</v>
      </c>
      <c r="U866" t="s">
        <v>2925</v>
      </c>
    </row>
    <row r="867" spans="1:21" x14ac:dyDescent="0.25">
      <c r="A867" s="5">
        <v>45075</v>
      </c>
      <c r="B867" s="7">
        <f>Table1[[#This Row],[TotalPrice]] * (1 - Table1[[#This Row],[Discount]])</f>
        <v>818.3024999999999</v>
      </c>
      <c r="C867" s="7">
        <f>Table1[[#This Row],[Net Sales]] * 0.2</f>
        <v>163.66049999999998</v>
      </c>
      <c r="D867" t="s">
        <v>22</v>
      </c>
      <c r="E867" t="s">
        <v>24</v>
      </c>
      <c r="F867">
        <v>15</v>
      </c>
      <c r="G867">
        <v>67.349999999999994</v>
      </c>
      <c r="H867" t="s">
        <v>34</v>
      </c>
      <c r="I867" t="s">
        <v>35</v>
      </c>
      <c r="J867" s="3">
        <v>0.1</v>
      </c>
      <c r="K867" t="s">
        <v>41</v>
      </c>
      <c r="L867">
        <v>909.22499999999991</v>
      </c>
      <c r="M867" t="s">
        <v>43</v>
      </c>
      <c r="N867" t="s">
        <v>48</v>
      </c>
      <c r="O867">
        <v>0</v>
      </c>
      <c r="P867" t="s">
        <v>916</v>
      </c>
      <c r="Q867" t="s">
        <v>2373</v>
      </c>
      <c r="R867">
        <v>24.85</v>
      </c>
      <c r="S867" s="5">
        <v>45075</v>
      </c>
      <c r="T867" s="5">
        <v>45080</v>
      </c>
      <c r="U867" t="s">
        <v>2925</v>
      </c>
    </row>
    <row r="868" spans="1:21" x14ac:dyDescent="0.25">
      <c r="A868" s="5">
        <v>45373</v>
      </c>
      <c r="B868" s="7">
        <f>Table1[[#This Row],[TotalPrice]] * (1 - Table1[[#This Row],[Discount]])</f>
        <v>1967.4831000000001</v>
      </c>
      <c r="C868" s="7">
        <f>Table1[[#This Row],[Net Sales]] * 0.2</f>
        <v>393.49662000000006</v>
      </c>
      <c r="D868" t="s">
        <v>22</v>
      </c>
      <c r="E868" t="s">
        <v>24</v>
      </c>
      <c r="F868">
        <v>6</v>
      </c>
      <c r="G868">
        <v>453.86</v>
      </c>
      <c r="H868" t="s">
        <v>31</v>
      </c>
      <c r="I868" t="s">
        <v>36</v>
      </c>
      <c r="J868" s="3">
        <v>0.15</v>
      </c>
      <c r="K868" t="s">
        <v>38</v>
      </c>
      <c r="L868">
        <v>2314.6860000000001</v>
      </c>
      <c r="M868" t="s">
        <v>45</v>
      </c>
      <c r="O868">
        <v>0</v>
      </c>
      <c r="P868" t="s">
        <v>917</v>
      </c>
      <c r="Q868" t="s">
        <v>2374</v>
      </c>
      <c r="R868">
        <v>45.32</v>
      </c>
      <c r="S868" s="5">
        <v>45373</v>
      </c>
      <c r="T868" s="5">
        <v>45382</v>
      </c>
      <c r="U868" t="s">
        <v>2925</v>
      </c>
    </row>
    <row r="869" spans="1:21" x14ac:dyDescent="0.25">
      <c r="A869" s="5">
        <v>45038</v>
      </c>
      <c r="B869" s="7">
        <f>Table1[[#This Row],[TotalPrice]] * (1 - Table1[[#This Row],[Discount]])</f>
        <v>10216.299999999999</v>
      </c>
      <c r="C869" s="7">
        <f>Table1[[#This Row],[Net Sales]] * 0.2</f>
        <v>2043.26</v>
      </c>
      <c r="D869" t="s">
        <v>20</v>
      </c>
      <c r="E869" t="s">
        <v>29</v>
      </c>
      <c r="F869">
        <v>19</v>
      </c>
      <c r="G869">
        <v>537.70000000000005</v>
      </c>
      <c r="H869" t="s">
        <v>34</v>
      </c>
      <c r="I869" t="s">
        <v>35</v>
      </c>
      <c r="J869" s="3">
        <v>0</v>
      </c>
      <c r="K869" t="s">
        <v>42</v>
      </c>
      <c r="L869">
        <v>10216.299999999999</v>
      </c>
      <c r="M869" t="s">
        <v>43</v>
      </c>
      <c r="N869" t="s">
        <v>49</v>
      </c>
      <c r="O869">
        <v>0</v>
      </c>
      <c r="P869" t="s">
        <v>918</v>
      </c>
      <c r="Q869" t="s">
        <v>2375</v>
      </c>
      <c r="R869">
        <v>45.83</v>
      </c>
      <c r="S869" s="5">
        <v>45038</v>
      </c>
      <c r="T869" s="5">
        <v>45048</v>
      </c>
      <c r="U869" t="s">
        <v>2923</v>
      </c>
    </row>
    <row r="870" spans="1:21" x14ac:dyDescent="0.25">
      <c r="A870" s="5">
        <v>45814</v>
      </c>
      <c r="B870" s="7">
        <f>Table1[[#This Row],[TotalPrice]] * (1 - Table1[[#This Row],[Discount]])</f>
        <v>146.92699999999999</v>
      </c>
      <c r="C870" s="7">
        <f>Table1[[#This Row],[Net Sales]] * 0.2</f>
        <v>29.385400000000001</v>
      </c>
      <c r="D870" t="s">
        <v>21</v>
      </c>
      <c r="E870" t="s">
        <v>25</v>
      </c>
      <c r="F870">
        <v>5</v>
      </c>
      <c r="G870">
        <v>32.56</v>
      </c>
      <c r="H870" t="s">
        <v>33</v>
      </c>
      <c r="I870" t="s">
        <v>36</v>
      </c>
      <c r="J870" s="3">
        <v>0.05</v>
      </c>
      <c r="K870" t="s">
        <v>41</v>
      </c>
      <c r="L870">
        <v>154.66</v>
      </c>
      <c r="M870" t="s">
        <v>47</v>
      </c>
      <c r="N870" t="s">
        <v>48</v>
      </c>
      <c r="O870">
        <v>0</v>
      </c>
      <c r="P870" t="s">
        <v>919</v>
      </c>
      <c r="Q870" t="s">
        <v>2376</v>
      </c>
      <c r="R870">
        <v>46.73</v>
      </c>
      <c r="S870" s="5">
        <v>45814</v>
      </c>
      <c r="T870" s="5">
        <v>45820</v>
      </c>
      <c r="U870" t="s">
        <v>2924</v>
      </c>
    </row>
    <row r="871" spans="1:21" x14ac:dyDescent="0.25">
      <c r="A871" s="5">
        <v>44951</v>
      </c>
      <c r="B871" s="7">
        <f>Table1[[#This Row],[TotalPrice]] * (1 - Table1[[#This Row],[Discount]])</f>
        <v>393.4</v>
      </c>
      <c r="C871" s="7">
        <f>Table1[[#This Row],[Net Sales]] * 0.2</f>
        <v>78.680000000000007</v>
      </c>
      <c r="D871" t="s">
        <v>22</v>
      </c>
      <c r="E871" t="s">
        <v>24</v>
      </c>
      <c r="F871">
        <v>2</v>
      </c>
      <c r="G871">
        <v>196.7</v>
      </c>
      <c r="H871" t="s">
        <v>32</v>
      </c>
      <c r="I871" t="s">
        <v>36</v>
      </c>
      <c r="J871" s="3">
        <v>0</v>
      </c>
      <c r="K871" t="s">
        <v>39</v>
      </c>
      <c r="L871">
        <v>393.4</v>
      </c>
      <c r="M871" t="s">
        <v>43</v>
      </c>
      <c r="N871" t="s">
        <v>48</v>
      </c>
      <c r="O871">
        <v>0</v>
      </c>
      <c r="P871" t="s">
        <v>920</v>
      </c>
      <c r="Q871" t="s">
        <v>2377</v>
      </c>
      <c r="R871">
        <v>35.840000000000003</v>
      </c>
      <c r="S871" s="5">
        <v>44951</v>
      </c>
      <c r="T871" s="5">
        <v>44955</v>
      </c>
      <c r="U871" t="s">
        <v>2925</v>
      </c>
    </row>
    <row r="872" spans="1:21" x14ac:dyDescent="0.25">
      <c r="A872" s="5">
        <v>45177</v>
      </c>
      <c r="B872" s="7">
        <f>Table1[[#This Row],[TotalPrice]] * (1 - Table1[[#This Row],[Discount]])</f>
        <v>3591.0540000000001</v>
      </c>
      <c r="C872" s="7">
        <f>Table1[[#This Row],[Net Sales]] * 0.2</f>
        <v>718.21080000000006</v>
      </c>
      <c r="D872" t="s">
        <v>20</v>
      </c>
      <c r="E872" t="s">
        <v>25</v>
      </c>
      <c r="F872">
        <v>12</v>
      </c>
      <c r="G872">
        <v>369.45</v>
      </c>
      <c r="H872" t="s">
        <v>34</v>
      </c>
      <c r="I872" t="s">
        <v>35</v>
      </c>
      <c r="J872" s="3">
        <v>0.1</v>
      </c>
      <c r="K872" t="s">
        <v>39</v>
      </c>
      <c r="L872">
        <v>3990.06</v>
      </c>
      <c r="M872" t="s">
        <v>45</v>
      </c>
      <c r="N872" t="s">
        <v>50</v>
      </c>
      <c r="O872">
        <v>1</v>
      </c>
      <c r="P872" t="s">
        <v>921</v>
      </c>
      <c r="Q872" t="s">
        <v>2078</v>
      </c>
      <c r="R872">
        <v>44.76</v>
      </c>
      <c r="S872" s="5">
        <v>45177</v>
      </c>
      <c r="T872" s="5">
        <v>45179</v>
      </c>
      <c r="U872" t="s">
        <v>2923</v>
      </c>
    </row>
    <row r="873" spans="1:21" x14ac:dyDescent="0.25">
      <c r="A873" s="5">
        <v>45569</v>
      </c>
      <c r="B873" s="7">
        <f>Table1[[#This Row],[TotalPrice]] * (1 - Table1[[#This Row],[Discount]])</f>
        <v>1577.5932</v>
      </c>
      <c r="C873" s="7">
        <f>Table1[[#This Row],[Net Sales]] * 0.2</f>
        <v>315.51864</v>
      </c>
      <c r="D873" t="s">
        <v>19</v>
      </c>
      <c r="E873" t="s">
        <v>29</v>
      </c>
      <c r="F873">
        <v>12</v>
      </c>
      <c r="G873">
        <v>181.96</v>
      </c>
      <c r="H873" t="s">
        <v>34</v>
      </c>
      <c r="I873" t="s">
        <v>36</v>
      </c>
      <c r="J873" s="3">
        <v>0.15</v>
      </c>
      <c r="K873" t="s">
        <v>37</v>
      </c>
      <c r="L873">
        <v>1855.992</v>
      </c>
      <c r="M873" t="s">
        <v>44</v>
      </c>
      <c r="N873" t="s">
        <v>50</v>
      </c>
      <c r="O873">
        <v>0</v>
      </c>
      <c r="P873" t="s">
        <v>922</v>
      </c>
      <c r="Q873" t="s">
        <v>2378</v>
      </c>
      <c r="R873">
        <v>25.06</v>
      </c>
      <c r="S873" s="5">
        <v>45569</v>
      </c>
      <c r="T873" s="5">
        <v>45576</v>
      </c>
      <c r="U873" t="s">
        <v>2922</v>
      </c>
    </row>
    <row r="874" spans="1:21" x14ac:dyDescent="0.25">
      <c r="A874" s="5">
        <v>45753</v>
      </c>
      <c r="B874" s="7">
        <f>Table1[[#This Row],[TotalPrice]] * (1 - Table1[[#This Row],[Discount]])</f>
        <v>69.511724999999998</v>
      </c>
      <c r="C874" s="7">
        <f>Table1[[#This Row],[Net Sales]] * 0.2</f>
        <v>13.902345</v>
      </c>
      <c r="D874" t="s">
        <v>19</v>
      </c>
      <c r="E874" t="s">
        <v>26</v>
      </c>
      <c r="F874">
        <v>3</v>
      </c>
      <c r="G874">
        <v>32.07</v>
      </c>
      <c r="H874" t="s">
        <v>34</v>
      </c>
      <c r="I874" t="s">
        <v>36</v>
      </c>
      <c r="J874" s="3">
        <v>0.15</v>
      </c>
      <c r="K874" t="s">
        <v>38</v>
      </c>
      <c r="L874">
        <v>81.778500000000008</v>
      </c>
      <c r="M874" t="s">
        <v>43</v>
      </c>
      <c r="N874" t="s">
        <v>50</v>
      </c>
      <c r="O874">
        <v>1</v>
      </c>
      <c r="P874" t="s">
        <v>923</v>
      </c>
      <c r="Q874" t="s">
        <v>2379</v>
      </c>
      <c r="R874">
        <v>43.18</v>
      </c>
      <c r="S874" s="5">
        <v>45753</v>
      </c>
      <c r="T874" s="5">
        <v>45755</v>
      </c>
      <c r="U874" t="s">
        <v>2922</v>
      </c>
    </row>
    <row r="875" spans="1:21" x14ac:dyDescent="0.25">
      <c r="A875" s="5">
        <v>45529</v>
      </c>
      <c r="B875" s="7">
        <f>Table1[[#This Row],[TotalPrice]] * (1 - Table1[[#This Row],[Discount]])</f>
        <v>432.74137500000001</v>
      </c>
      <c r="C875" s="7">
        <f>Table1[[#This Row],[Net Sales]] * 0.2</f>
        <v>86.548275000000004</v>
      </c>
      <c r="D875" t="s">
        <v>19</v>
      </c>
      <c r="E875" t="s">
        <v>24</v>
      </c>
      <c r="F875">
        <v>15</v>
      </c>
      <c r="G875">
        <v>39.93</v>
      </c>
      <c r="H875" t="s">
        <v>32</v>
      </c>
      <c r="I875" t="s">
        <v>36</v>
      </c>
      <c r="J875" s="3">
        <v>0.15</v>
      </c>
      <c r="K875" t="s">
        <v>41</v>
      </c>
      <c r="L875">
        <v>509.10750000000002</v>
      </c>
      <c r="M875" t="s">
        <v>46</v>
      </c>
      <c r="N875" t="s">
        <v>50</v>
      </c>
      <c r="O875">
        <v>0</v>
      </c>
      <c r="P875" t="s">
        <v>924</v>
      </c>
      <c r="Q875" t="s">
        <v>2380</v>
      </c>
      <c r="R875">
        <v>33.44</v>
      </c>
      <c r="S875" s="5">
        <v>45529</v>
      </c>
      <c r="T875" s="5">
        <v>45533</v>
      </c>
      <c r="U875" t="s">
        <v>2922</v>
      </c>
    </row>
    <row r="876" spans="1:21" x14ac:dyDescent="0.25">
      <c r="A876" s="5">
        <v>45357</v>
      </c>
      <c r="B876" s="7">
        <f>Table1[[#This Row],[TotalPrice]] * (1 - Table1[[#This Row],[Discount]])</f>
        <v>1893.6797249999997</v>
      </c>
      <c r="C876" s="7">
        <f>Table1[[#This Row],[Net Sales]] * 0.2</f>
        <v>378.73594499999996</v>
      </c>
      <c r="D876" t="s">
        <v>21</v>
      </c>
      <c r="E876" t="s">
        <v>25</v>
      </c>
      <c r="F876">
        <v>7</v>
      </c>
      <c r="G876">
        <v>374.43</v>
      </c>
      <c r="H876" t="s">
        <v>32</v>
      </c>
      <c r="I876" t="s">
        <v>36</v>
      </c>
      <c r="J876" s="3">
        <v>0.15</v>
      </c>
      <c r="K876" t="s">
        <v>40</v>
      </c>
      <c r="L876">
        <v>2227.8584999999998</v>
      </c>
      <c r="M876" t="s">
        <v>47</v>
      </c>
      <c r="N876" t="s">
        <v>49</v>
      </c>
      <c r="O876">
        <v>0</v>
      </c>
      <c r="P876" t="s">
        <v>925</v>
      </c>
      <c r="Q876" t="s">
        <v>2381</v>
      </c>
      <c r="R876">
        <v>28.97</v>
      </c>
      <c r="S876" s="5">
        <v>45357</v>
      </c>
      <c r="T876" s="5">
        <v>45363</v>
      </c>
      <c r="U876" t="s">
        <v>2924</v>
      </c>
    </row>
    <row r="877" spans="1:21" x14ac:dyDescent="0.25">
      <c r="A877" s="5">
        <v>45008</v>
      </c>
      <c r="B877" s="7">
        <f>Table1[[#This Row],[TotalPrice]] * (1 - Table1[[#This Row],[Discount]])</f>
        <v>203.74</v>
      </c>
      <c r="C877" s="7">
        <f>Table1[[#This Row],[Net Sales]] * 0.2</f>
        <v>40.748000000000005</v>
      </c>
      <c r="D877" t="s">
        <v>19</v>
      </c>
      <c r="E877" t="s">
        <v>30</v>
      </c>
      <c r="F877">
        <v>2</v>
      </c>
      <c r="G877">
        <v>101.87</v>
      </c>
      <c r="H877" t="s">
        <v>33</v>
      </c>
      <c r="I877" t="s">
        <v>35</v>
      </c>
      <c r="J877" s="3">
        <v>0</v>
      </c>
      <c r="K877" t="s">
        <v>41</v>
      </c>
      <c r="L877">
        <v>203.74</v>
      </c>
      <c r="M877" t="s">
        <v>47</v>
      </c>
      <c r="N877" t="s">
        <v>48</v>
      </c>
      <c r="O877">
        <v>0</v>
      </c>
      <c r="P877" t="s">
        <v>926</v>
      </c>
      <c r="Q877" t="s">
        <v>2382</v>
      </c>
      <c r="R877">
        <v>28.63</v>
      </c>
      <c r="S877" s="5">
        <v>45008</v>
      </c>
      <c r="T877" s="5">
        <v>45011</v>
      </c>
      <c r="U877" t="s">
        <v>2922</v>
      </c>
    </row>
    <row r="878" spans="1:21" x14ac:dyDescent="0.25">
      <c r="A878" s="5">
        <v>45304</v>
      </c>
      <c r="B878" s="7">
        <f>Table1[[#This Row],[TotalPrice]] * (1 - Table1[[#This Row],[Discount]])</f>
        <v>4029.5271249999992</v>
      </c>
      <c r="C878" s="7">
        <f>Table1[[#This Row],[Net Sales]] * 0.2</f>
        <v>805.90542499999992</v>
      </c>
      <c r="D878" t="s">
        <v>22</v>
      </c>
      <c r="E878" t="s">
        <v>29</v>
      </c>
      <c r="F878">
        <v>13</v>
      </c>
      <c r="G878">
        <v>343.45</v>
      </c>
      <c r="H878" t="s">
        <v>34</v>
      </c>
      <c r="I878" t="s">
        <v>35</v>
      </c>
      <c r="J878" s="3">
        <v>0.05</v>
      </c>
      <c r="K878" t="s">
        <v>38</v>
      </c>
      <c r="L878">
        <v>4241.6074999999992</v>
      </c>
      <c r="M878" t="s">
        <v>44</v>
      </c>
      <c r="N878" t="s">
        <v>49</v>
      </c>
      <c r="O878">
        <v>0</v>
      </c>
      <c r="P878" t="s">
        <v>927</v>
      </c>
      <c r="Q878" t="s">
        <v>2383</v>
      </c>
      <c r="R878">
        <v>27.26</v>
      </c>
      <c r="S878" s="5">
        <v>45304</v>
      </c>
      <c r="T878" s="5">
        <v>45308</v>
      </c>
      <c r="U878" t="s">
        <v>2925</v>
      </c>
    </row>
    <row r="879" spans="1:21" x14ac:dyDescent="0.25">
      <c r="A879" s="5">
        <v>45125</v>
      </c>
      <c r="B879" s="7">
        <f>Table1[[#This Row],[TotalPrice]] * (1 - Table1[[#This Row],[Discount]])</f>
        <v>2161.65</v>
      </c>
      <c r="C879" s="7">
        <f>Table1[[#This Row],[Net Sales]] * 0.2</f>
        <v>432.33000000000004</v>
      </c>
      <c r="D879" t="s">
        <v>22</v>
      </c>
      <c r="E879" t="s">
        <v>30</v>
      </c>
      <c r="F879">
        <v>15</v>
      </c>
      <c r="G879">
        <v>144.11000000000001</v>
      </c>
      <c r="H879" t="s">
        <v>33</v>
      </c>
      <c r="I879" t="s">
        <v>36</v>
      </c>
      <c r="J879" s="3">
        <v>0</v>
      </c>
      <c r="K879" t="s">
        <v>39</v>
      </c>
      <c r="L879">
        <v>2161.65</v>
      </c>
      <c r="M879" t="s">
        <v>44</v>
      </c>
      <c r="O879">
        <v>0</v>
      </c>
      <c r="P879" t="s">
        <v>928</v>
      </c>
      <c r="Q879" t="s">
        <v>2384</v>
      </c>
      <c r="R879">
        <v>28.51</v>
      </c>
      <c r="S879" s="5">
        <v>45125</v>
      </c>
      <c r="T879" s="5">
        <v>45131</v>
      </c>
      <c r="U879" t="s">
        <v>2925</v>
      </c>
    </row>
    <row r="880" spans="1:21" x14ac:dyDescent="0.25">
      <c r="A880" s="5">
        <v>45711</v>
      </c>
      <c r="B880" s="7">
        <f>Table1[[#This Row],[TotalPrice]] * (1 - Table1[[#This Row],[Discount]])</f>
        <v>5249.8584000000001</v>
      </c>
      <c r="C880" s="7">
        <f>Table1[[#This Row],[Net Sales]] * 0.2</f>
        <v>1049.9716800000001</v>
      </c>
      <c r="D880" t="s">
        <v>23</v>
      </c>
      <c r="E880" t="s">
        <v>27</v>
      </c>
      <c r="F880">
        <v>18</v>
      </c>
      <c r="G880">
        <v>403.68</v>
      </c>
      <c r="H880" t="s">
        <v>32</v>
      </c>
      <c r="I880" t="s">
        <v>36</v>
      </c>
      <c r="J880" s="3">
        <v>0.15</v>
      </c>
      <c r="K880" t="s">
        <v>40</v>
      </c>
      <c r="L880">
        <v>6176.3040000000001</v>
      </c>
      <c r="M880" t="s">
        <v>47</v>
      </c>
      <c r="N880" t="s">
        <v>48</v>
      </c>
      <c r="O880">
        <v>0</v>
      </c>
      <c r="P880" t="s">
        <v>929</v>
      </c>
      <c r="Q880" t="s">
        <v>2385</v>
      </c>
      <c r="R880">
        <v>13.09</v>
      </c>
      <c r="S880" s="5">
        <v>45711</v>
      </c>
      <c r="T880" s="5">
        <v>45720</v>
      </c>
      <c r="U880" t="s">
        <v>2926</v>
      </c>
    </row>
    <row r="881" spans="1:21" x14ac:dyDescent="0.25">
      <c r="A881" s="5">
        <v>44979</v>
      </c>
      <c r="B881" s="7">
        <f>Table1[[#This Row],[TotalPrice]] * (1 - Table1[[#This Row],[Discount]])</f>
        <v>3930.1038000000003</v>
      </c>
      <c r="C881" s="7">
        <f>Table1[[#This Row],[Net Sales]] * 0.2</f>
        <v>786.02076000000011</v>
      </c>
      <c r="D881" t="s">
        <v>19</v>
      </c>
      <c r="E881" t="s">
        <v>30</v>
      </c>
      <c r="F881">
        <v>14</v>
      </c>
      <c r="G881">
        <v>346.57</v>
      </c>
      <c r="H881" t="s">
        <v>31</v>
      </c>
      <c r="I881" t="s">
        <v>36</v>
      </c>
      <c r="J881" s="3">
        <v>0.1</v>
      </c>
      <c r="K881" t="s">
        <v>40</v>
      </c>
      <c r="L881">
        <v>4366.7820000000002</v>
      </c>
      <c r="M881" t="s">
        <v>46</v>
      </c>
      <c r="N881" t="s">
        <v>48</v>
      </c>
      <c r="O881">
        <v>0</v>
      </c>
      <c r="P881" t="s">
        <v>930</v>
      </c>
      <c r="Q881" t="s">
        <v>2386</v>
      </c>
      <c r="R881">
        <v>36.83</v>
      </c>
      <c r="S881" s="5">
        <v>44979</v>
      </c>
      <c r="T881" s="5">
        <v>44987</v>
      </c>
      <c r="U881" t="s">
        <v>2922</v>
      </c>
    </row>
    <row r="882" spans="1:21" x14ac:dyDescent="0.25">
      <c r="A882" s="5">
        <v>45583</v>
      </c>
      <c r="B882" s="7">
        <f>Table1[[#This Row],[TotalPrice]] * (1 - Table1[[#This Row],[Discount]])</f>
        <v>2749.53</v>
      </c>
      <c r="C882" s="7">
        <f>Table1[[#This Row],[Net Sales]] * 0.2</f>
        <v>549.90600000000006</v>
      </c>
      <c r="D882" t="s">
        <v>21</v>
      </c>
      <c r="E882" t="s">
        <v>30</v>
      </c>
      <c r="F882">
        <v>7</v>
      </c>
      <c r="G882">
        <v>392.79</v>
      </c>
      <c r="H882" t="s">
        <v>33</v>
      </c>
      <c r="I882" t="s">
        <v>35</v>
      </c>
      <c r="J882" s="3">
        <v>0</v>
      </c>
      <c r="K882" t="s">
        <v>37</v>
      </c>
      <c r="L882">
        <v>2749.53</v>
      </c>
      <c r="M882" t="s">
        <v>44</v>
      </c>
      <c r="N882" t="s">
        <v>50</v>
      </c>
      <c r="O882">
        <v>0</v>
      </c>
      <c r="P882" t="s">
        <v>931</v>
      </c>
      <c r="Q882" t="s">
        <v>2387</v>
      </c>
      <c r="R882">
        <v>45.85</v>
      </c>
      <c r="S882" s="5">
        <v>45583</v>
      </c>
      <c r="T882" s="5">
        <v>45593</v>
      </c>
      <c r="U882" t="s">
        <v>2924</v>
      </c>
    </row>
    <row r="883" spans="1:21" x14ac:dyDescent="0.25">
      <c r="A883" s="5">
        <v>45225</v>
      </c>
      <c r="B883" s="7">
        <f>Table1[[#This Row],[TotalPrice]] * (1 - Table1[[#This Row],[Discount]])</f>
        <v>1022.7851999999999</v>
      </c>
      <c r="C883" s="7">
        <f>Table1[[#This Row],[Net Sales]] * 0.2</f>
        <v>204.55704</v>
      </c>
      <c r="D883" t="s">
        <v>23</v>
      </c>
      <c r="E883" t="s">
        <v>30</v>
      </c>
      <c r="F883">
        <v>16</v>
      </c>
      <c r="G883">
        <v>70.83</v>
      </c>
      <c r="H883" t="s">
        <v>31</v>
      </c>
      <c r="I883" t="s">
        <v>35</v>
      </c>
      <c r="J883" s="3">
        <v>0.05</v>
      </c>
      <c r="K883" t="s">
        <v>40</v>
      </c>
      <c r="L883">
        <v>1076.616</v>
      </c>
      <c r="M883" t="s">
        <v>44</v>
      </c>
      <c r="O883">
        <v>0</v>
      </c>
      <c r="P883" t="s">
        <v>932</v>
      </c>
      <c r="Q883" t="s">
        <v>2388</v>
      </c>
      <c r="R883">
        <v>5.05</v>
      </c>
      <c r="S883" s="5">
        <v>45225</v>
      </c>
      <c r="T883" s="5">
        <v>45230</v>
      </c>
      <c r="U883" t="s">
        <v>2926</v>
      </c>
    </row>
    <row r="884" spans="1:21" x14ac:dyDescent="0.25">
      <c r="A884" s="5">
        <v>44936</v>
      </c>
      <c r="B884" s="7">
        <f>Table1[[#This Row],[TotalPrice]] * (1 - Table1[[#This Row],[Discount]])</f>
        <v>4444.7939999999999</v>
      </c>
      <c r="C884" s="7">
        <f>Table1[[#This Row],[Net Sales]] * 0.2</f>
        <v>888.9588</v>
      </c>
      <c r="D884" t="s">
        <v>22</v>
      </c>
      <c r="E884" t="s">
        <v>28</v>
      </c>
      <c r="F884">
        <v>20</v>
      </c>
      <c r="G884">
        <v>274.37</v>
      </c>
      <c r="H884" t="s">
        <v>31</v>
      </c>
      <c r="I884" t="s">
        <v>36</v>
      </c>
      <c r="J884" s="3">
        <v>0.1</v>
      </c>
      <c r="K884" t="s">
        <v>37</v>
      </c>
      <c r="L884">
        <v>4938.66</v>
      </c>
      <c r="M884" t="s">
        <v>44</v>
      </c>
      <c r="N884" t="s">
        <v>50</v>
      </c>
      <c r="O884">
        <v>0</v>
      </c>
      <c r="P884" t="s">
        <v>933</v>
      </c>
      <c r="Q884" t="s">
        <v>1824</v>
      </c>
      <c r="R884">
        <v>12.28</v>
      </c>
      <c r="S884" s="5">
        <v>44936</v>
      </c>
      <c r="T884" s="5">
        <v>44940</v>
      </c>
      <c r="U884" t="s">
        <v>2925</v>
      </c>
    </row>
    <row r="885" spans="1:21" x14ac:dyDescent="0.25">
      <c r="A885" s="5">
        <v>45370</v>
      </c>
      <c r="B885" s="7">
        <f>Table1[[#This Row],[TotalPrice]] * (1 - Table1[[#This Row],[Discount]])</f>
        <v>159.81299999999999</v>
      </c>
      <c r="C885" s="7">
        <f>Table1[[#This Row],[Net Sales]] * 0.2</f>
        <v>31.962599999999998</v>
      </c>
      <c r="D885" t="s">
        <v>22</v>
      </c>
      <c r="E885" t="s">
        <v>26</v>
      </c>
      <c r="F885">
        <v>10</v>
      </c>
      <c r="G885">
        <v>19.73</v>
      </c>
      <c r="H885" t="s">
        <v>34</v>
      </c>
      <c r="I885" t="s">
        <v>36</v>
      </c>
      <c r="J885" s="3">
        <v>0.1</v>
      </c>
      <c r="K885" t="s">
        <v>40</v>
      </c>
      <c r="L885">
        <v>177.57</v>
      </c>
      <c r="M885" t="s">
        <v>46</v>
      </c>
      <c r="O885">
        <v>0</v>
      </c>
      <c r="P885" t="s">
        <v>934</v>
      </c>
      <c r="Q885" t="s">
        <v>2389</v>
      </c>
      <c r="R885">
        <v>16.059999999999999</v>
      </c>
      <c r="S885" s="5">
        <v>45370</v>
      </c>
      <c r="T885" s="5">
        <v>45373</v>
      </c>
      <c r="U885" t="s">
        <v>2925</v>
      </c>
    </row>
    <row r="886" spans="1:21" x14ac:dyDescent="0.25">
      <c r="A886" s="5">
        <v>45280</v>
      </c>
      <c r="B886" s="7">
        <f>Table1[[#This Row],[TotalPrice]] * (1 - Table1[[#This Row],[Discount]])</f>
        <v>4203.1229999999996</v>
      </c>
      <c r="C886" s="7">
        <f>Table1[[#This Row],[Net Sales]] * 0.2</f>
        <v>840.62459999999999</v>
      </c>
      <c r="D886" t="s">
        <v>22</v>
      </c>
      <c r="E886" t="s">
        <v>30</v>
      </c>
      <c r="F886">
        <v>10</v>
      </c>
      <c r="G886">
        <v>465.72</v>
      </c>
      <c r="H886" t="s">
        <v>31</v>
      </c>
      <c r="I886" t="s">
        <v>35</v>
      </c>
      <c r="J886" s="3">
        <v>0.05</v>
      </c>
      <c r="K886" t="s">
        <v>38</v>
      </c>
      <c r="L886">
        <v>4424.34</v>
      </c>
      <c r="M886" t="s">
        <v>43</v>
      </c>
      <c r="N886" t="s">
        <v>48</v>
      </c>
      <c r="O886">
        <v>0</v>
      </c>
      <c r="P886" t="s">
        <v>935</v>
      </c>
      <c r="Q886" t="s">
        <v>2390</v>
      </c>
      <c r="R886">
        <v>28.14</v>
      </c>
      <c r="S886" s="5">
        <v>45280</v>
      </c>
      <c r="T886" s="5">
        <v>45286</v>
      </c>
      <c r="U886" t="s">
        <v>2925</v>
      </c>
    </row>
    <row r="887" spans="1:21" x14ac:dyDescent="0.25">
      <c r="A887" s="5">
        <v>45635</v>
      </c>
      <c r="B887" s="7">
        <f>Table1[[#This Row],[TotalPrice]] * (1 - Table1[[#This Row],[Discount]])</f>
        <v>955.25729999999999</v>
      </c>
      <c r="C887" s="7">
        <f>Table1[[#This Row],[Net Sales]] * 0.2</f>
        <v>191.05146000000002</v>
      </c>
      <c r="D887" t="s">
        <v>22</v>
      </c>
      <c r="E887" t="s">
        <v>28</v>
      </c>
      <c r="F887">
        <v>19</v>
      </c>
      <c r="G887">
        <v>62.07</v>
      </c>
      <c r="H887" t="s">
        <v>34</v>
      </c>
      <c r="I887" t="s">
        <v>36</v>
      </c>
      <c r="J887" s="3">
        <v>0.1</v>
      </c>
      <c r="K887" t="s">
        <v>41</v>
      </c>
      <c r="L887">
        <v>1061.3969999999999</v>
      </c>
      <c r="M887" t="s">
        <v>46</v>
      </c>
      <c r="N887" t="s">
        <v>48</v>
      </c>
      <c r="O887">
        <v>0</v>
      </c>
      <c r="P887" t="s">
        <v>936</v>
      </c>
      <c r="Q887" t="s">
        <v>2391</v>
      </c>
      <c r="R887">
        <v>14.85</v>
      </c>
      <c r="S887" s="5">
        <v>45635</v>
      </c>
      <c r="T887" s="5">
        <v>45645</v>
      </c>
      <c r="U887" t="s">
        <v>2925</v>
      </c>
    </row>
    <row r="888" spans="1:21" x14ac:dyDescent="0.25">
      <c r="A888" s="5">
        <v>45056</v>
      </c>
      <c r="B888" s="7">
        <f>Table1[[#This Row],[TotalPrice]] * (1 - Table1[[#This Row],[Discount]])</f>
        <v>5253.6329999999998</v>
      </c>
      <c r="C888" s="7">
        <f>Table1[[#This Row],[Net Sales]] * 0.2</f>
        <v>1050.7266</v>
      </c>
      <c r="D888" t="s">
        <v>22</v>
      </c>
      <c r="E888" t="s">
        <v>29</v>
      </c>
      <c r="F888">
        <v>11</v>
      </c>
      <c r="G888">
        <v>529.20000000000005</v>
      </c>
      <c r="H888" t="s">
        <v>32</v>
      </c>
      <c r="I888" t="s">
        <v>35</v>
      </c>
      <c r="J888" s="3">
        <v>0.05</v>
      </c>
      <c r="K888" t="s">
        <v>42</v>
      </c>
      <c r="L888">
        <v>5530.14</v>
      </c>
      <c r="M888" t="s">
        <v>45</v>
      </c>
      <c r="O888">
        <v>1</v>
      </c>
      <c r="P888" t="s">
        <v>937</v>
      </c>
      <c r="Q888" t="s">
        <v>2392</v>
      </c>
      <c r="R888">
        <v>16.78</v>
      </c>
      <c r="S888" s="5">
        <v>45056</v>
      </c>
      <c r="T888" s="5">
        <v>45066</v>
      </c>
      <c r="U888" t="s">
        <v>2925</v>
      </c>
    </row>
    <row r="889" spans="1:21" x14ac:dyDescent="0.25">
      <c r="A889" s="5">
        <v>45217</v>
      </c>
      <c r="B889" s="7">
        <f>Table1[[#This Row],[TotalPrice]] * (1 - Table1[[#This Row],[Discount]])</f>
        <v>2196.0477000000001</v>
      </c>
      <c r="C889" s="7">
        <f>Table1[[#This Row],[Net Sales]] * 0.2</f>
        <v>439.20954000000006</v>
      </c>
      <c r="D889" t="s">
        <v>20</v>
      </c>
      <c r="E889" t="s">
        <v>28</v>
      </c>
      <c r="F889">
        <v>7</v>
      </c>
      <c r="G889">
        <v>387.31</v>
      </c>
      <c r="H889" t="s">
        <v>32</v>
      </c>
      <c r="I889" t="s">
        <v>36</v>
      </c>
      <c r="J889" s="3">
        <v>0.1</v>
      </c>
      <c r="K889" t="s">
        <v>42</v>
      </c>
      <c r="L889">
        <v>2440.0529999999999</v>
      </c>
      <c r="M889" t="s">
        <v>47</v>
      </c>
      <c r="N889" t="s">
        <v>50</v>
      </c>
      <c r="O889">
        <v>0</v>
      </c>
      <c r="P889" t="s">
        <v>938</v>
      </c>
      <c r="Q889" t="s">
        <v>2393</v>
      </c>
      <c r="R889">
        <v>14.76</v>
      </c>
      <c r="S889" s="5">
        <v>45217</v>
      </c>
      <c r="T889" s="5">
        <v>45220</v>
      </c>
      <c r="U889" t="s">
        <v>2923</v>
      </c>
    </row>
    <row r="890" spans="1:21" x14ac:dyDescent="0.25">
      <c r="A890" s="5">
        <v>45629</v>
      </c>
      <c r="B890" s="7">
        <f>Table1[[#This Row],[TotalPrice]] * (1 - Table1[[#This Row],[Discount]])</f>
        <v>152.75</v>
      </c>
      <c r="C890" s="7">
        <f>Table1[[#This Row],[Net Sales]] * 0.2</f>
        <v>30.55</v>
      </c>
      <c r="D890" t="s">
        <v>20</v>
      </c>
      <c r="E890" t="s">
        <v>25</v>
      </c>
      <c r="F890">
        <v>1</v>
      </c>
      <c r="G890">
        <v>152.75</v>
      </c>
      <c r="H890" t="s">
        <v>32</v>
      </c>
      <c r="I890" t="s">
        <v>35</v>
      </c>
      <c r="J890" s="3">
        <v>0</v>
      </c>
      <c r="K890" t="s">
        <v>42</v>
      </c>
      <c r="L890">
        <v>152.75</v>
      </c>
      <c r="M890" t="s">
        <v>45</v>
      </c>
      <c r="N890" t="s">
        <v>48</v>
      </c>
      <c r="O890">
        <v>1</v>
      </c>
      <c r="P890" t="s">
        <v>939</v>
      </c>
      <c r="Q890" t="s">
        <v>2394</v>
      </c>
      <c r="R890">
        <v>9.61</v>
      </c>
      <c r="S890" s="5">
        <v>45629</v>
      </c>
      <c r="T890" s="5">
        <v>45632</v>
      </c>
      <c r="U890" t="s">
        <v>2923</v>
      </c>
    </row>
    <row r="891" spans="1:21" x14ac:dyDescent="0.25">
      <c r="A891" s="5">
        <v>45575</v>
      </c>
      <c r="B891" s="7">
        <f>Table1[[#This Row],[TotalPrice]] * (1 - Table1[[#This Row],[Discount]])</f>
        <v>469.67040000000003</v>
      </c>
      <c r="C891" s="7">
        <f>Table1[[#This Row],[Net Sales]] * 0.2</f>
        <v>93.934080000000009</v>
      </c>
      <c r="D891" t="s">
        <v>20</v>
      </c>
      <c r="E891" t="s">
        <v>27</v>
      </c>
      <c r="F891">
        <v>8</v>
      </c>
      <c r="G891">
        <v>72.48</v>
      </c>
      <c r="H891" t="s">
        <v>32</v>
      </c>
      <c r="I891" t="s">
        <v>35</v>
      </c>
      <c r="J891" s="3">
        <v>0.1</v>
      </c>
      <c r="K891" t="s">
        <v>40</v>
      </c>
      <c r="L891">
        <v>521.85599999999999</v>
      </c>
      <c r="M891" t="s">
        <v>46</v>
      </c>
      <c r="O891">
        <v>1</v>
      </c>
      <c r="P891" t="s">
        <v>940</v>
      </c>
      <c r="Q891" t="s">
        <v>2395</v>
      </c>
      <c r="R891">
        <v>26.92</v>
      </c>
      <c r="S891" s="5">
        <v>45575</v>
      </c>
      <c r="T891" s="5">
        <v>45582</v>
      </c>
      <c r="U891" t="s">
        <v>2923</v>
      </c>
    </row>
    <row r="892" spans="1:21" x14ac:dyDescent="0.25">
      <c r="A892" s="5">
        <v>45446</v>
      </c>
      <c r="B892" s="7">
        <f>Table1[[#This Row],[TotalPrice]] * (1 - Table1[[#This Row],[Discount]])</f>
        <v>628.85160000000008</v>
      </c>
      <c r="C892" s="7">
        <f>Table1[[#This Row],[Net Sales]] * 0.2</f>
        <v>125.77032000000003</v>
      </c>
      <c r="D892" t="s">
        <v>19</v>
      </c>
      <c r="E892" t="s">
        <v>25</v>
      </c>
      <c r="F892">
        <v>4</v>
      </c>
      <c r="G892">
        <v>194.09</v>
      </c>
      <c r="H892" t="s">
        <v>34</v>
      </c>
      <c r="I892" t="s">
        <v>35</v>
      </c>
      <c r="J892" s="3">
        <v>0.1</v>
      </c>
      <c r="K892" t="s">
        <v>37</v>
      </c>
      <c r="L892">
        <v>698.72400000000005</v>
      </c>
      <c r="M892" t="s">
        <v>45</v>
      </c>
      <c r="N892" t="s">
        <v>50</v>
      </c>
      <c r="O892">
        <v>0</v>
      </c>
      <c r="P892" t="s">
        <v>941</v>
      </c>
      <c r="Q892" t="s">
        <v>2396</v>
      </c>
      <c r="R892">
        <v>26.35</v>
      </c>
      <c r="S892" s="5">
        <v>45446</v>
      </c>
      <c r="T892" s="5">
        <v>45450</v>
      </c>
      <c r="U892" t="s">
        <v>2922</v>
      </c>
    </row>
    <row r="893" spans="1:21" x14ac:dyDescent="0.25">
      <c r="A893" s="5">
        <v>45742</v>
      </c>
      <c r="B893" s="7">
        <f>Table1[[#This Row],[TotalPrice]] * (1 - Table1[[#This Row],[Discount]])</f>
        <v>431.30474999999996</v>
      </c>
      <c r="C893" s="7">
        <f>Table1[[#This Row],[Net Sales]] * 0.2</f>
        <v>86.260949999999994</v>
      </c>
      <c r="D893" t="s">
        <v>20</v>
      </c>
      <c r="E893" t="s">
        <v>25</v>
      </c>
      <c r="F893">
        <v>3</v>
      </c>
      <c r="G893">
        <v>159.30000000000001</v>
      </c>
      <c r="H893" t="s">
        <v>31</v>
      </c>
      <c r="I893" t="s">
        <v>35</v>
      </c>
      <c r="J893" s="3">
        <v>0.05</v>
      </c>
      <c r="K893" t="s">
        <v>37</v>
      </c>
      <c r="L893">
        <v>454.005</v>
      </c>
      <c r="M893" t="s">
        <v>45</v>
      </c>
      <c r="N893" t="s">
        <v>49</v>
      </c>
      <c r="O893">
        <v>1</v>
      </c>
      <c r="P893" t="s">
        <v>942</v>
      </c>
      <c r="Q893" t="s">
        <v>2397</v>
      </c>
      <c r="R893">
        <v>45.34</v>
      </c>
      <c r="S893" s="5">
        <v>45742</v>
      </c>
      <c r="T893" s="5">
        <v>45745</v>
      </c>
      <c r="U893" t="s">
        <v>2923</v>
      </c>
    </row>
    <row r="894" spans="1:21" x14ac:dyDescent="0.25">
      <c r="A894" s="5">
        <v>45408</v>
      </c>
      <c r="B894" s="7">
        <f>Table1[[#This Row],[TotalPrice]] * (1 - Table1[[#This Row],[Discount]])</f>
        <v>982.91880000000003</v>
      </c>
      <c r="C894" s="7">
        <f>Table1[[#This Row],[Net Sales]] * 0.2</f>
        <v>196.58376000000001</v>
      </c>
      <c r="D894" t="s">
        <v>21</v>
      </c>
      <c r="E894" t="s">
        <v>28</v>
      </c>
      <c r="F894">
        <v>4</v>
      </c>
      <c r="G894">
        <v>303.37</v>
      </c>
      <c r="H894" t="s">
        <v>32</v>
      </c>
      <c r="I894" t="s">
        <v>36</v>
      </c>
      <c r="J894" s="3">
        <v>0.1</v>
      </c>
      <c r="K894" t="s">
        <v>40</v>
      </c>
      <c r="L894">
        <v>1092.1320000000001</v>
      </c>
      <c r="M894" t="s">
        <v>44</v>
      </c>
      <c r="N894" t="s">
        <v>50</v>
      </c>
      <c r="O894">
        <v>0</v>
      </c>
      <c r="P894" t="s">
        <v>943</v>
      </c>
      <c r="Q894" t="s">
        <v>2398</v>
      </c>
      <c r="R894">
        <v>30.19</v>
      </c>
      <c r="S894" s="5">
        <v>45408</v>
      </c>
      <c r="T894" s="5">
        <v>45413</v>
      </c>
      <c r="U894" t="s">
        <v>2924</v>
      </c>
    </row>
    <row r="895" spans="1:21" x14ac:dyDescent="0.25">
      <c r="A895" s="5">
        <v>45051</v>
      </c>
      <c r="B895" s="7">
        <f>Table1[[#This Row],[TotalPrice]] * (1 - Table1[[#This Row],[Discount]])</f>
        <v>7023.8016000000007</v>
      </c>
      <c r="C895" s="7">
        <f>Table1[[#This Row],[Net Sales]] * 0.2</f>
        <v>1404.7603200000003</v>
      </c>
      <c r="D895" t="s">
        <v>23</v>
      </c>
      <c r="E895" t="s">
        <v>27</v>
      </c>
      <c r="F895">
        <v>16</v>
      </c>
      <c r="G895">
        <v>541.96</v>
      </c>
      <c r="H895" t="s">
        <v>33</v>
      </c>
      <c r="I895" t="s">
        <v>36</v>
      </c>
      <c r="J895" s="3">
        <v>0.1</v>
      </c>
      <c r="K895" t="s">
        <v>37</v>
      </c>
      <c r="L895">
        <v>7804.2240000000011</v>
      </c>
      <c r="M895" t="s">
        <v>47</v>
      </c>
      <c r="N895" t="s">
        <v>49</v>
      </c>
      <c r="O895">
        <v>1</v>
      </c>
      <c r="P895" t="s">
        <v>944</v>
      </c>
      <c r="Q895" t="s">
        <v>2399</v>
      </c>
      <c r="R895">
        <v>9.93</v>
      </c>
      <c r="S895" s="5">
        <v>45051</v>
      </c>
      <c r="T895" s="5">
        <v>45059</v>
      </c>
      <c r="U895" t="s">
        <v>2926</v>
      </c>
    </row>
    <row r="896" spans="1:21" x14ac:dyDescent="0.25">
      <c r="A896" s="5">
        <v>45192</v>
      </c>
      <c r="B896" s="7">
        <f>Table1[[#This Row],[TotalPrice]] * (1 - Table1[[#This Row],[Discount]])</f>
        <v>290.99</v>
      </c>
      <c r="C896" s="7">
        <f>Table1[[#This Row],[Net Sales]] * 0.2</f>
        <v>58.198000000000008</v>
      </c>
      <c r="D896" t="s">
        <v>23</v>
      </c>
      <c r="E896" t="s">
        <v>26</v>
      </c>
      <c r="F896">
        <v>7</v>
      </c>
      <c r="G896">
        <v>41.57</v>
      </c>
      <c r="H896" t="s">
        <v>34</v>
      </c>
      <c r="I896" t="s">
        <v>36</v>
      </c>
      <c r="J896" s="3">
        <v>0</v>
      </c>
      <c r="K896" t="s">
        <v>40</v>
      </c>
      <c r="L896">
        <v>290.99</v>
      </c>
      <c r="M896" t="s">
        <v>43</v>
      </c>
      <c r="O896">
        <v>0</v>
      </c>
      <c r="P896" t="s">
        <v>945</v>
      </c>
      <c r="Q896" t="s">
        <v>2400</v>
      </c>
      <c r="R896">
        <v>16.59</v>
      </c>
      <c r="S896" s="5">
        <v>45192</v>
      </c>
      <c r="T896" s="5">
        <v>45198</v>
      </c>
      <c r="U896" t="s">
        <v>2926</v>
      </c>
    </row>
    <row r="897" spans="1:21" x14ac:dyDescent="0.25">
      <c r="A897" s="5">
        <v>45724</v>
      </c>
      <c r="B897" s="7">
        <f>Table1[[#This Row],[TotalPrice]] * (1 - Table1[[#This Row],[Discount]])</f>
        <v>2517.0744</v>
      </c>
      <c r="C897" s="7">
        <f>Table1[[#This Row],[Net Sales]] * 0.2</f>
        <v>503.41488000000004</v>
      </c>
      <c r="D897" t="s">
        <v>20</v>
      </c>
      <c r="E897" t="s">
        <v>28</v>
      </c>
      <c r="F897">
        <v>16</v>
      </c>
      <c r="G897">
        <v>217.74</v>
      </c>
      <c r="H897" t="s">
        <v>32</v>
      </c>
      <c r="I897" t="s">
        <v>35</v>
      </c>
      <c r="J897" s="3">
        <v>0.15</v>
      </c>
      <c r="K897" t="s">
        <v>39</v>
      </c>
      <c r="L897">
        <v>2961.2640000000001</v>
      </c>
      <c r="M897" t="s">
        <v>47</v>
      </c>
      <c r="N897" t="s">
        <v>48</v>
      </c>
      <c r="O897">
        <v>1</v>
      </c>
      <c r="P897" t="s">
        <v>946</v>
      </c>
      <c r="Q897" t="s">
        <v>2401</v>
      </c>
      <c r="R897">
        <v>25.11</v>
      </c>
      <c r="S897" s="5">
        <v>45724</v>
      </c>
      <c r="T897" s="5">
        <v>45731</v>
      </c>
      <c r="U897" t="s">
        <v>2923</v>
      </c>
    </row>
    <row r="898" spans="1:21" x14ac:dyDescent="0.25">
      <c r="A898" s="5">
        <v>44943</v>
      </c>
      <c r="B898" s="7">
        <f>Table1[[#This Row],[TotalPrice]] * (1 - Table1[[#This Row],[Discount]])</f>
        <v>287.55</v>
      </c>
      <c r="C898" s="7">
        <f>Table1[[#This Row],[Net Sales]] * 0.2</f>
        <v>57.510000000000005</v>
      </c>
      <c r="D898" t="s">
        <v>21</v>
      </c>
      <c r="E898" t="s">
        <v>30</v>
      </c>
      <c r="F898">
        <v>15</v>
      </c>
      <c r="G898">
        <v>19.170000000000002</v>
      </c>
      <c r="H898" t="s">
        <v>32</v>
      </c>
      <c r="I898" t="s">
        <v>35</v>
      </c>
      <c r="J898" s="3">
        <v>0</v>
      </c>
      <c r="K898" t="s">
        <v>40</v>
      </c>
      <c r="L898">
        <v>287.55</v>
      </c>
      <c r="M898" t="s">
        <v>44</v>
      </c>
      <c r="N898" t="s">
        <v>48</v>
      </c>
      <c r="O898">
        <v>1</v>
      </c>
      <c r="P898" t="s">
        <v>947</v>
      </c>
      <c r="Q898" t="s">
        <v>2402</v>
      </c>
      <c r="R898">
        <v>48.93</v>
      </c>
      <c r="S898" s="5">
        <v>44943</v>
      </c>
      <c r="T898" s="5">
        <v>44953</v>
      </c>
      <c r="U898" t="s">
        <v>2924</v>
      </c>
    </row>
    <row r="899" spans="1:21" x14ac:dyDescent="0.25">
      <c r="A899" s="5">
        <v>45045</v>
      </c>
      <c r="B899" s="7">
        <f>Table1[[#This Row],[TotalPrice]] * (1 - Table1[[#This Row],[Discount]])</f>
        <v>3564.0810000000001</v>
      </c>
      <c r="C899" s="7">
        <f>Table1[[#This Row],[Net Sales]] * 0.2</f>
        <v>712.81620000000009</v>
      </c>
      <c r="D899" t="s">
        <v>22</v>
      </c>
      <c r="E899" t="s">
        <v>28</v>
      </c>
      <c r="F899">
        <v>15</v>
      </c>
      <c r="G899">
        <v>293.33999999999997</v>
      </c>
      <c r="H899" t="s">
        <v>34</v>
      </c>
      <c r="I899" t="s">
        <v>36</v>
      </c>
      <c r="J899" s="3">
        <v>0.1</v>
      </c>
      <c r="K899" t="s">
        <v>37</v>
      </c>
      <c r="L899">
        <v>3960.09</v>
      </c>
      <c r="M899" t="s">
        <v>45</v>
      </c>
      <c r="N899" t="s">
        <v>50</v>
      </c>
      <c r="O899">
        <v>0</v>
      </c>
      <c r="P899" t="s">
        <v>948</v>
      </c>
      <c r="Q899" t="s">
        <v>2403</v>
      </c>
      <c r="R899">
        <v>21.03</v>
      </c>
      <c r="S899" s="5">
        <v>45045</v>
      </c>
      <c r="T899" s="5">
        <v>45047</v>
      </c>
      <c r="U899" t="s">
        <v>2925</v>
      </c>
    </row>
    <row r="900" spans="1:21" x14ac:dyDescent="0.25">
      <c r="A900" s="5">
        <v>45704</v>
      </c>
      <c r="B900" s="7">
        <f>Table1[[#This Row],[TotalPrice]] * (1 - Table1[[#This Row],[Discount]])</f>
        <v>2982.7764000000002</v>
      </c>
      <c r="C900" s="7">
        <f>Table1[[#This Row],[Net Sales]] * 0.2</f>
        <v>596.55528000000004</v>
      </c>
      <c r="D900" t="s">
        <v>20</v>
      </c>
      <c r="E900" t="s">
        <v>30</v>
      </c>
      <c r="F900">
        <v>18</v>
      </c>
      <c r="G900">
        <v>204.58</v>
      </c>
      <c r="H900" t="s">
        <v>33</v>
      </c>
      <c r="I900" t="s">
        <v>36</v>
      </c>
      <c r="J900" s="3">
        <v>0.1</v>
      </c>
      <c r="K900" t="s">
        <v>41</v>
      </c>
      <c r="L900">
        <v>3314.1959999999999</v>
      </c>
      <c r="M900" t="s">
        <v>47</v>
      </c>
      <c r="O900">
        <v>0</v>
      </c>
      <c r="P900" t="s">
        <v>949</v>
      </c>
      <c r="Q900" t="s">
        <v>2404</v>
      </c>
      <c r="R900">
        <v>16.04</v>
      </c>
      <c r="S900" s="5">
        <v>45704</v>
      </c>
      <c r="T900" s="5">
        <v>45710</v>
      </c>
      <c r="U900" t="s">
        <v>2923</v>
      </c>
    </row>
    <row r="901" spans="1:21" x14ac:dyDescent="0.25">
      <c r="A901" s="5">
        <v>45082</v>
      </c>
      <c r="B901" s="7">
        <f>Table1[[#This Row],[TotalPrice]] * (1 - Table1[[#This Row],[Discount]])</f>
        <v>3517.6357500000004</v>
      </c>
      <c r="C901" s="7">
        <f>Table1[[#This Row],[Net Sales]] * 0.2</f>
        <v>703.52715000000012</v>
      </c>
      <c r="D901" t="s">
        <v>19</v>
      </c>
      <c r="E901" t="s">
        <v>30</v>
      </c>
      <c r="F901">
        <v>15</v>
      </c>
      <c r="G901">
        <v>324.58</v>
      </c>
      <c r="H901" t="s">
        <v>32</v>
      </c>
      <c r="I901" t="s">
        <v>36</v>
      </c>
      <c r="J901" s="3">
        <v>0.15</v>
      </c>
      <c r="K901" t="s">
        <v>41</v>
      </c>
      <c r="L901">
        <v>4138.3950000000004</v>
      </c>
      <c r="M901" t="s">
        <v>46</v>
      </c>
      <c r="O901">
        <v>0</v>
      </c>
      <c r="P901" t="s">
        <v>950</v>
      </c>
      <c r="Q901" t="s">
        <v>2405</v>
      </c>
      <c r="R901">
        <v>24.57</v>
      </c>
      <c r="S901" s="5">
        <v>45082</v>
      </c>
      <c r="T901" s="5">
        <v>45086</v>
      </c>
      <c r="U901" t="s">
        <v>2922</v>
      </c>
    </row>
    <row r="902" spans="1:21" x14ac:dyDescent="0.25">
      <c r="A902" s="5">
        <v>45166</v>
      </c>
      <c r="B902" s="7">
        <f>Table1[[#This Row],[TotalPrice]] * (1 - Table1[[#This Row],[Discount]])</f>
        <v>3907.563275</v>
      </c>
      <c r="C902" s="7">
        <f>Table1[[#This Row],[Net Sales]] * 0.2</f>
        <v>781.512655</v>
      </c>
      <c r="D902" t="s">
        <v>20</v>
      </c>
      <c r="E902" t="s">
        <v>25</v>
      </c>
      <c r="F902">
        <v>11</v>
      </c>
      <c r="G902">
        <v>393.61</v>
      </c>
      <c r="H902" t="s">
        <v>34</v>
      </c>
      <c r="I902" t="s">
        <v>35</v>
      </c>
      <c r="J902" s="3">
        <v>0.05</v>
      </c>
      <c r="K902" t="s">
        <v>39</v>
      </c>
      <c r="L902">
        <v>4113.2245000000003</v>
      </c>
      <c r="M902" t="s">
        <v>46</v>
      </c>
      <c r="N902" t="s">
        <v>50</v>
      </c>
      <c r="O902">
        <v>0</v>
      </c>
      <c r="P902" t="s">
        <v>951</v>
      </c>
      <c r="Q902" t="s">
        <v>2406</v>
      </c>
      <c r="R902">
        <v>32.57</v>
      </c>
      <c r="S902" s="5">
        <v>45166</v>
      </c>
      <c r="T902" s="5">
        <v>45175</v>
      </c>
      <c r="U902" t="s">
        <v>2923</v>
      </c>
    </row>
    <row r="903" spans="1:21" x14ac:dyDescent="0.25">
      <c r="A903" s="5">
        <v>45139</v>
      </c>
      <c r="B903" s="7">
        <f>Table1[[#This Row],[TotalPrice]] * (1 - Table1[[#This Row],[Discount]])</f>
        <v>1020.0416</v>
      </c>
      <c r="C903" s="7">
        <f>Table1[[#This Row],[Net Sales]] * 0.2</f>
        <v>204.00832000000003</v>
      </c>
      <c r="D903" t="s">
        <v>21</v>
      </c>
      <c r="E903" t="s">
        <v>30</v>
      </c>
      <c r="F903">
        <v>8</v>
      </c>
      <c r="G903">
        <v>141.28</v>
      </c>
      <c r="H903" t="s">
        <v>34</v>
      </c>
      <c r="I903" t="s">
        <v>35</v>
      </c>
      <c r="J903" s="3">
        <v>0.05</v>
      </c>
      <c r="K903" t="s">
        <v>39</v>
      </c>
      <c r="L903">
        <v>1073.7280000000001</v>
      </c>
      <c r="M903" t="s">
        <v>43</v>
      </c>
      <c r="N903" t="s">
        <v>48</v>
      </c>
      <c r="O903">
        <v>0</v>
      </c>
      <c r="P903" t="s">
        <v>952</v>
      </c>
      <c r="Q903" t="s">
        <v>2253</v>
      </c>
      <c r="R903">
        <v>28.69</v>
      </c>
      <c r="S903" s="5">
        <v>45139</v>
      </c>
      <c r="T903" s="5">
        <v>45148</v>
      </c>
      <c r="U903" t="s">
        <v>2924</v>
      </c>
    </row>
    <row r="904" spans="1:21" x14ac:dyDescent="0.25">
      <c r="A904" s="5">
        <v>45700</v>
      </c>
      <c r="B904" s="7">
        <f>Table1[[#This Row],[TotalPrice]] * (1 - Table1[[#This Row],[Discount]])</f>
        <v>2138.1086999999998</v>
      </c>
      <c r="C904" s="7">
        <f>Table1[[#This Row],[Net Sales]] * 0.2</f>
        <v>427.62173999999999</v>
      </c>
      <c r="D904" t="s">
        <v>23</v>
      </c>
      <c r="E904" t="s">
        <v>25</v>
      </c>
      <c r="F904">
        <v>13</v>
      </c>
      <c r="G904">
        <v>227.64</v>
      </c>
      <c r="H904" t="s">
        <v>33</v>
      </c>
      <c r="I904" t="s">
        <v>36</v>
      </c>
      <c r="J904" s="3">
        <v>0.15</v>
      </c>
      <c r="K904" t="s">
        <v>39</v>
      </c>
      <c r="L904">
        <v>2515.422</v>
      </c>
      <c r="M904" t="s">
        <v>47</v>
      </c>
      <c r="N904" t="s">
        <v>48</v>
      </c>
      <c r="O904">
        <v>1</v>
      </c>
      <c r="P904" t="s">
        <v>953</v>
      </c>
      <c r="Q904" t="s">
        <v>2407</v>
      </c>
      <c r="R904">
        <v>46.67</v>
      </c>
      <c r="S904" s="5">
        <v>45700</v>
      </c>
      <c r="T904" s="5">
        <v>45708</v>
      </c>
      <c r="U904" t="s">
        <v>2926</v>
      </c>
    </row>
    <row r="905" spans="1:21" x14ac:dyDescent="0.25">
      <c r="A905" s="5">
        <v>45110</v>
      </c>
      <c r="B905" s="7">
        <f>Table1[[#This Row],[TotalPrice]] * (1 - Table1[[#This Row],[Discount]])</f>
        <v>5249.0672999999997</v>
      </c>
      <c r="C905" s="7">
        <f>Table1[[#This Row],[Net Sales]] * 0.2</f>
        <v>1049.8134600000001</v>
      </c>
      <c r="D905" t="s">
        <v>22</v>
      </c>
      <c r="E905" t="s">
        <v>24</v>
      </c>
      <c r="F905">
        <v>19</v>
      </c>
      <c r="G905">
        <v>341.07</v>
      </c>
      <c r="H905" t="s">
        <v>33</v>
      </c>
      <c r="I905" t="s">
        <v>36</v>
      </c>
      <c r="J905" s="3">
        <v>0.1</v>
      </c>
      <c r="K905" t="s">
        <v>40</v>
      </c>
      <c r="L905">
        <v>5832.2969999999996</v>
      </c>
      <c r="M905" t="s">
        <v>47</v>
      </c>
      <c r="N905" t="s">
        <v>50</v>
      </c>
      <c r="O905">
        <v>0</v>
      </c>
      <c r="P905" t="s">
        <v>954</v>
      </c>
      <c r="Q905" t="s">
        <v>2408</v>
      </c>
      <c r="R905">
        <v>47.75</v>
      </c>
      <c r="S905" s="5">
        <v>45110</v>
      </c>
      <c r="T905" s="5">
        <v>45113</v>
      </c>
      <c r="U905" t="s">
        <v>2925</v>
      </c>
    </row>
    <row r="906" spans="1:21" x14ac:dyDescent="0.25">
      <c r="A906" s="5">
        <v>45786</v>
      </c>
      <c r="B906" s="7">
        <f>Table1[[#This Row],[TotalPrice]] * (1 - Table1[[#This Row],[Discount]])</f>
        <v>5858.1274999999996</v>
      </c>
      <c r="C906" s="7">
        <f>Table1[[#This Row],[Net Sales]] * 0.2</f>
        <v>1171.6254999999999</v>
      </c>
      <c r="D906" t="s">
        <v>22</v>
      </c>
      <c r="E906" t="s">
        <v>25</v>
      </c>
      <c r="F906">
        <v>20</v>
      </c>
      <c r="G906">
        <v>324.55</v>
      </c>
      <c r="H906" t="s">
        <v>31</v>
      </c>
      <c r="I906" t="s">
        <v>35</v>
      </c>
      <c r="J906" s="3">
        <v>0.05</v>
      </c>
      <c r="K906" t="s">
        <v>37</v>
      </c>
      <c r="L906">
        <v>6166.45</v>
      </c>
      <c r="M906" t="s">
        <v>45</v>
      </c>
      <c r="N906" t="s">
        <v>50</v>
      </c>
      <c r="O906">
        <v>1</v>
      </c>
      <c r="P906" t="s">
        <v>955</v>
      </c>
      <c r="Q906" t="s">
        <v>2409</v>
      </c>
      <c r="R906">
        <v>21.21</v>
      </c>
      <c r="S906" s="5">
        <v>45786</v>
      </c>
      <c r="T906" s="5">
        <v>45790</v>
      </c>
      <c r="U906" t="s">
        <v>2925</v>
      </c>
    </row>
    <row r="907" spans="1:21" x14ac:dyDescent="0.25">
      <c r="A907" s="5">
        <v>45417</v>
      </c>
      <c r="B907" s="7">
        <f>Table1[[#This Row],[TotalPrice]] * (1 - Table1[[#This Row],[Discount]])</f>
        <v>3901.8672000000006</v>
      </c>
      <c r="C907" s="7">
        <f>Table1[[#This Row],[Net Sales]] * 0.2</f>
        <v>780.37344000000019</v>
      </c>
      <c r="D907" t="s">
        <v>23</v>
      </c>
      <c r="E907" t="s">
        <v>26</v>
      </c>
      <c r="F907">
        <v>16</v>
      </c>
      <c r="G907">
        <v>301.07</v>
      </c>
      <c r="H907" t="s">
        <v>31</v>
      </c>
      <c r="I907" t="s">
        <v>36</v>
      </c>
      <c r="J907" s="3">
        <v>0.1</v>
      </c>
      <c r="K907" t="s">
        <v>40</v>
      </c>
      <c r="L907">
        <v>4335.4080000000004</v>
      </c>
      <c r="M907" t="s">
        <v>44</v>
      </c>
      <c r="N907" t="s">
        <v>50</v>
      </c>
      <c r="O907">
        <v>0</v>
      </c>
      <c r="P907" t="s">
        <v>956</v>
      </c>
      <c r="Q907" t="s">
        <v>2410</v>
      </c>
      <c r="R907">
        <v>5.58</v>
      </c>
      <c r="S907" s="5">
        <v>45417</v>
      </c>
      <c r="T907" s="5">
        <v>45426</v>
      </c>
      <c r="U907" t="s">
        <v>2926</v>
      </c>
    </row>
    <row r="908" spans="1:21" x14ac:dyDescent="0.25">
      <c r="A908" s="5">
        <v>45299</v>
      </c>
      <c r="B908" s="7">
        <f>Table1[[#This Row],[TotalPrice]] * (1 - Table1[[#This Row],[Discount]])</f>
        <v>3708.639999999999</v>
      </c>
      <c r="C908" s="7">
        <f>Table1[[#This Row],[Net Sales]] * 0.2</f>
        <v>741.72799999999984</v>
      </c>
      <c r="D908" t="s">
        <v>20</v>
      </c>
      <c r="E908" t="s">
        <v>28</v>
      </c>
      <c r="F908">
        <v>13</v>
      </c>
      <c r="G908">
        <v>285.27999999999997</v>
      </c>
      <c r="H908" t="s">
        <v>34</v>
      </c>
      <c r="I908" t="s">
        <v>36</v>
      </c>
      <c r="J908" s="3">
        <v>0</v>
      </c>
      <c r="K908" t="s">
        <v>37</v>
      </c>
      <c r="L908">
        <v>3708.639999999999</v>
      </c>
      <c r="M908" t="s">
        <v>44</v>
      </c>
      <c r="N908" t="s">
        <v>49</v>
      </c>
      <c r="O908">
        <v>0</v>
      </c>
      <c r="P908" t="s">
        <v>957</v>
      </c>
      <c r="Q908" t="s">
        <v>2411</v>
      </c>
      <c r="R908">
        <v>31.2</v>
      </c>
      <c r="S908" s="5">
        <v>45299</v>
      </c>
      <c r="T908" s="5">
        <v>45306</v>
      </c>
      <c r="U908" t="s">
        <v>2923</v>
      </c>
    </row>
    <row r="909" spans="1:21" x14ac:dyDescent="0.25">
      <c r="A909" s="5">
        <v>45670</v>
      </c>
      <c r="B909" s="7">
        <f>Table1[[#This Row],[TotalPrice]] * (1 - Table1[[#This Row],[Discount]])</f>
        <v>270.60000000000002</v>
      </c>
      <c r="C909" s="7">
        <f>Table1[[#This Row],[Net Sales]] * 0.2</f>
        <v>54.120000000000005</v>
      </c>
      <c r="D909" t="s">
        <v>20</v>
      </c>
      <c r="E909" t="s">
        <v>25</v>
      </c>
      <c r="F909">
        <v>15</v>
      </c>
      <c r="G909">
        <v>18.04</v>
      </c>
      <c r="H909" t="s">
        <v>33</v>
      </c>
      <c r="I909" t="s">
        <v>35</v>
      </c>
      <c r="J909" s="3">
        <v>0</v>
      </c>
      <c r="K909" t="s">
        <v>37</v>
      </c>
      <c r="L909">
        <v>270.60000000000002</v>
      </c>
      <c r="M909" t="s">
        <v>45</v>
      </c>
      <c r="N909" t="s">
        <v>49</v>
      </c>
      <c r="O909">
        <v>1</v>
      </c>
      <c r="P909" t="s">
        <v>958</v>
      </c>
      <c r="Q909" t="s">
        <v>2412</v>
      </c>
      <c r="R909">
        <v>14.35</v>
      </c>
      <c r="S909" s="5">
        <v>45670</v>
      </c>
      <c r="T909" s="5">
        <v>45674</v>
      </c>
      <c r="U909" t="s">
        <v>2923</v>
      </c>
    </row>
    <row r="910" spans="1:21" x14ac:dyDescent="0.25">
      <c r="A910" s="5">
        <v>45820</v>
      </c>
      <c r="B910" s="7">
        <f>Table1[[#This Row],[TotalPrice]] * (1 - Table1[[#This Row],[Discount]])</f>
        <v>5449.84</v>
      </c>
      <c r="C910" s="7">
        <f>Table1[[#This Row],[Net Sales]] * 0.2</f>
        <v>1089.9680000000001</v>
      </c>
      <c r="D910" t="s">
        <v>19</v>
      </c>
      <c r="E910" t="s">
        <v>30</v>
      </c>
      <c r="F910">
        <v>11</v>
      </c>
      <c r="G910">
        <v>495.44</v>
      </c>
      <c r="H910" t="s">
        <v>32</v>
      </c>
      <c r="I910" t="s">
        <v>35</v>
      </c>
      <c r="J910" s="3">
        <v>0</v>
      </c>
      <c r="K910" t="s">
        <v>42</v>
      </c>
      <c r="L910">
        <v>5449.84</v>
      </c>
      <c r="M910" t="s">
        <v>44</v>
      </c>
      <c r="N910" t="s">
        <v>48</v>
      </c>
      <c r="O910">
        <v>0</v>
      </c>
      <c r="P910" t="s">
        <v>959</v>
      </c>
      <c r="Q910" t="s">
        <v>2413</v>
      </c>
      <c r="R910">
        <v>44.77</v>
      </c>
      <c r="S910" s="5">
        <v>45820</v>
      </c>
      <c r="T910" s="5">
        <v>45826</v>
      </c>
      <c r="U910" t="s">
        <v>2922</v>
      </c>
    </row>
    <row r="911" spans="1:21" x14ac:dyDescent="0.25">
      <c r="A911" s="5">
        <v>45750</v>
      </c>
      <c r="B911" s="7">
        <f>Table1[[#This Row],[TotalPrice]] * (1 - Table1[[#This Row],[Discount]])</f>
        <v>2396.5614</v>
      </c>
      <c r="C911" s="7">
        <f>Table1[[#This Row],[Net Sales]] * 0.2</f>
        <v>479.31228000000004</v>
      </c>
      <c r="D911" t="s">
        <v>21</v>
      </c>
      <c r="E911" t="s">
        <v>24</v>
      </c>
      <c r="F911">
        <v>12</v>
      </c>
      <c r="G911">
        <v>276.42</v>
      </c>
      <c r="H911" t="s">
        <v>33</v>
      </c>
      <c r="I911" t="s">
        <v>36</v>
      </c>
      <c r="J911" s="3">
        <v>0.15</v>
      </c>
      <c r="K911" t="s">
        <v>40</v>
      </c>
      <c r="L911">
        <v>2819.4839999999999</v>
      </c>
      <c r="M911" t="s">
        <v>43</v>
      </c>
      <c r="O911">
        <v>0</v>
      </c>
      <c r="P911" t="s">
        <v>960</v>
      </c>
      <c r="Q911" t="s">
        <v>2414</v>
      </c>
      <c r="R911">
        <v>30.57</v>
      </c>
      <c r="S911" s="5">
        <v>45750</v>
      </c>
      <c r="T911" s="5">
        <v>45759</v>
      </c>
      <c r="U911" t="s">
        <v>2924</v>
      </c>
    </row>
    <row r="912" spans="1:21" x14ac:dyDescent="0.25">
      <c r="A912" s="5">
        <v>44952</v>
      </c>
      <c r="B912" s="7">
        <f>Table1[[#This Row],[TotalPrice]] * (1 - Table1[[#This Row],[Discount]])</f>
        <v>1154.7284</v>
      </c>
      <c r="C912" s="7">
        <f>Table1[[#This Row],[Net Sales]] * 0.2</f>
        <v>230.94568000000001</v>
      </c>
      <c r="D912" t="s">
        <v>22</v>
      </c>
      <c r="E912" t="s">
        <v>26</v>
      </c>
      <c r="F912">
        <v>7</v>
      </c>
      <c r="G912">
        <v>228.32</v>
      </c>
      <c r="H912" t="s">
        <v>33</v>
      </c>
      <c r="I912" t="s">
        <v>35</v>
      </c>
      <c r="J912" s="3">
        <v>0.15</v>
      </c>
      <c r="K912" t="s">
        <v>37</v>
      </c>
      <c r="L912">
        <v>1358.5039999999999</v>
      </c>
      <c r="M912" t="s">
        <v>46</v>
      </c>
      <c r="N912" t="s">
        <v>48</v>
      </c>
      <c r="O912">
        <v>0</v>
      </c>
      <c r="P912" t="s">
        <v>961</v>
      </c>
      <c r="Q912" t="s">
        <v>2415</v>
      </c>
      <c r="R912">
        <v>22.16</v>
      </c>
      <c r="S912" s="5">
        <v>44952</v>
      </c>
      <c r="T912" s="5">
        <v>44956</v>
      </c>
      <c r="U912" t="s">
        <v>2925</v>
      </c>
    </row>
    <row r="913" spans="1:21" x14ac:dyDescent="0.25">
      <c r="A913" s="5">
        <v>44933</v>
      </c>
      <c r="B913" s="7">
        <f>Table1[[#This Row],[TotalPrice]] * (1 - Table1[[#This Row],[Discount]])</f>
        <v>403.53390000000002</v>
      </c>
      <c r="C913" s="7">
        <f>Table1[[#This Row],[Net Sales]] * 0.2</f>
        <v>80.706780000000009</v>
      </c>
      <c r="D913" t="s">
        <v>22</v>
      </c>
      <c r="E913" t="s">
        <v>28</v>
      </c>
      <c r="F913">
        <v>1</v>
      </c>
      <c r="G913">
        <v>498.19</v>
      </c>
      <c r="H913" t="s">
        <v>32</v>
      </c>
      <c r="I913" t="s">
        <v>35</v>
      </c>
      <c r="J913" s="3">
        <v>0.1</v>
      </c>
      <c r="K913" t="s">
        <v>42</v>
      </c>
      <c r="L913">
        <v>448.37099999999998</v>
      </c>
      <c r="M913" t="s">
        <v>44</v>
      </c>
      <c r="N913" t="s">
        <v>49</v>
      </c>
      <c r="O913">
        <v>0</v>
      </c>
      <c r="P913" t="s">
        <v>962</v>
      </c>
      <c r="Q913" t="s">
        <v>2416</v>
      </c>
      <c r="R913">
        <v>25.55</v>
      </c>
      <c r="S913" s="5">
        <v>44933</v>
      </c>
      <c r="T913" s="5">
        <v>44937</v>
      </c>
      <c r="U913" t="s">
        <v>2925</v>
      </c>
    </row>
    <row r="914" spans="1:21" x14ac:dyDescent="0.25">
      <c r="A914" s="5">
        <v>45672</v>
      </c>
      <c r="B914" s="7">
        <f>Table1[[#This Row],[TotalPrice]] * (1 - Table1[[#This Row],[Discount]])</f>
        <v>5479.6014000000005</v>
      </c>
      <c r="C914" s="7">
        <f>Table1[[#This Row],[Net Sales]] * 0.2</f>
        <v>1095.92028</v>
      </c>
      <c r="D914" t="s">
        <v>21</v>
      </c>
      <c r="E914" t="s">
        <v>26</v>
      </c>
      <c r="F914">
        <v>18</v>
      </c>
      <c r="G914">
        <v>375.83</v>
      </c>
      <c r="H914" t="s">
        <v>33</v>
      </c>
      <c r="I914" t="s">
        <v>36</v>
      </c>
      <c r="J914" s="3">
        <v>0.1</v>
      </c>
      <c r="K914" t="s">
        <v>40</v>
      </c>
      <c r="L914">
        <v>6088.4459999999999</v>
      </c>
      <c r="M914" t="s">
        <v>44</v>
      </c>
      <c r="O914">
        <v>0</v>
      </c>
      <c r="P914" t="s">
        <v>963</v>
      </c>
      <c r="Q914" t="s">
        <v>2417</v>
      </c>
      <c r="R914">
        <v>15.13</v>
      </c>
      <c r="S914" s="5">
        <v>45672</v>
      </c>
      <c r="T914" s="5">
        <v>45680</v>
      </c>
      <c r="U914" t="s">
        <v>2924</v>
      </c>
    </row>
    <row r="915" spans="1:21" x14ac:dyDescent="0.25">
      <c r="A915" s="5">
        <v>45626</v>
      </c>
      <c r="B915" s="7">
        <f>Table1[[#This Row],[TotalPrice]] * (1 - Table1[[#This Row],[Discount]])</f>
        <v>2346.48</v>
      </c>
      <c r="C915" s="7">
        <f>Table1[[#This Row],[Net Sales]] * 0.2</f>
        <v>469.29600000000005</v>
      </c>
      <c r="D915" t="s">
        <v>19</v>
      </c>
      <c r="E915" t="s">
        <v>27</v>
      </c>
      <c r="F915">
        <v>18</v>
      </c>
      <c r="G915">
        <v>130.36000000000001</v>
      </c>
      <c r="H915" t="s">
        <v>31</v>
      </c>
      <c r="I915" t="s">
        <v>35</v>
      </c>
      <c r="J915" s="3">
        <v>0</v>
      </c>
      <c r="K915" t="s">
        <v>41</v>
      </c>
      <c r="L915">
        <v>2346.48</v>
      </c>
      <c r="M915" t="s">
        <v>46</v>
      </c>
      <c r="N915" t="s">
        <v>49</v>
      </c>
      <c r="O915">
        <v>0</v>
      </c>
      <c r="P915" t="s">
        <v>964</v>
      </c>
      <c r="Q915" t="s">
        <v>2418</v>
      </c>
      <c r="R915">
        <v>34.6</v>
      </c>
      <c r="S915" s="5">
        <v>45626</v>
      </c>
      <c r="T915" s="5">
        <v>45631</v>
      </c>
      <c r="U915" t="s">
        <v>2922</v>
      </c>
    </row>
    <row r="916" spans="1:21" x14ac:dyDescent="0.25">
      <c r="A916" s="5">
        <v>45348</v>
      </c>
      <c r="B916" s="7">
        <f>Table1[[#This Row],[TotalPrice]] * (1 - Table1[[#This Row],[Discount]])</f>
        <v>5502.8778999999995</v>
      </c>
      <c r="C916" s="7">
        <f>Table1[[#This Row],[Net Sales]] * 0.2</f>
        <v>1100.5755799999999</v>
      </c>
      <c r="D916" t="s">
        <v>19</v>
      </c>
      <c r="E916" t="s">
        <v>28</v>
      </c>
      <c r="F916">
        <v>13</v>
      </c>
      <c r="G916">
        <v>585.88</v>
      </c>
      <c r="H916" t="s">
        <v>31</v>
      </c>
      <c r="I916" t="s">
        <v>36</v>
      </c>
      <c r="J916" s="3">
        <v>0.15</v>
      </c>
      <c r="K916" t="s">
        <v>40</v>
      </c>
      <c r="L916">
        <v>6473.9739999999993</v>
      </c>
      <c r="M916" t="s">
        <v>45</v>
      </c>
      <c r="N916" t="s">
        <v>50</v>
      </c>
      <c r="O916">
        <v>0</v>
      </c>
      <c r="P916" t="s">
        <v>965</v>
      </c>
      <c r="Q916" t="s">
        <v>2419</v>
      </c>
      <c r="R916">
        <v>42.18</v>
      </c>
      <c r="S916" s="5">
        <v>45348</v>
      </c>
      <c r="T916" s="5">
        <v>45358</v>
      </c>
      <c r="U916" t="s">
        <v>2922</v>
      </c>
    </row>
    <row r="917" spans="1:21" x14ac:dyDescent="0.25">
      <c r="A917" s="5">
        <v>45819</v>
      </c>
      <c r="B917" s="7">
        <f>Table1[[#This Row],[TotalPrice]] * (1 - Table1[[#This Row],[Discount]])</f>
        <v>4767.6909000000005</v>
      </c>
      <c r="C917" s="7">
        <f>Table1[[#This Row],[Net Sales]] * 0.2</f>
        <v>953.53818000000012</v>
      </c>
      <c r="D917" t="s">
        <v>21</v>
      </c>
      <c r="E917" t="s">
        <v>26</v>
      </c>
      <c r="F917">
        <v>19</v>
      </c>
      <c r="G917">
        <v>278.04000000000002</v>
      </c>
      <c r="H917" t="s">
        <v>31</v>
      </c>
      <c r="I917" t="s">
        <v>36</v>
      </c>
      <c r="J917" s="3">
        <v>0.05</v>
      </c>
      <c r="K917" t="s">
        <v>42</v>
      </c>
      <c r="L917">
        <v>5018.6220000000003</v>
      </c>
      <c r="M917" t="s">
        <v>45</v>
      </c>
      <c r="N917" t="s">
        <v>49</v>
      </c>
      <c r="O917">
        <v>0</v>
      </c>
      <c r="P917" t="s">
        <v>966</v>
      </c>
      <c r="Q917" t="s">
        <v>2420</v>
      </c>
      <c r="R917">
        <v>16.399999999999999</v>
      </c>
      <c r="S917" s="5">
        <v>45819</v>
      </c>
      <c r="T917" s="5">
        <v>45823</v>
      </c>
      <c r="U917" t="s">
        <v>2924</v>
      </c>
    </row>
    <row r="918" spans="1:21" x14ac:dyDescent="0.25">
      <c r="A918" s="5">
        <v>45259</v>
      </c>
      <c r="B918" s="7">
        <f>Table1[[#This Row],[TotalPrice]] * (1 - Table1[[#This Row],[Discount]])</f>
        <v>2947.01</v>
      </c>
      <c r="C918" s="7">
        <f>Table1[[#This Row],[Net Sales]] * 0.2</f>
        <v>589.40200000000004</v>
      </c>
      <c r="D918" t="s">
        <v>22</v>
      </c>
      <c r="E918" t="s">
        <v>25</v>
      </c>
      <c r="F918">
        <v>11</v>
      </c>
      <c r="G918">
        <v>267.91000000000003</v>
      </c>
      <c r="H918" t="s">
        <v>31</v>
      </c>
      <c r="I918" t="s">
        <v>36</v>
      </c>
      <c r="J918" s="3">
        <v>0</v>
      </c>
      <c r="K918" t="s">
        <v>37</v>
      </c>
      <c r="L918">
        <v>2947.01</v>
      </c>
      <c r="M918" t="s">
        <v>46</v>
      </c>
      <c r="O918">
        <v>0</v>
      </c>
      <c r="P918" t="s">
        <v>967</v>
      </c>
      <c r="Q918" t="s">
        <v>2421</v>
      </c>
      <c r="R918">
        <v>12.05</v>
      </c>
      <c r="S918" s="5">
        <v>45259</v>
      </c>
      <c r="T918" s="5">
        <v>45264</v>
      </c>
      <c r="U918" t="s">
        <v>2925</v>
      </c>
    </row>
    <row r="919" spans="1:21" x14ac:dyDescent="0.25">
      <c r="A919" s="5">
        <v>45470</v>
      </c>
      <c r="B919" s="7">
        <f>Table1[[#This Row],[TotalPrice]] * (1 - Table1[[#This Row],[Discount]])</f>
        <v>4002.1181999999999</v>
      </c>
      <c r="C919" s="7">
        <f>Table1[[#This Row],[Net Sales]] * 0.2</f>
        <v>800.42363999999998</v>
      </c>
      <c r="D919" t="s">
        <v>20</v>
      </c>
      <c r="E919" t="s">
        <v>27</v>
      </c>
      <c r="F919">
        <v>12</v>
      </c>
      <c r="G919">
        <v>369.54</v>
      </c>
      <c r="H919" t="s">
        <v>31</v>
      </c>
      <c r="I919" t="s">
        <v>36</v>
      </c>
      <c r="J919" s="3">
        <v>0.05</v>
      </c>
      <c r="K919" t="s">
        <v>41</v>
      </c>
      <c r="L919">
        <v>4212.7560000000003</v>
      </c>
      <c r="M919" t="s">
        <v>46</v>
      </c>
      <c r="N919" t="s">
        <v>50</v>
      </c>
      <c r="O919">
        <v>1</v>
      </c>
      <c r="P919" t="s">
        <v>968</v>
      </c>
      <c r="Q919" t="s">
        <v>2422</v>
      </c>
      <c r="R919">
        <v>39.159999999999997</v>
      </c>
      <c r="S919" s="5">
        <v>45470</v>
      </c>
      <c r="T919" s="5">
        <v>45478</v>
      </c>
      <c r="U919" t="s">
        <v>2923</v>
      </c>
    </row>
    <row r="920" spans="1:21" x14ac:dyDescent="0.25">
      <c r="A920" s="5">
        <v>45432</v>
      </c>
      <c r="B920" s="7">
        <f>Table1[[#This Row],[TotalPrice]] * (1 - Table1[[#This Row],[Discount]])</f>
        <v>3335.5497499999997</v>
      </c>
      <c r="C920" s="7">
        <f>Table1[[#This Row],[Net Sales]] * 0.2</f>
        <v>667.10995000000003</v>
      </c>
      <c r="D920" t="s">
        <v>20</v>
      </c>
      <c r="E920" t="s">
        <v>28</v>
      </c>
      <c r="F920">
        <v>13</v>
      </c>
      <c r="G920">
        <v>284.3</v>
      </c>
      <c r="H920" t="s">
        <v>32</v>
      </c>
      <c r="I920" t="s">
        <v>35</v>
      </c>
      <c r="J920" s="3">
        <v>0.05</v>
      </c>
      <c r="K920" t="s">
        <v>42</v>
      </c>
      <c r="L920">
        <v>3511.105</v>
      </c>
      <c r="M920" t="s">
        <v>43</v>
      </c>
      <c r="N920" t="s">
        <v>50</v>
      </c>
      <c r="O920">
        <v>0</v>
      </c>
      <c r="P920" t="s">
        <v>969</v>
      </c>
      <c r="Q920" t="s">
        <v>2423</v>
      </c>
      <c r="R920">
        <v>48.73</v>
      </c>
      <c r="S920" s="5">
        <v>45432</v>
      </c>
      <c r="T920" s="5">
        <v>45439</v>
      </c>
      <c r="U920" t="s">
        <v>2923</v>
      </c>
    </row>
    <row r="921" spans="1:21" x14ac:dyDescent="0.25">
      <c r="A921" s="5">
        <v>45094</v>
      </c>
      <c r="B921" s="7">
        <f>Table1[[#This Row],[TotalPrice]] * (1 - Table1[[#This Row],[Discount]])</f>
        <v>5125.2000000000007</v>
      </c>
      <c r="C921" s="7">
        <f>Table1[[#This Row],[Net Sales]] * 0.2</f>
        <v>1025.0400000000002</v>
      </c>
      <c r="D921" t="s">
        <v>23</v>
      </c>
      <c r="E921" t="s">
        <v>27</v>
      </c>
      <c r="F921">
        <v>12</v>
      </c>
      <c r="G921">
        <v>427.1</v>
      </c>
      <c r="H921" t="s">
        <v>33</v>
      </c>
      <c r="I921" t="s">
        <v>36</v>
      </c>
      <c r="J921" s="3">
        <v>0</v>
      </c>
      <c r="K921" t="s">
        <v>40</v>
      </c>
      <c r="L921">
        <v>5125.2000000000007</v>
      </c>
      <c r="M921" t="s">
        <v>44</v>
      </c>
      <c r="N921" t="s">
        <v>50</v>
      </c>
      <c r="O921">
        <v>1</v>
      </c>
      <c r="P921" t="s">
        <v>970</v>
      </c>
      <c r="Q921" t="s">
        <v>2424</v>
      </c>
      <c r="R921">
        <v>8.11</v>
      </c>
      <c r="S921" s="5">
        <v>45094</v>
      </c>
      <c r="T921" s="5">
        <v>45099</v>
      </c>
      <c r="U921" t="s">
        <v>2926</v>
      </c>
    </row>
    <row r="922" spans="1:21" x14ac:dyDescent="0.25">
      <c r="A922" s="5">
        <v>45602</v>
      </c>
      <c r="B922" s="7">
        <f>Table1[[#This Row],[TotalPrice]] * (1 - Table1[[#This Row],[Discount]])</f>
        <v>1784.673</v>
      </c>
      <c r="C922" s="7">
        <f>Table1[[#This Row],[Net Sales]] * 0.2</f>
        <v>356.93460000000005</v>
      </c>
      <c r="D922" t="s">
        <v>19</v>
      </c>
      <c r="E922" t="s">
        <v>28</v>
      </c>
      <c r="F922">
        <v>11</v>
      </c>
      <c r="G922">
        <v>200.3</v>
      </c>
      <c r="H922" t="s">
        <v>34</v>
      </c>
      <c r="I922" t="s">
        <v>36</v>
      </c>
      <c r="J922" s="3">
        <v>0.1</v>
      </c>
      <c r="K922" t="s">
        <v>37</v>
      </c>
      <c r="L922">
        <v>1982.97</v>
      </c>
      <c r="M922" t="s">
        <v>46</v>
      </c>
      <c r="N922" t="s">
        <v>50</v>
      </c>
      <c r="O922">
        <v>1</v>
      </c>
      <c r="P922" t="s">
        <v>971</v>
      </c>
      <c r="Q922" t="s">
        <v>2425</v>
      </c>
      <c r="R922">
        <v>48.27</v>
      </c>
      <c r="S922" s="5">
        <v>45602</v>
      </c>
      <c r="T922" s="5">
        <v>45609</v>
      </c>
      <c r="U922" t="s">
        <v>2922</v>
      </c>
    </row>
    <row r="923" spans="1:21" x14ac:dyDescent="0.25">
      <c r="A923" s="5">
        <v>45700</v>
      </c>
      <c r="B923" s="7">
        <f>Table1[[#This Row],[TotalPrice]] * (1 - Table1[[#This Row],[Discount]])</f>
        <v>219.06200000000001</v>
      </c>
      <c r="C923" s="7">
        <f>Table1[[#This Row],[Net Sales]] * 0.2</f>
        <v>43.812400000000004</v>
      </c>
      <c r="D923" t="s">
        <v>21</v>
      </c>
      <c r="E923" t="s">
        <v>30</v>
      </c>
      <c r="F923">
        <v>4</v>
      </c>
      <c r="G923">
        <v>75.8</v>
      </c>
      <c r="H923" t="s">
        <v>33</v>
      </c>
      <c r="I923" t="s">
        <v>36</v>
      </c>
      <c r="J923" s="3">
        <v>0.15</v>
      </c>
      <c r="K923" t="s">
        <v>40</v>
      </c>
      <c r="L923">
        <v>257.72000000000003</v>
      </c>
      <c r="M923" t="s">
        <v>45</v>
      </c>
      <c r="N923" t="s">
        <v>49</v>
      </c>
      <c r="O923">
        <v>0</v>
      </c>
      <c r="P923" t="s">
        <v>972</v>
      </c>
      <c r="Q923" t="s">
        <v>2426</v>
      </c>
      <c r="R923">
        <v>12.22</v>
      </c>
      <c r="S923" s="5">
        <v>45700</v>
      </c>
      <c r="T923" s="5">
        <v>45708</v>
      </c>
      <c r="U923" t="s">
        <v>2924</v>
      </c>
    </row>
    <row r="924" spans="1:21" x14ac:dyDescent="0.25">
      <c r="A924" s="5">
        <v>45756</v>
      </c>
      <c r="B924" s="7">
        <f>Table1[[#This Row],[TotalPrice]] * (1 - Table1[[#This Row],[Discount]])</f>
        <v>2073.7199999999998</v>
      </c>
      <c r="C924" s="7">
        <f>Table1[[#This Row],[Net Sales]] * 0.2</f>
        <v>414.74399999999997</v>
      </c>
      <c r="D924" t="s">
        <v>21</v>
      </c>
      <c r="E924" t="s">
        <v>28</v>
      </c>
      <c r="F924">
        <v>4</v>
      </c>
      <c r="G924">
        <v>518.42999999999995</v>
      </c>
      <c r="H924" t="s">
        <v>32</v>
      </c>
      <c r="I924" t="s">
        <v>35</v>
      </c>
      <c r="J924" s="3">
        <v>0</v>
      </c>
      <c r="K924" t="s">
        <v>38</v>
      </c>
      <c r="L924">
        <v>2073.7199999999998</v>
      </c>
      <c r="M924" t="s">
        <v>43</v>
      </c>
      <c r="N924" t="s">
        <v>49</v>
      </c>
      <c r="O924">
        <v>0</v>
      </c>
      <c r="P924" t="s">
        <v>973</v>
      </c>
      <c r="Q924" t="s">
        <v>2131</v>
      </c>
      <c r="R924">
        <v>30.86</v>
      </c>
      <c r="S924" s="5">
        <v>45756</v>
      </c>
      <c r="T924" s="5">
        <v>45761</v>
      </c>
      <c r="U924" t="s">
        <v>2924</v>
      </c>
    </row>
    <row r="925" spans="1:21" x14ac:dyDescent="0.25">
      <c r="A925" s="5">
        <v>45522</v>
      </c>
      <c r="B925" s="7">
        <f>Table1[[#This Row],[TotalPrice]] * (1 - Table1[[#This Row],[Discount]])</f>
        <v>3106.7840499999998</v>
      </c>
      <c r="C925" s="7">
        <f>Table1[[#This Row],[Net Sales]] * 0.2</f>
        <v>621.35681</v>
      </c>
      <c r="D925" t="s">
        <v>21</v>
      </c>
      <c r="E925" t="s">
        <v>29</v>
      </c>
      <c r="F925">
        <v>19</v>
      </c>
      <c r="G925">
        <v>181.18</v>
      </c>
      <c r="H925" t="s">
        <v>32</v>
      </c>
      <c r="I925" t="s">
        <v>35</v>
      </c>
      <c r="J925" s="3">
        <v>0.05</v>
      </c>
      <c r="K925" t="s">
        <v>40</v>
      </c>
      <c r="L925">
        <v>3270.299</v>
      </c>
      <c r="M925" t="s">
        <v>45</v>
      </c>
      <c r="N925" t="s">
        <v>48</v>
      </c>
      <c r="O925">
        <v>0</v>
      </c>
      <c r="P925" t="s">
        <v>974</v>
      </c>
      <c r="Q925" t="s">
        <v>2427</v>
      </c>
      <c r="R925">
        <v>12.04</v>
      </c>
      <c r="S925" s="5">
        <v>45522</v>
      </c>
      <c r="T925" s="5">
        <v>45530</v>
      </c>
      <c r="U925" t="s">
        <v>2924</v>
      </c>
    </row>
    <row r="926" spans="1:21" x14ac:dyDescent="0.25">
      <c r="A926" s="5">
        <v>44977</v>
      </c>
      <c r="B926" s="7">
        <f>Table1[[#This Row],[TotalPrice]] * (1 - Table1[[#This Row],[Discount]])</f>
        <v>533.83777499999997</v>
      </c>
      <c r="C926" s="7">
        <f>Table1[[#This Row],[Net Sales]] * 0.2</f>
        <v>106.767555</v>
      </c>
      <c r="D926" t="s">
        <v>22</v>
      </c>
      <c r="E926" t="s">
        <v>24</v>
      </c>
      <c r="F926">
        <v>3</v>
      </c>
      <c r="G926">
        <v>197.17</v>
      </c>
      <c r="H926" t="s">
        <v>32</v>
      </c>
      <c r="I926" t="s">
        <v>35</v>
      </c>
      <c r="J926" s="3">
        <v>0.05</v>
      </c>
      <c r="K926" t="s">
        <v>39</v>
      </c>
      <c r="L926">
        <v>561.93449999999996</v>
      </c>
      <c r="M926" t="s">
        <v>44</v>
      </c>
      <c r="N926" t="s">
        <v>48</v>
      </c>
      <c r="O926">
        <v>1</v>
      </c>
      <c r="P926" t="s">
        <v>975</v>
      </c>
      <c r="Q926" t="s">
        <v>2113</v>
      </c>
      <c r="R926">
        <v>30.29</v>
      </c>
      <c r="S926" s="5">
        <v>44977</v>
      </c>
      <c r="T926" s="5">
        <v>44980</v>
      </c>
      <c r="U926" t="s">
        <v>2925</v>
      </c>
    </row>
    <row r="927" spans="1:21" x14ac:dyDescent="0.25">
      <c r="A927" s="5">
        <v>45775</v>
      </c>
      <c r="B927" s="7">
        <f>Table1[[#This Row],[TotalPrice]] * (1 - Table1[[#This Row],[Discount]])</f>
        <v>443.8134</v>
      </c>
      <c r="C927" s="7">
        <f>Table1[[#This Row],[Net Sales]] * 0.2</f>
        <v>88.762680000000003</v>
      </c>
      <c r="D927" t="s">
        <v>21</v>
      </c>
      <c r="E927" t="s">
        <v>24</v>
      </c>
      <c r="F927">
        <v>6</v>
      </c>
      <c r="G927">
        <v>81.96</v>
      </c>
      <c r="H927" t="s">
        <v>34</v>
      </c>
      <c r="I927" t="s">
        <v>35</v>
      </c>
      <c r="J927" s="3">
        <v>0.05</v>
      </c>
      <c r="K927" t="s">
        <v>41</v>
      </c>
      <c r="L927">
        <v>467.17200000000003</v>
      </c>
      <c r="M927" t="s">
        <v>45</v>
      </c>
      <c r="N927" t="s">
        <v>50</v>
      </c>
      <c r="O927">
        <v>0</v>
      </c>
      <c r="P927" t="s">
        <v>976</v>
      </c>
      <c r="Q927" t="s">
        <v>2428</v>
      </c>
      <c r="R927">
        <v>26.43</v>
      </c>
      <c r="S927" s="5">
        <v>45775</v>
      </c>
      <c r="T927" s="5">
        <v>45785</v>
      </c>
      <c r="U927" t="s">
        <v>2924</v>
      </c>
    </row>
    <row r="928" spans="1:21" x14ac:dyDescent="0.25">
      <c r="A928" s="5">
        <v>45148</v>
      </c>
      <c r="B928" s="7">
        <f>Table1[[#This Row],[TotalPrice]] * (1 - Table1[[#This Row],[Discount]])</f>
        <v>179.34</v>
      </c>
      <c r="C928" s="7">
        <f>Table1[[#This Row],[Net Sales]] * 0.2</f>
        <v>35.868000000000002</v>
      </c>
      <c r="D928" t="s">
        <v>22</v>
      </c>
      <c r="E928" t="s">
        <v>30</v>
      </c>
      <c r="F928">
        <v>3</v>
      </c>
      <c r="G928">
        <v>59.78</v>
      </c>
      <c r="H928" t="s">
        <v>33</v>
      </c>
      <c r="I928" t="s">
        <v>36</v>
      </c>
      <c r="J928" s="3">
        <v>0</v>
      </c>
      <c r="K928" t="s">
        <v>37</v>
      </c>
      <c r="L928">
        <v>179.34</v>
      </c>
      <c r="M928" t="s">
        <v>43</v>
      </c>
      <c r="N928" t="s">
        <v>49</v>
      </c>
      <c r="O928">
        <v>0</v>
      </c>
      <c r="P928" t="s">
        <v>977</v>
      </c>
      <c r="Q928" t="s">
        <v>2429</v>
      </c>
      <c r="R928">
        <v>46.98</v>
      </c>
      <c r="S928" s="5">
        <v>45148</v>
      </c>
      <c r="T928" s="5">
        <v>45151</v>
      </c>
      <c r="U928" t="s">
        <v>2925</v>
      </c>
    </row>
    <row r="929" spans="1:21" x14ac:dyDescent="0.25">
      <c r="A929" s="5">
        <v>45467</v>
      </c>
      <c r="B929" s="7">
        <f>Table1[[#This Row],[TotalPrice]] * (1 - Table1[[#This Row],[Discount]])</f>
        <v>2057.3352</v>
      </c>
      <c r="C929" s="7">
        <f>Table1[[#This Row],[Net Sales]] * 0.2</f>
        <v>411.46704</v>
      </c>
      <c r="D929" t="s">
        <v>21</v>
      </c>
      <c r="E929" t="s">
        <v>29</v>
      </c>
      <c r="F929">
        <v>12</v>
      </c>
      <c r="G929">
        <v>211.66</v>
      </c>
      <c r="H929" t="s">
        <v>32</v>
      </c>
      <c r="I929" t="s">
        <v>35</v>
      </c>
      <c r="J929" s="3">
        <v>0.1</v>
      </c>
      <c r="K929" t="s">
        <v>40</v>
      </c>
      <c r="L929">
        <v>2285.9279999999999</v>
      </c>
      <c r="M929" t="s">
        <v>45</v>
      </c>
      <c r="N929" t="s">
        <v>49</v>
      </c>
      <c r="O929">
        <v>0</v>
      </c>
      <c r="P929" t="s">
        <v>978</v>
      </c>
      <c r="Q929" t="s">
        <v>2430</v>
      </c>
      <c r="R929">
        <v>10.36</v>
      </c>
      <c r="S929" s="5">
        <v>45467</v>
      </c>
      <c r="T929" s="5">
        <v>45472</v>
      </c>
      <c r="U929" t="s">
        <v>2924</v>
      </c>
    </row>
    <row r="930" spans="1:21" x14ac:dyDescent="0.25">
      <c r="A930" s="5">
        <v>45144</v>
      </c>
      <c r="B930" s="7">
        <f>Table1[[#This Row],[TotalPrice]] * (1 - Table1[[#This Row],[Discount]])</f>
        <v>820.92302499999994</v>
      </c>
      <c r="C930" s="7">
        <f>Table1[[#This Row],[Net Sales]] * 0.2</f>
        <v>164.184605</v>
      </c>
      <c r="D930" t="s">
        <v>22</v>
      </c>
      <c r="E930" t="s">
        <v>30</v>
      </c>
      <c r="F930">
        <v>13</v>
      </c>
      <c r="G930">
        <v>69.97</v>
      </c>
      <c r="H930" t="s">
        <v>32</v>
      </c>
      <c r="I930" t="s">
        <v>35</v>
      </c>
      <c r="J930" s="3">
        <v>0.05</v>
      </c>
      <c r="K930" t="s">
        <v>38</v>
      </c>
      <c r="L930">
        <v>864.12950000000001</v>
      </c>
      <c r="M930" t="s">
        <v>46</v>
      </c>
      <c r="O930">
        <v>0</v>
      </c>
      <c r="P930" t="s">
        <v>979</v>
      </c>
      <c r="Q930" t="s">
        <v>2431</v>
      </c>
      <c r="R930">
        <v>27.66</v>
      </c>
      <c r="S930" s="5">
        <v>45144</v>
      </c>
      <c r="T930" s="5">
        <v>45150</v>
      </c>
      <c r="U930" t="s">
        <v>2925</v>
      </c>
    </row>
    <row r="931" spans="1:21" x14ac:dyDescent="0.25">
      <c r="A931" s="5">
        <v>45622</v>
      </c>
      <c r="B931" s="7">
        <f>Table1[[#This Row],[TotalPrice]] * (1 - Table1[[#This Row],[Discount]])</f>
        <v>2485.3310999999999</v>
      </c>
      <c r="C931" s="7">
        <f>Table1[[#This Row],[Net Sales]] * 0.2</f>
        <v>497.06621999999999</v>
      </c>
      <c r="D931" t="s">
        <v>19</v>
      </c>
      <c r="E931" t="s">
        <v>29</v>
      </c>
      <c r="F931">
        <v>7</v>
      </c>
      <c r="G931">
        <v>438.33</v>
      </c>
      <c r="H931" t="s">
        <v>33</v>
      </c>
      <c r="I931" t="s">
        <v>36</v>
      </c>
      <c r="J931" s="3">
        <v>0.1</v>
      </c>
      <c r="K931" t="s">
        <v>39</v>
      </c>
      <c r="L931">
        <v>2761.4789999999998</v>
      </c>
      <c r="M931" t="s">
        <v>47</v>
      </c>
      <c r="O931">
        <v>1</v>
      </c>
      <c r="P931" t="s">
        <v>980</v>
      </c>
      <c r="Q931" t="s">
        <v>2100</v>
      </c>
      <c r="R931">
        <v>11.57</v>
      </c>
      <c r="S931" s="5">
        <v>45622</v>
      </c>
      <c r="T931" s="5">
        <v>45626</v>
      </c>
      <c r="U931" t="s">
        <v>2922</v>
      </c>
    </row>
    <row r="932" spans="1:21" x14ac:dyDescent="0.25">
      <c r="A932" s="5">
        <v>45694</v>
      </c>
      <c r="B932" s="7">
        <f>Table1[[#This Row],[TotalPrice]] * (1 - Table1[[#This Row],[Discount]])</f>
        <v>1371.0626999999999</v>
      </c>
      <c r="C932" s="7">
        <f>Table1[[#This Row],[Net Sales]] * 0.2</f>
        <v>274.21253999999999</v>
      </c>
      <c r="D932" t="s">
        <v>19</v>
      </c>
      <c r="E932" t="s">
        <v>24</v>
      </c>
      <c r="F932">
        <v>7</v>
      </c>
      <c r="G932">
        <v>241.81</v>
      </c>
      <c r="H932" t="s">
        <v>33</v>
      </c>
      <c r="I932" t="s">
        <v>35</v>
      </c>
      <c r="J932" s="3">
        <v>0.1</v>
      </c>
      <c r="K932" t="s">
        <v>38</v>
      </c>
      <c r="L932">
        <v>1523.403</v>
      </c>
      <c r="M932" t="s">
        <v>46</v>
      </c>
      <c r="N932" t="s">
        <v>48</v>
      </c>
      <c r="O932">
        <v>0</v>
      </c>
      <c r="P932" t="s">
        <v>981</v>
      </c>
      <c r="Q932" t="s">
        <v>2432</v>
      </c>
      <c r="R932">
        <v>32.94</v>
      </c>
      <c r="S932" s="5">
        <v>45694</v>
      </c>
      <c r="T932" s="5">
        <v>45698</v>
      </c>
      <c r="U932" t="s">
        <v>2922</v>
      </c>
    </row>
    <row r="933" spans="1:21" x14ac:dyDescent="0.25">
      <c r="A933" s="5">
        <v>45736</v>
      </c>
      <c r="B933" s="7">
        <f>Table1[[#This Row],[TotalPrice]] * (1 - Table1[[#This Row],[Discount]])</f>
        <v>1011.4422</v>
      </c>
      <c r="C933" s="7">
        <f>Table1[[#This Row],[Net Sales]] * 0.2</f>
        <v>202.28844000000001</v>
      </c>
      <c r="D933" t="s">
        <v>19</v>
      </c>
      <c r="E933" t="s">
        <v>26</v>
      </c>
      <c r="F933">
        <v>3</v>
      </c>
      <c r="G933">
        <v>466.64</v>
      </c>
      <c r="H933" t="s">
        <v>32</v>
      </c>
      <c r="I933" t="s">
        <v>36</v>
      </c>
      <c r="J933" s="3">
        <v>0.15</v>
      </c>
      <c r="K933" t="s">
        <v>42</v>
      </c>
      <c r="L933">
        <v>1189.932</v>
      </c>
      <c r="M933" t="s">
        <v>43</v>
      </c>
      <c r="N933" t="s">
        <v>48</v>
      </c>
      <c r="O933">
        <v>0</v>
      </c>
      <c r="P933" t="s">
        <v>982</v>
      </c>
      <c r="Q933" t="s">
        <v>2433</v>
      </c>
      <c r="R933">
        <v>30.33</v>
      </c>
      <c r="S933" s="5">
        <v>45736</v>
      </c>
      <c r="T933" s="5">
        <v>45742</v>
      </c>
      <c r="U933" t="s">
        <v>2922</v>
      </c>
    </row>
    <row r="934" spans="1:21" x14ac:dyDescent="0.25">
      <c r="A934" s="5">
        <v>45545</v>
      </c>
      <c r="B934" s="7">
        <f>Table1[[#This Row],[TotalPrice]] * (1 - Table1[[#This Row],[Discount]])</f>
        <v>3840.6428999999985</v>
      </c>
      <c r="C934" s="7">
        <f>Table1[[#This Row],[Net Sales]] * 0.2</f>
        <v>768.12857999999972</v>
      </c>
      <c r="D934" t="s">
        <v>20</v>
      </c>
      <c r="E934" t="s">
        <v>28</v>
      </c>
      <c r="F934">
        <v>9</v>
      </c>
      <c r="G934">
        <v>472.84</v>
      </c>
      <c r="H934" t="s">
        <v>34</v>
      </c>
      <c r="I934" t="s">
        <v>36</v>
      </c>
      <c r="J934" s="3">
        <v>0.05</v>
      </c>
      <c r="K934" t="s">
        <v>38</v>
      </c>
      <c r="L934">
        <v>4042.7819999999988</v>
      </c>
      <c r="M934" t="s">
        <v>45</v>
      </c>
      <c r="N934" t="s">
        <v>50</v>
      </c>
      <c r="O934">
        <v>0</v>
      </c>
      <c r="P934" t="s">
        <v>983</v>
      </c>
      <c r="Q934" t="s">
        <v>2434</v>
      </c>
      <c r="R934">
        <v>48.13</v>
      </c>
      <c r="S934" s="5">
        <v>45545</v>
      </c>
      <c r="T934" s="5">
        <v>45547</v>
      </c>
      <c r="U934" t="s">
        <v>2923</v>
      </c>
    </row>
    <row r="935" spans="1:21" x14ac:dyDescent="0.25">
      <c r="A935" s="5">
        <v>45708</v>
      </c>
      <c r="B935" s="7">
        <f>Table1[[#This Row],[TotalPrice]] * (1 - Table1[[#This Row],[Discount]])</f>
        <v>9026.0810999999994</v>
      </c>
      <c r="C935" s="7">
        <f>Table1[[#This Row],[Net Sales]] * 0.2</f>
        <v>1805.21622</v>
      </c>
      <c r="D935" t="s">
        <v>20</v>
      </c>
      <c r="E935" t="s">
        <v>27</v>
      </c>
      <c r="F935">
        <v>19</v>
      </c>
      <c r="G935">
        <v>586.49</v>
      </c>
      <c r="H935" t="s">
        <v>32</v>
      </c>
      <c r="I935" t="s">
        <v>35</v>
      </c>
      <c r="J935" s="3">
        <v>0.1</v>
      </c>
      <c r="K935" t="s">
        <v>37</v>
      </c>
      <c r="L935">
        <v>10028.978999999999</v>
      </c>
      <c r="M935" t="s">
        <v>47</v>
      </c>
      <c r="N935" t="s">
        <v>49</v>
      </c>
      <c r="O935">
        <v>0</v>
      </c>
      <c r="P935" t="s">
        <v>984</v>
      </c>
      <c r="Q935" t="s">
        <v>2435</v>
      </c>
      <c r="R935">
        <v>19.850000000000001</v>
      </c>
      <c r="S935" s="5">
        <v>45708</v>
      </c>
      <c r="T935" s="5">
        <v>45718</v>
      </c>
      <c r="U935" t="s">
        <v>2923</v>
      </c>
    </row>
    <row r="936" spans="1:21" x14ac:dyDescent="0.25">
      <c r="A936" s="5">
        <v>44946</v>
      </c>
      <c r="B936" s="7">
        <f>Table1[[#This Row],[TotalPrice]] * (1 - Table1[[#This Row],[Discount]])</f>
        <v>5016.1368749999992</v>
      </c>
      <c r="C936" s="7">
        <f>Table1[[#This Row],[Net Sales]] * 0.2</f>
        <v>1003.2273749999999</v>
      </c>
      <c r="D936" t="s">
        <v>19</v>
      </c>
      <c r="E936" t="s">
        <v>27</v>
      </c>
      <c r="F936">
        <v>15</v>
      </c>
      <c r="G936">
        <v>462.85</v>
      </c>
      <c r="H936" t="s">
        <v>32</v>
      </c>
      <c r="I936" t="s">
        <v>36</v>
      </c>
      <c r="J936" s="3">
        <v>0.15</v>
      </c>
      <c r="K936" t="s">
        <v>41</v>
      </c>
      <c r="L936">
        <v>5901.3374999999996</v>
      </c>
      <c r="M936" t="s">
        <v>45</v>
      </c>
      <c r="O936">
        <v>0</v>
      </c>
      <c r="P936" t="s">
        <v>985</v>
      </c>
      <c r="Q936" t="s">
        <v>2436</v>
      </c>
      <c r="R936">
        <v>46.12</v>
      </c>
      <c r="S936" s="5">
        <v>44946</v>
      </c>
      <c r="T936" s="5">
        <v>44952</v>
      </c>
      <c r="U936" t="s">
        <v>2922</v>
      </c>
    </row>
    <row r="937" spans="1:21" x14ac:dyDescent="0.25">
      <c r="A937" s="5">
        <v>45354</v>
      </c>
      <c r="B937" s="7">
        <f>Table1[[#This Row],[TotalPrice]] * (1 - Table1[[#This Row],[Discount]])</f>
        <v>158.993425</v>
      </c>
      <c r="C937" s="7">
        <f>Table1[[#This Row],[Net Sales]] * 0.2</f>
        <v>31.798685000000003</v>
      </c>
      <c r="D937" t="s">
        <v>19</v>
      </c>
      <c r="E937" t="s">
        <v>24</v>
      </c>
      <c r="F937">
        <v>1</v>
      </c>
      <c r="G937">
        <v>176.17</v>
      </c>
      <c r="H937" t="s">
        <v>33</v>
      </c>
      <c r="I937" t="s">
        <v>36</v>
      </c>
      <c r="J937" s="3">
        <v>0.05</v>
      </c>
      <c r="K937" t="s">
        <v>38</v>
      </c>
      <c r="L937">
        <v>167.36150000000001</v>
      </c>
      <c r="M937" t="s">
        <v>46</v>
      </c>
      <c r="O937">
        <v>1</v>
      </c>
      <c r="P937" t="s">
        <v>986</v>
      </c>
      <c r="Q937" t="s">
        <v>2437</v>
      </c>
      <c r="R937">
        <v>35.770000000000003</v>
      </c>
      <c r="S937" s="5">
        <v>45354</v>
      </c>
      <c r="T937" s="5">
        <v>45357</v>
      </c>
      <c r="U937" t="s">
        <v>2922</v>
      </c>
    </row>
    <row r="938" spans="1:21" x14ac:dyDescent="0.25">
      <c r="A938" s="5">
        <v>45257</v>
      </c>
      <c r="B938" s="7">
        <f>Table1[[#This Row],[TotalPrice]] * (1 - Table1[[#This Row],[Discount]])</f>
        <v>57.7044</v>
      </c>
      <c r="C938" s="7">
        <f>Table1[[#This Row],[Net Sales]] * 0.2</f>
        <v>11.540880000000001</v>
      </c>
      <c r="D938" t="s">
        <v>23</v>
      </c>
      <c r="E938" t="s">
        <v>30</v>
      </c>
      <c r="F938">
        <v>1</v>
      </c>
      <c r="G938">
        <v>71.239999999999995</v>
      </c>
      <c r="H938" t="s">
        <v>32</v>
      </c>
      <c r="I938" t="s">
        <v>36</v>
      </c>
      <c r="J938" s="3">
        <v>0.1</v>
      </c>
      <c r="K938" t="s">
        <v>40</v>
      </c>
      <c r="L938">
        <v>64.116</v>
      </c>
      <c r="M938" t="s">
        <v>46</v>
      </c>
      <c r="O938">
        <v>1</v>
      </c>
      <c r="P938" t="s">
        <v>987</v>
      </c>
      <c r="Q938" t="s">
        <v>2438</v>
      </c>
      <c r="R938">
        <v>43.69</v>
      </c>
      <c r="S938" s="5">
        <v>45257</v>
      </c>
      <c r="T938" s="5">
        <v>45263</v>
      </c>
      <c r="U938" t="s">
        <v>2926</v>
      </c>
    </row>
    <row r="939" spans="1:21" x14ac:dyDescent="0.25">
      <c r="A939" s="5">
        <v>45606</v>
      </c>
      <c r="B939" s="7">
        <f>Table1[[#This Row],[TotalPrice]] * (1 - Table1[[#This Row],[Discount]])</f>
        <v>374.58</v>
      </c>
      <c r="C939" s="7">
        <f>Table1[[#This Row],[Net Sales]] * 0.2</f>
        <v>74.915999999999997</v>
      </c>
      <c r="D939" t="s">
        <v>19</v>
      </c>
      <c r="E939" t="s">
        <v>24</v>
      </c>
      <c r="F939">
        <v>6</v>
      </c>
      <c r="G939">
        <v>62.43</v>
      </c>
      <c r="H939" t="s">
        <v>32</v>
      </c>
      <c r="I939" t="s">
        <v>35</v>
      </c>
      <c r="J939" s="3">
        <v>0</v>
      </c>
      <c r="K939" t="s">
        <v>41</v>
      </c>
      <c r="L939">
        <v>374.58</v>
      </c>
      <c r="M939" t="s">
        <v>44</v>
      </c>
      <c r="N939" t="s">
        <v>50</v>
      </c>
      <c r="O939">
        <v>0</v>
      </c>
      <c r="P939" t="s">
        <v>988</v>
      </c>
      <c r="Q939" t="s">
        <v>2439</v>
      </c>
      <c r="R939">
        <v>17.850000000000001</v>
      </c>
      <c r="S939" s="5">
        <v>45606</v>
      </c>
      <c r="T939" s="5">
        <v>45614</v>
      </c>
      <c r="U939" t="s">
        <v>2922</v>
      </c>
    </row>
    <row r="940" spans="1:21" x14ac:dyDescent="0.25">
      <c r="A940" s="5">
        <v>45692</v>
      </c>
      <c r="B940" s="7">
        <f>Table1[[#This Row],[TotalPrice]] * (1 - Table1[[#This Row],[Discount]])</f>
        <v>3231.2763</v>
      </c>
      <c r="C940" s="7">
        <f>Table1[[#This Row],[Net Sales]] * 0.2</f>
        <v>646.25526000000002</v>
      </c>
      <c r="D940" t="s">
        <v>22</v>
      </c>
      <c r="E940" t="s">
        <v>29</v>
      </c>
      <c r="F940">
        <v>7</v>
      </c>
      <c r="G940">
        <v>569.89</v>
      </c>
      <c r="H940" t="s">
        <v>34</v>
      </c>
      <c r="I940" t="s">
        <v>35</v>
      </c>
      <c r="J940" s="3">
        <v>0.1</v>
      </c>
      <c r="K940" t="s">
        <v>38</v>
      </c>
      <c r="L940">
        <v>3590.3069999999998</v>
      </c>
      <c r="M940" t="s">
        <v>47</v>
      </c>
      <c r="N940" t="s">
        <v>49</v>
      </c>
      <c r="O940">
        <v>0</v>
      </c>
      <c r="P940" t="s">
        <v>989</v>
      </c>
      <c r="Q940" t="s">
        <v>2440</v>
      </c>
      <c r="R940">
        <v>26.81</v>
      </c>
      <c r="S940" s="5">
        <v>45692</v>
      </c>
      <c r="T940" s="5">
        <v>45696</v>
      </c>
      <c r="U940" t="s">
        <v>2925</v>
      </c>
    </row>
    <row r="941" spans="1:21" x14ac:dyDescent="0.25">
      <c r="A941" s="5">
        <v>45343</v>
      </c>
      <c r="B941" s="7">
        <f>Table1[[#This Row],[TotalPrice]] * (1 - Table1[[#This Row],[Discount]])</f>
        <v>153.69574999999998</v>
      </c>
      <c r="C941" s="7">
        <f>Table1[[#This Row],[Net Sales]] * 0.2</f>
        <v>30.739149999999995</v>
      </c>
      <c r="D941" t="s">
        <v>19</v>
      </c>
      <c r="E941" t="s">
        <v>26</v>
      </c>
      <c r="F941">
        <v>5</v>
      </c>
      <c r="G941">
        <v>34.06</v>
      </c>
      <c r="H941" t="s">
        <v>34</v>
      </c>
      <c r="I941" t="s">
        <v>35</v>
      </c>
      <c r="J941" s="3">
        <v>0.05</v>
      </c>
      <c r="K941" t="s">
        <v>41</v>
      </c>
      <c r="L941">
        <v>161.785</v>
      </c>
      <c r="M941" t="s">
        <v>44</v>
      </c>
      <c r="O941">
        <v>0</v>
      </c>
      <c r="P941" t="s">
        <v>990</v>
      </c>
      <c r="Q941" t="s">
        <v>2441</v>
      </c>
      <c r="R941">
        <v>19.72</v>
      </c>
      <c r="S941" s="5">
        <v>45343</v>
      </c>
      <c r="T941" s="5">
        <v>45353</v>
      </c>
      <c r="U941" t="s">
        <v>2922</v>
      </c>
    </row>
    <row r="942" spans="1:21" x14ac:dyDescent="0.25">
      <c r="A942" s="5">
        <v>45009</v>
      </c>
      <c r="B942" s="7">
        <f>Table1[[#This Row],[TotalPrice]] * (1 - Table1[[#This Row],[Discount]])</f>
        <v>6920.8020000000006</v>
      </c>
      <c r="C942" s="7">
        <f>Table1[[#This Row],[Net Sales]] * 0.2</f>
        <v>1384.1604000000002</v>
      </c>
      <c r="D942" t="s">
        <v>19</v>
      </c>
      <c r="E942" t="s">
        <v>26</v>
      </c>
      <c r="F942">
        <v>17</v>
      </c>
      <c r="G942">
        <v>502.6</v>
      </c>
      <c r="H942" t="s">
        <v>32</v>
      </c>
      <c r="I942" t="s">
        <v>35</v>
      </c>
      <c r="J942" s="3">
        <v>0.1</v>
      </c>
      <c r="K942" t="s">
        <v>39</v>
      </c>
      <c r="L942">
        <v>7689.7800000000007</v>
      </c>
      <c r="M942" t="s">
        <v>47</v>
      </c>
      <c r="O942">
        <v>0</v>
      </c>
      <c r="P942" t="s">
        <v>991</v>
      </c>
      <c r="Q942" t="s">
        <v>2442</v>
      </c>
      <c r="R942">
        <v>15.38</v>
      </c>
      <c r="S942" s="5">
        <v>45009</v>
      </c>
      <c r="T942" s="5">
        <v>45014</v>
      </c>
      <c r="U942" t="s">
        <v>2922</v>
      </c>
    </row>
    <row r="943" spans="1:21" x14ac:dyDescent="0.25">
      <c r="A943" s="5">
        <v>45417</v>
      </c>
      <c r="B943" s="7">
        <f>Table1[[#This Row],[TotalPrice]] * (1 - Table1[[#This Row],[Discount]])</f>
        <v>218.0196</v>
      </c>
      <c r="C943" s="7">
        <f>Table1[[#This Row],[Net Sales]] * 0.2</f>
        <v>43.603920000000002</v>
      </c>
      <c r="D943" t="s">
        <v>20</v>
      </c>
      <c r="E943" t="s">
        <v>30</v>
      </c>
      <c r="F943">
        <v>3</v>
      </c>
      <c r="G943">
        <v>89.72</v>
      </c>
      <c r="H943" t="s">
        <v>34</v>
      </c>
      <c r="I943" t="s">
        <v>35</v>
      </c>
      <c r="J943" s="3">
        <v>0.1</v>
      </c>
      <c r="K943" t="s">
        <v>38</v>
      </c>
      <c r="L943">
        <v>242.244</v>
      </c>
      <c r="M943" t="s">
        <v>44</v>
      </c>
      <c r="N943" t="s">
        <v>50</v>
      </c>
      <c r="O943">
        <v>0</v>
      </c>
      <c r="P943" t="s">
        <v>992</v>
      </c>
      <c r="Q943" t="s">
        <v>2443</v>
      </c>
      <c r="R943">
        <v>32.67</v>
      </c>
      <c r="S943" s="5">
        <v>45417</v>
      </c>
      <c r="T943" s="5">
        <v>45425</v>
      </c>
      <c r="U943" t="s">
        <v>2923</v>
      </c>
    </row>
    <row r="944" spans="1:21" x14ac:dyDescent="0.25">
      <c r="A944" s="5">
        <v>45569</v>
      </c>
      <c r="B944" s="7">
        <f>Table1[[#This Row],[TotalPrice]] * (1 - Table1[[#This Row],[Discount]])</f>
        <v>5883.4673999999995</v>
      </c>
      <c r="C944" s="7">
        <f>Table1[[#This Row],[Net Sales]] * 0.2</f>
        <v>1176.6934799999999</v>
      </c>
      <c r="D944" t="s">
        <v>20</v>
      </c>
      <c r="E944" t="s">
        <v>24</v>
      </c>
      <c r="F944">
        <v>18</v>
      </c>
      <c r="G944">
        <v>403.53</v>
      </c>
      <c r="H944" t="s">
        <v>34</v>
      </c>
      <c r="I944" t="s">
        <v>35</v>
      </c>
      <c r="J944" s="3">
        <v>0.1</v>
      </c>
      <c r="K944" t="s">
        <v>38</v>
      </c>
      <c r="L944">
        <v>6537.1859999999997</v>
      </c>
      <c r="M944" t="s">
        <v>43</v>
      </c>
      <c r="O944">
        <v>0</v>
      </c>
      <c r="P944" t="s">
        <v>993</v>
      </c>
      <c r="Q944" t="s">
        <v>2444</v>
      </c>
      <c r="R944">
        <v>35.729999999999997</v>
      </c>
      <c r="S944" s="5">
        <v>45569</v>
      </c>
      <c r="T944" s="5">
        <v>45572</v>
      </c>
      <c r="U944" t="s">
        <v>2923</v>
      </c>
    </row>
    <row r="945" spans="1:21" x14ac:dyDescent="0.25">
      <c r="A945" s="5">
        <v>45661</v>
      </c>
      <c r="B945" s="7">
        <f>Table1[[#This Row],[TotalPrice]] * (1 - Table1[[#This Row],[Discount]])</f>
        <v>389.94</v>
      </c>
      <c r="C945" s="7">
        <f>Table1[[#This Row],[Net Sales]] * 0.2</f>
        <v>77.988</v>
      </c>
      <c r="D945" t="s">
        <v>20</v>
      </c>
      <c r="E945" t="s">
        <v>27</v>
      </c>
      <c r="F945">
        <v>2</v>
      </c>
      <c r="G945">
        <v>194.97</v>
      </c>
      <c r="H945" t="s">
        <v>32</v>
      </c>
      <c r="I945" t="s">
        <v>36</v>
      </c>
      <c r="J945" s="3">
        <v>0</v>
      </c>
      <c r="K945" t="s">
        <v>41</v>
      </c>
      <c r="L945">
        <v>389.94</v>
      </c>
      <c r="M945" t="s">
        <v>45</v>
      </c>
      <c r="N945" t="s">
        <v>49</v>
      </c>
      <c r="O945">
        <v>0</v>
      </c>
      <c r="P945" t="s">
        <v>994</v>
      </c>
      <c r="Q945" t="s">
        <v>1932</v>
      </c>
      <c r="R945">
        <v>9.89</v>
      </c>
      <c r="S945" s="5">
        <v>45661</v>
      </c>
      <c r="T945" s="5">
        <v>45671</v>
      </c>
      <c r="U945" t="s">
        <v>2923</v>
      </c>
    </row>
    <row r="946" spans="1:21" x14ac:dyDescent="0.25">
      <c r="A946" s="5">
        <v>45649</v>
      </c>
      <c r="B946" s="7">
        <f>Table1[[#This Row],[TotalPrice]] * (1 - Table1[[#This Row],[Discount]])</f>
        <v>1861.7852999999998</v>
      </c>
      <c r="C946" s="7">
        <f>Table1[[#This Row],[Net Sales]] * 0.2</f>
        <v>372.35705999999999</v>
      </c>
      <c r="D946" t="s">
        <v>22</v>
      </c>
      <c r="E946" t="s">
        <v>30</v>
      </c>
      <c r="F946">
        <v>12</v>
      </c>
      <c r="G946">
        <v>171.91</v>
      </c>
      <c r="H946" t="s">
        <v>31</v>
      </c>
      <c r="I946" t="s">
        <v>36</v>
      </c>
      <c r="J946" s="3">
        <v>0.05</v>
      </c>
      <c r="K946" t="s">
        <v>37</v>
      </c>
      <c r="L946">
        <v>1959.7739999999999</v>
      </c>
      <c r="M946" t="s">
        <v>45</v>
      </c>
      <c r="N946" t="s">
        <v>50</v>
      </c>
      <c r="O946">
        <v>0</v>
      </c>
      <c r="P946" t="s">
        <v>995</v>
      </c>
      <c r="Q946" t="s">
        <v>2445</v>
      </c>
      <c r="R946">
        <v>34.36</v>
      </c>
      <c r="S946" s="5">
        <v>45649</v>
      </c>
      <c r="T946" s="5">
        <v>45659</v>
      </c>
      <c r="U946" t="s">
        <v>2925</v>
      </c>
    </row>
    <row r="947" spans="1:21" x14ac:dyDescent="0.25">
      <c r="A947" s="5">
        <v>44955</v>
      </c>
      <c r="B947" s="7">
        <f>Table1[[#This Row],[TotalPrice]] * (1 - Table1[[#This Row],[Discount]])</f>
        <v>8221.7388999999985</v>
      </c>
      <c r="C947" s="7">
        <f>Table1[[#This Row],[Net Sales]] * 0.2</f>
        <v>1644.3477799999998</v>
      </c>
      <c r="D947" t="s">
        <v>22</v>
      </c>
      <c r="E947" t="s">
        <v>24</v>
      </c>
      <c r="F947">
        <v>17</v>
      </c>
      <c r="G947">
        <v>535.88</v>
      </c>
      <c r="H947" t="s">
        <v>32</v>
      </c>
      <c r="I947" t="s">
        <v>35</v>
      </c>
      <c r="J947" s="3">
        <v>0.05</v>
      </c>
      <c r="K947" t="s">
        <v>42</v>
      </c>
      <c r="L947">
        <v>8654.4619999999995</v>
      </c>
      <c r="M947" t="s">
        <v>44</v>
      </c>
      <c r="O947">
        <v>0</v>
      </c>
      <c r="P947" t="s">
        <v>996</v>
      </c>
      <c r="Q947" t="s">
        <v>2446</v>
      </c>
      <c r="R947">
        <v>26.12</v>
      </c>
      <c r="S947" s="5">
        <v>44955</v>
      </c>
      <c r="T947" s="5">
        <v>44965</v>
      </c>
      <c r="U947" t="s">
        <v>2925</v>
      </c>
    </row>
    <row r="948" spans="1:21" x14ac:dyDescent="0.25">
      <c r="A948" s="5">
        <v>45515</v>
      </c>
      <c r="B948" s="7">
        <f>Table1[[#This Row],[TotalPrice]] * (1 - Table1[[#This Row],[Discount]])</f>
        <v>2687.2478999999998</v>
      </c>
      <c r="C948" s="7">
        <f>Table1[[#This Row],[Net Sales]] * 0.2</f>
        <v>537.44957999999997</v>
      </c>
      <c r="D948" t="s">
        <v>23</v>
      </c>
      <c r="E948" t="s">
        <v>27</v>
      </c>
      <c r="F948">
        <v>12</v>
      </c>
      <c r="G948">
        <v>248.13</v>
      </c>
      <c r="H948" t="s">
        <v>32</v>
      </c>
      <c r="I948" t="s">
        <v>36</v>
      </c>
      <c r="J948" s="3">
        <v>0.05</v>
      </c>
      <c r="K948" t="s">
        <v>38</v>
      </c>
      <c r="L948">
        <v>2828.6819999999998</v>
      </c>
      <c r="M948" t="s">
        <v>47</v>
      </c>
      <c r="N948" t="s">
        <v>48</v>
      </c>
      <c r="O948">
        <v>0</v>
      </c>
      <c r="P948" t="s">
        <v>997</v>
      </c>
      <c r="Q948" t="s">
        <v>2447</v>
      </c>
      <c r="R948">
        <v>26.03</v>
      </c>
      <c r="S948" s="5">
        <v>45515</v>
      </c>
      <c r="T948" s="5">
        <v>45521</v>
      </c>
      <c r="U948" t="s">
        <v>2926</v>
      </c>
    </row>
    <row r="949" spans="1:21" x14ac:dyDescent="0.25">
      <c r="A949" s="5">
        <v>45255</v>
      </c>
      <c r="B949" s="7">
        <f>Table1[[#This Row],[TotalPrice]] * (1 - Table1[[#This Row],[Discount]])</f>
        <v>964.2</v>
      </c>
      <c r="C949" s="7">
        <f>Table1[[#This Row],[Net Sales]] * 0.2</f>
        <v>192.84000000000003</v>
      </c>
      <c r="D949" t="s">
        <v>21</v>
      </c>
      <c r="E949" t="s">
        <v>25</v>
      </c>
      <c r="F949">
        <v>2</v>
      </c>
      <c r="G949">
        <v>482.1</v>
      </c>
      <c r="H949" t="s">
        <v>33</v>
      </c>
      <c r="I949" t="s">
        <v>36</v>
      </c>
      <c r="J949" s="3">
        <v>0</v>
      </c>
      <c r="K949" t="s">
        <v>40</v>
      </c>
      <c r="L949">
        <v>964.2</v>
      </c>
      <c r="M949" t="s">
        <v>43</v>
      </c>
      <c r="N949" t="s">
        <v>48</v>
      </c>
      <c r="O949">
        <v>0</v>
      </c>
      <c r="P949" t="s">
        <v>998</v>
      </c>
      <c r="Q949" t="s">
        <v>2448</v>
      </c>
      <c r="R949">
        <v>45.35</v>
      </c>
      <c r="S949" s="5">
        <v>45255</v>
      </c>
      <c r="T949" s="5">
        <v>45260</v>
      </c>
      <c r="U949" t="s">
        <v>2924</v>
      </c>
    </row>
    <row r="950" spans="1:21" x14ac:dyDescent="0.25">
      <c r="A950" s="5">
        <v>45720</v>
      </c>
      <c r="B950" s="7">
        <f>Table1[[#This Row],[TotalPrice]] * (1 - Table1[[#This Row],[Discount]])</f>
        <v>5569.7058000000006</v>
      </c>
      <c r="C950" s="7">
        <f>Table1[[#This Row],[Net Sales]] * 0.2</f>
        <v>1113.9411600000001</v>
      </c>
      <c r="D950" t="s">
        <v>21</v>
      </c>
      <c r="E950" t="s">
        <v>28</v>
      </c>
      <c r="F950">
        <v>18</v>
      </c>
      <c r="G950">
        <v>382.01</v>
      </c>
      <c r="H950" t="s">
        <v>34</v>
      </c>
      <c r="I950" t="s">
        <v>35</v>
      </c>
      <c r="J950" s="3">
        <v>0.1</v>
      </c>
      <c r="K950" t="s">
        <v>38</v>
      </c>
      <c r="L950">
        <v>6188.5620000000008</v>
      </c>
      <c r="M950" t="s">
        <v>43</v>
      </c>
      <c r="N950" t="s">
        <v>49</v>
      </c>
      <c r="O950">
        <v>0</v>
      </c>
      <c r="P950" t="s">
        <v>999</v>
      </c>
      <c r="Q950" t="s">
        <v>2449</v>
      </c>
      <c r="R950">
        <v>36.549999999999997</v>
      </c>
      <c r="S950" s="5">
        <v>45720</v>
      </c>
      <c r="T950" s="5">
        <v>45724</v>
      </c>
      <c r="U950" t="s">
        <v>2924</v>
      </c>
    </row>
    <row r="951" spans="1:21" x14ac:dyDescent="0.25">
      <c r="A951" s="5">
        <v>45709</v>
      </c>
      <c r="B951" s="7">
        <f>Table1[[#This Row],[TotalPrice]] * (1 - Table1[[#This Row],[Discount]])</f>
        <v>1767.74</v>
      </c>
      <c r="C951" s="7">
        <f>Table1[[#This Row],[Net Sales]] * 0.2</f>
        <v>353.548</v>
      </c>
      <c r="D951" t="s">
        <v>21</v>
      </c>
      <c r="E951" t="s">
        <v>25</v>
      </c>
      <c r="F951">
        <v>13</v>
      </c>
      <c r="G951">
        <v>135.97999999999999</v>
      </c>
      <c r="H951" t="s">
        <v>33</v>
      </c>
      <c r="I951" t="s">
        <v>35</v>
      </c>
      <c r="J951" s="3">
        <v>0</v>
      </c>
      <c r="K951" t="s">
        <v>39</v>
      </c>
      <c r="L951">
        <v>1767.74</v>
      </c>
      <c r="M951" t="s">
        <v>43</v>
      </c>
      <c r="N951" t="s">
        <v>50</v>
      </c>
      <c r="O951">
        <v>0</v>
      </c>
      <c r="P951" t="s">
        <v>1000</v>
      </c>
      <c r="Q951" t="s">
        <v>2302</v>
      </c>
      <c r="R951">
        <v>28.35</v>
      </c>
      <c r="S951" s="5">
        <v>45709</v>
      </c>
      <c r="T951" s="5">
        <v>45717</v>
      </c>
      <c r="U951" t="s">
        <v>2924</v>
      </c>
    </row>
    <row r="952" spans="1:21" x14ac:dyDescent="0.25">
      <c r="A952" s="5">
        <v>45714</v>
      </c>
      <c r="B952" s="7">
        <f>Table1[[#This Row],[TotalPrice]] * (1 - Table1[[#This Row],[Discount]])</f>
        <v>5062.8599999999997</v>
      </c>
      <c r="C952" s="7">
        <f>Table1[[#This Row],[Net Sales]] * 0.2</f>
        <v>1012.572</v>
      </c>
      <c r="D952" t="s">
        <v>19</v>
      </c>
      <c r="E952" t="s">
        <v>26</v>
      </c>
      <c r="F952">
        <v>9</v>
      </c>
      <c r="G952">
        <v>562.54</v>
      </c>
      <c r="H952" t="s">
        <v>32</v>
      </c>
      <c r="I952" t="s">
        <v>35</v>
      </c>
      <c r="J952" s="3">
        <v>0</v>
      </c>
      <c r="K952" t="s">
        <v>38</v>
      </c>
      <c r="L952">
        <v>5062.8599999999997</v>
      </c>
      <c r="M952" t="s">
        <v>45</v>
      </c>
      <c r="N952" t="s">
        <v>48</v>
      </c>
      <c r="O952">
        <v>0</v>
      </c>
      <c r="P952" t="s">
        <v>1001</v>
      </c>
      <c r="Q952" t="s">
        <v>2450</v>
      </c>
      <c r="R952">
        <v>30.27</v>
      </c>
      <c r="S952" s="5">
        <v>45714</v>
      </c>
      <c r="T952" s="5">
        <v>45716</v>
      </c>
      <c r="U952" t="s">
        <v>2922</v>
      </c>
    </row>
    <row r="953" spans="1:21" x14ac:dyDescent="0.25">
      <c r="A953" s="5">
        <v>45380</v>
      </c>
      <c r="B953" s="7">
        <f>Table1[[#This Row],[TotalPrice]] * (1 - Table1[[#This Row],[Discount]])</f>
        <v>3056.88</v>
      </c>
      <c r="C953" s="7">
        <f>Table1[[#This Row],[Net Sales]] * 0.2</f>
        <v>611.37600000000009</v>
      </c>
      <c r="D953" t="s">
        <v>19</v>
      </c>
      <c r="E953" t="s">
        <v>28</v>
      </c>
      <c r="F953">
        <v>6</v>
      </c>
      <c r="G953">
        <v>509.48</v>
      </c>
      <c r="H953" t="s">
        <v>31</v>
      </c>
      <c r="I953" t="s">
        <v>35</v>
      </c>
      <c r="J953" s="3">
        <v>0</v>
      </c>
      <c r="K953" t="s">
        <v>38</v>
      </c>
      <c r="L953">
        <v>3056.88</v>
      </c>
      <c r="M953" t="s">
        <v>46</v>
      </c>
      <c r="N953" t="s">
        <v>50</v>
      </c>
      <c r="O953">
        <v>0</v>
      </c>
      <c r="P953" t="s">
        <v>1002</v>
      </c>
      <c r="Q953" t="s">
        <v>2451</v>
      </c>
      <c r="R953">
        <v>35.92</v>
      </c>
      <c r="S953" s="5">
        <v>45380</v>
      </c>
      <c r="T953" s="5">
        <v>45388</v>
      </c>
      <c r="U953" t="s">
        <v>2922</v>
      </c>
    </row>
    <row r="954" spans="1:21" x14ac:dyDescent="0.25">
      <c r="A954" s="5">
        <v>45805</v>
      </c>
      <c r="B954" s="7">
        <f>Table1[[#This Row],[TotalPrice]] * (1 - Table1[[#This Row],[Discount]])</f>
        <v>1410.27</v>
      </c>
      <c r="C954" s="7">
        <f>Table1[[#This Row],[Net Sales]] * 0.2</f>
        <v>282.05400000000003</v>
      </c>
      <c r="D954" t="s">
        <v>23</v>
      </c>
      <c r="E954" t="s">
        <v>26</v>
      </c>
      <c r="F954">
        <v>3</v>
      </c>
      <c r="G954">
        <v>470.09</v>
      </c>
      <c r="H954" t="s">
        <v>31</v>
      </c>
      <c r="I954" t="s">
        <v>35</v>
      </c>
      <c r="J954" s="3">
        <v>0</v>
      </c>
      <c r="K954" t="s">
        <v>37</v>
      </c>
      <c r="L954">
        <v>1410.27</v>
      </c>
      <c r="M954" t="s">
        <v>44</v>
      </c>
      <c r="O954">
        <v>0</v>
      </c>
      <c r="P954" t="s">
        <v>1003</v>
      </c>
      <c r="Q954" t="s">
        <v>2452</v>
      </c>
      <c r="R954">
        <v>38.29</v>
      </c>
      <c r="S954" s="5">
        <v>45805</v>
      </c>
      <c r="T954" s="5">
        <v>45809</v>
      </c>
      <c r="U954" t="s">
        <v>2926</v>
      </c>
    </row>
    <row r="955" spans="1:21" x14ac:dyDescent="0.25">
      <c r="A955" s="5">
        <v>45436</v>
      </c>
      <c r="B955" s="7">
        <f>Table1[[#This Row],[TotalPrice]] * (1 - Table1[[#This Row],[Discount]])</f>
        <v>2808</v>
      </c>
      <c r="C955" s="7">
        <f>Table1[[#This Row],[Net Sales]] * 0.2</f>
        <v>561.6</v>
      </c>
      <c r="D955" t="s">
        <v>23</v>
      </c>
      <c r="E955" t="s">
        <v>30</v>
      </c>
      <c r="F955">
        <v>10</v>
      </c>
      <c r="G955">
        <v>280.8</v>
      </c>
      <c r="H955" t="s">
        <v>33</v>
      </c>
      <c r="I955" t="s">
        <v>36</v>
      </c>
      <c r="J955" s="3">
        <v>0</v>
      </c>
      <c r="K955" t="s">
        <v>38</v>
      </c>
      <c r="L955">
        <v>2808</v>
      </c>
      <c r="M955" t="s">
        <v>45</v>
      </c>
      <c r="N955" t="s">
        <v>49</v>
      </c>
      <c r="O955">
        <v>0</v>
      </c>
      <c r="P955" t="s">
        <v>1004</v>
      </c>
      <c r="Q955" t="s">
        <v>2453</v>
      </c>
      <c r="R955">
        <v>49.98</v>
      </c>
      <c r="S955" s="5">
        <v>45436</v>
      </c>
      <c r="T955" s="5">
        <v>45442</v>
      </c>
      <c r="U955" t="s">
        <v>2926</v>
      </c>
    </row>
    <row r="956" spans="1:21" x14ac:dyDescent="0.25">
      <c r="A956" s="5">
        <v>45058</v>
      </c>
      <c r="B956" s="7">
        <f>Table1[[#This Row],[TotalPrice]] * (1 - Table1[[#This Row],[Discount]])</f>
        <v>1832.9247</v>
      </c>
      <c r="C956" s="7">
        <f>Table1[[#This Row],[Net Sales]] * 0.2</f>
        <v>366.58494000000002</v>
      </c>
      <c r="D956" t="s">
        <v>20</v>
      </c>
      <c r="E956" t="s">
        <v>27</v>
      </c>
      <c r="F956">
        <v>9</v>
      </c>
      <c r="G956">
        <v>251.43</v>
      </c>
      <c r="H956" t="s">
        <v>33</v>
      </c>
      <c r="I956" t="s">
        <v>36</v>
      </c>
      <c r="J956" s="3">
        <v>0.1</v>
      </c>
      <c r="K956" t="s">
        <v>39</v>
      </c>
      <c r="L956">
        <v>2036.5830000000001</v>
      </c>
      <c r="M956" t="s">
        <v>45</v>
      </c>
      <c r="O956">
        <v>0</v>
      </c>
      <c r="P956" t="s">
        <v>1005</v>
      </c>
      <c r="Q956" t="s">
        <v>2454</v>
      </c>
      <c r="R956">
        <v>22.57</v>
      </c>
      <c r="S956" s="5">
        <v>45058</v>
      </c>
      <c r="T956" s="5">
        <v>45063</v>
      </c>
      <c r="U956" t="s">
        <v>2923</v>
      </c>
    </row>
    <row r="957" spans="1:21" x14ac:dyDescent="0.25">
      <c r="A957" s="5">
        <v>45210</v>
      </c>
      <c r="B957" s="7">
        <f>Table1[[#This Row],[TotalPrice]] * (1 - Table1[[#This Row],[Discount]])</f>
        <v>1179.9292</v>
      </c>
      <c r="C957" s="7">
        <f>Table1[[#This Row],[Net Sales]] * 0.2</f>
        <v>235.98584000000002</v>
      </c>
      <c r="D957" t="s">
        <v>20</v>
      </c>
      <c r="E957" t="s">
        <v>25</v>
      </c>
      <c r="F957">
        <v>4</v>
      </c>
      <c r="G957">
        <v>408.28</v>
      </c>
      <c r="H957" t="s">
        <v>32</v>
      </c>
      <c r="I957" t="s">
        <v>36</v>
      </c>
      <c r="J957" s="3">
        <v>0.15</v>
      </c>
      <c r="K957" t="s">
        <v>38</v>
      </c>
      <c r="L957">
        <v>1388.152</v>
      </c>
      <c r="M957" t="s">
        <v>47</v>
      </c>
      <c r="N957" t="s">
        <v>50</v>
      </c>
      <c r="O957">
        <v>0</v>
      </c>
      <c r="P957" t="s">
        <v>1006</v>
      </c>
      <c r="Q957" t="s">
        <v>2235</v>
      </c>
      <c r="R957">
        <v>5.38</v>
      </c>
      <c r="S957" s="5">
        <v>45210</v>
      </c>
      <c r="T957" s="5">
        <v>45214</v>
      </c>
      <c r="U957" t="s">
        <v>2923</v>
      </c>
    </row>
    <row r="958" spans="1:21" x14ac:dyDescent="0.25">
      <c r="A958" s="5">
        <v>45316</v>
      </c>
      <c r="B958" s="7">
        <f>Table1[[#This Row],[TotalPrice]] * (1 - Table1[[#This Row],[Discount]])</f>
        <v>39.63635</v>
      </c>
      <c r="C958" s="7">
        <f>Table1[[#This Row],[Net Sales]] * 0.2</f>
        <v>7.92727</v>
      </c>
      <c r="D958" t="s">
        <v>21</v>
      </c>
      <c r="E958" t="s">
        <v>30</v>
      </c>
      <c r="F958">
        <v>2</v>
      </c>
      <c r="G958">
        <v>27.43</v>
      </c>
      <c r="H958" t="s">
        <v>31</v>
      </c>
      <c r="I958" t="s">
        <v>36</v>
      </c>
      <c r="J958" s="3">
        <v>0.15</v>
      </c>
      <c r="K958" t="s">
        <v>39</v>
      </c>
      <c r="L958">
        <v>46.631</v>
      </c>
      <c r="M958" t="s">
        <v>43</v>
      </c>
      <c r="N958" t="s">
        <v>50</v>
      </c>
      <c r="O958">
        <v>0</v>
      </c>
      <c r="P958" t="s">
        <v>1007</v>
      </c>
      <c r="Q958" t="s">
        <v>2455</v>
      </c>
      <c r="R958">
        <v>6.15</v>
      </c>
      <c r="S958" s="5">
        <v>45316</v>
      </c>
      <c r="T958" s="5">
        <v>45323</v>
      </c>
      <c r="U958" t="s">
        <v>2924</v>
      </c>
    </row>
    <row r="959" spans="1:21" x14ac:dyDescent="0.25">
      <c r="A959" s="5">
        <v>44960</v>
      </c>
      <c r="B959" s="7">
        <f>Table1[[#This Row],[TotalPrice]] * (1 - Table1[[#This Row],[Discount]])</f>
        <v>2866.5252</v>
      </c>
      <c r="C959" s="7">
        <f>Table1[[#This Row],[Net Sales]] * 0.2</f>
        <v>573.30504000000008</v>
      </c>
      <c r="D959" t="s">
        <v>19</v>
      </c>
      <c r="E959" t="s">
        <v>25</v>
      </c>
      <c r="F959">
        <v>11</v>
      </c>
      <c r="G959">
        <v>321.72000000000003</v>
      </c>
      <c r="H959" t="s">
        <v>32</v>
      </c>
      <c r="I959" t="s">
        <v>36</v>
      </c>
      <c r="J959" s="3">
        <v>0.1</v>
      </c>
      <c r="K959" t="s">
        <v>40</v>
      </c>
      <c r="L959">
        <v>3185.0279999999998</v>
      </c>
      <c r="M959" t="s">
        <v>43</v>
      </c>
      <c r="N959" t="s">
        <v>50</v>
      </c>
      <c r="O959">
        <v>1</v>
      </c>
      <c r="P959" t="s">
        <v>1008</v>
      </c>
      <c r="Q959" t="s">
        <v>2456</v>
      </c>
      <c r="R959">
        <v>17.940000000000001</v>
      </c>
      <c r="S959" s="5">
        <v>44960</v>
      </c>
      <c r="T959" s="5">
        <v>44963</v>
      </c>
      <c r="U959" t="s">
        <v>2922</v>
      </c>
    </row>
    <row r="960" spans="1:21" x14ac:dyDescent="0.25">
      <c r="A960" s="5">
        <v>45481</v>
      </c>
      <c r="B960" s="7">
        <f>Table1[[#This Row],[TotalPrice]] * (1 - Table1[[#This Row],[Discount]])</f>
        <v>754.596</v>
      </c>
      <c r="C960" s="7">
        <f>Table1[[#This Row],[Net Sales]] * 0.2</f>
        <v>150.91920000000002</v>
      </c>
      <c r="D960" t="s">
        <v>21</v>
      </c>
      <c r="E960" t="s">
        <v>26</v>
      </c>
      <c r="F960">
        <v>5</v>
      </c>
      <c r="G960">
        <v>186.32</v>
      </c>
      <c r="H960" t="s">
        <v>32</v>
      </c>
      <c r="I960" t="s">
        <v>35</v>
      </c>
      <c r="J960" s="3">
        <v>0.1</v>
      </c>
      <c r="K960" t="s">
        <v>40</v>
      </c>
      <c r="L960">
        <v>838.43999999999994</v>
      </c>
      <c r="M960" t="s">
        <v>44</v>
      </c>
      <c r="N960" t="s">
        <v>50</v>
      </c>
      <c r="O960">
        <v>0</v>
      </c>
      <c r="P960" t="s">
        <v>1009</v>
      </c>
      <c r="Q960" t="s">
        <v>1675</v>
      </c>
      <c r="R960">
        <v>17.09</v>
      </c>
      <c r="S960" s="5">
        <v>45481</v>
      </c>
      <c r="T960" s="5">
        <v>45487</v>
      </c>
      <c r="U960" t="s">
        <v>2924</v>
      </c>
    </row>
    <row r="961" spans="1:21" x14ac:dyDescent="0.25">
      <c r="A961" s="5">
        <v>45808</v>
      </c>
      <c r="B961" s="7">
        <f>Table1[[#This Row],[TotalPrice]] * (1 - Table1[[#This Row],[Discount]])</f>
        <v>1170.8399999999999</v>
      </c>
      <c r="C961" s="7">
        <f>Table1[[#This Row],[Net Sales]] * 0.2</f>
        <v>234.16800000000001</v>
      </c>
      <c r="D961" t="s">
        <v>20</v>
      </c>
      <c r="E961" t="s">
        <v>28</v>
      </c>
      <c r="F961">
        <v>3</v>
      </c>
      <c r="G961">
        <v>390.28</v>
      </c>
      <c r="H961" t="s">
        <v>31</v>
      </c>
      <c r="I961" t="s">
        <v>36</v>
      </c>
      <c r="J961" s="3">
        <v>0</v>
      </c>
      <c r="K961" t="s">
        <v>39</v>
      </c>
      <c r="L961">
        <v>1170.8399999999999</v>
      </c>
      <c r="M961" t="s">
        <v>43</v>
      </c>
      <c r="N961" t="s">
        <v>50</v>
      </c>
      <c r="O961">
        <v>1</v>
      </c>
      <c r="P961" t="s">
        <v>1010</v>
      </c>
      <c r="Q961" t="s">
        <v>2457</v>
      </c>
      <c r="R961">
        <v>45.22</v>
      </c>
      <c r="S961" s="5">
        <v>45808</v>
      </c>
      <c r="T961" s="5">
        <v>45818</v>
      </c>
      <c r="U961" t="s">
        <v>2923</v>
      </c>
    </row>
    <row r="962" spans="1:21" x14ac:dyDescent="0.25">
      <c r="A962" s="5">
        <v>45239</v>
      </c>
      <c r="B962" s="7">
        <f>Table1[[#This Row],[TotalPrice]] * (1 - Table1[[#This Row],[Discount]])</f>
        <v>1642.7482499999999</v>
      </c>
      <c r="C962" s="7">
        <f>Table1[[#This Row],[Net Sales]] * 0.2</f>
        <v>328.54964999999999</v>
      </c>
      <c r="D962" t="s">
        <v>20</v>
      </c>
      <c r="E962" t="s">
        <v>28</v>
      </c>
      <c r="F962">
        <v>13</v>
      </c>
      <c r="G962">
        <v>174.9</v>
      </c>
      <c r="H962" t="s">
        <v>32</v>
      </c>
      <c r="I962" t="s">
        <v>35</v>
      </c>
      <c r="J962" s="3">
        <v>0.15</v>
      </c>
      <c r="K962" t="s">
        <v>40</v>
      </c>
      <c r="L962">
        <v>1932.645</v>
      </c>
      <c r="M962" t="s">
        <v>43</v>
      </c>
      <c r="N962" t="s">
        <v>50</v>
      </c>
      <c r="O962">
        <v>0</v>
      </c>
      <c r="P962" t="s">
        <v>1011</v>
      </c>
      <c r="Q962" t="s">
        <v>2458</v>
      </c>
      <c r="R962">
        <v>31.26</v>
      </c>
      <c r="S962" s="5">
        <v>45239</v>
      </c>
      <c r="T962" s="5">
        <v>45242</v>
      </c>
      <c r="U962" t="s">
        <v>2923</v>
      </c>
    </row>
    <row r="963" spans="1:21" x14ac:dyDescent="0.25">
      <c r="A963" s="5">
        <v>45113</v>
      </c>
      <c r="B963" s="7">
        <f>Table1[[#This Row],[TotalPrice]] * (1 - Table1[[#This Row],[Discount]])</f>
        <v>2715.9623999999999</v>
      </c>
      <c r="C963" s="7">
        <f>Table1[[#This Row],[Net Sales]] * 0.2</f>
        <v>543.19248000000005</v>
      </c>
      <c r="D963" t="s">
        <v>21</v>
      </c>
      <c r="E963" t="s">
        <v>27</v>
      </c>
      <c r="F963">
        <v>8</v>
      </c>
      <c r="G963">
        <v>419.13</v>
      </c>
      <c r="H963" t="s">
        <v>32</v>
      </c>
      <c r="I963" t="s">
        <v>36</v>
      </c>
      <c r="J963" s="3">
        <v>0.1</v>
      </c>
      <c r="K963" t="s">
        <v>38</v>
      </c>
      <c r="L963">
        <v>3017.7359999999999</v>
      </c>
      <c r="M963" t="s">
        <v>43</v>
      </c>
      <c r="O963">
        <v>1</v>
      </c>
      <c r="P963" t="s">
        <v>1012</v>
      </c>
      <c r="Q963" t="s">
        <v>2459</v>
      </c>
      <c r="R963">
        <v>11.02</v>
      </c>
      <c r="S963" s="5">
        <v>45113</v>
      </c>
      <c r="T963" s="5">
        <v>45117</v>
      </c>
      <c r="U963" t="s">
        <v>2924</v>
      </c>
    </row>
    <row r="964" spans="1:21" x14ac:dyDescent="0.25">
      <c r="A964" s="5">
        <v>45121</v>
      </c>
      <c r="B964" s="7">
        <f>Table1[[#This Row],[TotalPrice]] * (1 - Table1[[#This Row],[Discount]])</f>
        <v>1403.52</v>
      </c>
      <c r="C964" s="7">
        <f>Table1[[#This Row],[Net Sales]] * 0.2</f>
        <v>280.70400000000001</v>
      </c>
      <c r="D964" t="s">
        <v>21</v>
      </c>
      <c r="E964" t="s">
        <v>27</v>
      </c>
      <c r="F964">
        <v>12</v>
      </c>
      <c r="G964">
        <v>116.96</v>
      </c>
      <c r="H964" t="s">
        <v>34</v>
      </c>
      <c r="I964" t="s">
        <v>35</v>
      </c>
      <c r="J964" s="3">
        <v>0</v>
      </c>
      <c r="K964" t="s">
        <v>38</v>
      </c>
      <c r="L964">
        <v>1403.52</v>
      </c>
      <c r="M964" t="s">
        <v>44</v>
      </c>
      <c r="N964" t="s">
        <v>50</v>
      </c>
      <c r="O964">
        <v>0</v>
      </c>
      <c r="P964" t="s">
        <v>1013</v>
      </c>
      <c r="Q964" t="s">
        <v>2460</v>
      </c>
      <c r="R964">
        <v>22.04</v>
      </c>
      <c r="S964" s="5">
        <v>45121</v>
      </c>
      <c r="T964" s="5">
        <v>45129</v>
      </c>
      <c r="U964" t="s">
        <v>2924</v>
      </c>
    </row>
    <row r="965" spans="1:21" x14ac:dyDescent="0.25">
      <c r="A965" s="5">
        <v>45243</v>
      </c>
      <c r="B965" s="7">
        <f>Table1[[#This Row],[TotalPrice]] * (1 - Table1[[#This Row],[Discount]])</f>
        <v>2884.3452000000002</v>
      </c>
      <c r="C965" s="7">
        <f>Table1[[#This Row],[Net Sales]] * 0.2</f>
        <v>576.86904000000004</v>
      </c>
      <c r="D965" t="s">
        <v>23</v>
      </c>
      <c r="E965" t="s">
        <v>27</v>
      </c>
      <c r="F965">
        <v>11</v>
      </c>
      <c r="G965">
        <v>323.72000000000003</v>
      </c>
      <c r="H965" t="s">
        <v>32</v>
      </c>
      <c r="I965" t="s">
        <v>35</v>
      </c>
      <c r="J965" s="3">
        <v>0.1</v>
      </c>
      <c r="K965" t="s">
        <v>42</v>
      </c>
      <c r="L965">
        <v>3204.828</v>
      </c>
      <c r="M965" t="s">
        <v>44</v>
      </c>
      <c r="N965" t="s">
        <v>50</v>
      </c>
      <c r="O965">
        <v>0</v>
      </c>
      <c r="P965" t="s">
        <v>1014</v>
      </c>
      <c r="Q965" t="s">
        <v>2461</v>
      </c>
      <c r="R965">
        <v>7.52</v>
      </c>
      <c r="S965" s="5">
        <v>45243</v>
      </c>
      <c r="T965" s="5">
        <v>45245</v>
      </c>
      <c r="U965" t="s">
        <v>2926</v>
      </c>
    </row>
    <row r="966" spans="1:21" x14ac:dyDescent="0.25">
      <c r="A966" s="5">
        <v>45690</v>
      </c>
      <c r="B966" s="7">
        <f>Table1[[#This Row],[TotalPrice]] * (1 - Table1[[#This Row],[Discount]])</f>
        <v>1543.6269749999999</v>
      </c>
      <c r="C966" s="7">
        <f>Table1[[#This Row],[Net Sales]] * 0.2</f>
        <v>308.72539499999999</v>
      </c>
      <c r="D966" t="s">
        <v>23</v>
      </c>
      <c r="E966" t="s">
        <v>29</v>
      </c>
      <c r="F966">
        <v>11</v>
      </c>
      <c r="G966">
        <v>155.49</v>
      </c>
      <c r="H966" t="s">
        <v>34</v>
      </c>
      <c r="I966" t="s">
        <v>36</v>
      </c>
      <c r="J966" s="3">
        <v>0.05</v>
      </c>
      <c r="K966" t="s">
        <v>39</v>
      </c>
      <c r="L966">
        <v>1624.8705</v>
      </c>
      <c r="M966" t="s">
        <v>47</v>
      </c>
      <c r="O966">
        <v>0</v>
      </c>
      <c r="P966" t="s">
        <v>1015</v>
      </c>
      <c r="Q966" t="s">
        <v>2462</v>
      </c>
      <c r="R966">
        <v>47.01</v>
      </c>
      <c r="S966" s="5">
        <v>45690</v>
      </c>
      <c r="T966" s="5">
        <v>45700</v>
      </c>
      <c r="U966" t="s">
        <v>2926</v>
      </c>
    </row>
    <row r="967" spans="1:21" x14ac:dyDescent="0.25">
      <c r="A967" s="5">
        <v>45418</v>
      </c>
      <c r="B967" s="7">
        <f>Table1[[#This Row],[TotalPrice]] * (1 - Table1[[#This Row],[Discount]])</f>
        <v>5404</v>
      </c>
      <c r="C967" s="7">
        <f>Table1[[#This Row],[Net Sales]] * 0.2</f>
        <v>1080.8</v>
      </c>
      <c r="D967" t="s">
        <v>20</v>
      </c>
      <c r="E967" t="s">
        <v>30</v>
      </c>
      <c r="F967">
        <v>20</v>
      </c>
      <c r="G967">
        <v>270.2</v>
      </c>
      <c r="H967" t="s">
        <v>32</v>
      </c>
      <c r="I967" t="s">
        <v>35</v>
      </c>
      <c r="J967" s="3">
        <v>0</v>
      </c>
      <c r="K967" t="s">
        <v>41</v>
      </c>
      <c r="L967">
        <v>5404</v>
      </c>
      <c r="M967" t="s">
        <v>45</v>
      </c>
      <c r="N967" t="s">
        <v>50</v>
      </c>
      <c r="O967">
        <v>0</v>
      </c>
      <c r="P967" t="s">
        <v>1016</v>
      </c>
      <c r="Q967" t="s">
        <v>2463</v>
      </c>
      <c r="R967">
        <v>6.8</v>
      </c>
      <c r="S967" s="5">
        <v>45418</v>
      </c>
      <c r="T967" s="5">
        <v>45427</v>
      </c>
      <c r="U967" t="s">
        <v>2923</v>
      </c>
    </row>
    <row r="968" spans="1:21" x14ac:dyDescent="0.25">
      <c r="A968" s="5">
        <v>45582</v>
      </c>
      <c r="B968" s="7">
        <f>Table1[[#This Row],[TotalPrice]] * (1 - Table1[[#This Row],[Discount]])</f>
        <v>5857.2719999999999</v>
      </c>
      <c r="C968" s="7">
        <f>Table1[[#This Row],[Net Sales]] * 0.2</f>
        <v>1171.4544000000001</v>
      </c>
      <c r="D968" t="s">
        <v>20</v>
      </c>
      <c r="E968" t="s">
        <v>30</v>
      </c>
      <c r="F968">
        <v>15</v>
      </c>
      <c r="G968">
        <v>482.08</v>
      </c>
      <c r="H968" t="s">
        <v>34</v>
      </c>
      <c r="I968" t="s">
        <v>36</v>
      </c>
      <c r="J968" s="3">
        <v>0.1</v>
      </c>
      <c r="K968" t="s">
        <v>37</v>
      </c>
      <c r="L968">
        <v>6508.08</v>
      </c>
      <c r="M968" t="s">
        <v>46</v>
      </c>
      <c r="N968" t="s">
        <v>48</v>
      </c>
      <c r="O968">
        <v>1</v>
      </c>
      <c r="P968" t="s">
        <v>1017</v>
      </c>
      <c r="Q968" t="s">
        <v>2139</v>
      </c>
      <c r="R968">
        <v>13.35</v>
      </c>
      <c r="S968" s="5">
        <v>45582</v>
      </c>
      <c r="T968" s="5">
        <v>45584</v>
      </c>
      <c r="U968" t="s">
        <v>2923</v>
      </c>
    </row>
    <row r="969" spans="1:21" x14ac:dyDescent="0.25">
      <c r="A969" s="5">
        <v>45686</v>
      </c>
      <c r="B969" s="7">
        <f>Table1[[#This Row],[TotalPrice]] * (1 - Table1[[#This Row],[Discount]])</f>
        <v>3844.7540999999997</v>
      </c>
      <c r="C969" s="7">
        <f>Table1[[#This Row],[Net Sales]] * 0.2</f>
        <v>768.95082000000002</v>
      </c>
      <c r="D969" t="s">
        <v>21</v>
      </c>
      <c r="E969" t="s">
        <v>24</v>
      </c>
      <c r="F969">
        <v>11</v>
      </c>
      <c r="G969">
        <v>431.51</v>
      </c>
      <c r="H969" t="s">
        <v>33</v>
      </c>
      <c r="I969" t="s">
        <v>35</v>
      </c>
      <c r="J969" s="3">
        <v>0.1</v>
      </c>
      <c r="K969" t="s">
        <v>40</v>
      </c>
      <c r="L969">
        <v>4271.9489999999996</v>
      </c>
      <c r="M969" t="s">
        <v>46</v>
      </c>
      <c r="N969" t="s">
        <v>49</v>
      </c>
      <c r="O969">
        <v>0</v>
      </c>
      <c r="P969" t="s">
        <v>1018</v>
      </c>
      <c r="Q969" t="s">
        <v>2464</v>
      </c>
      <c r="R969">
        <v>22.83</v>
      </c>
      <c r="S969" s="5">
        <v>45686</v>
      </c>
      <c r="T969" s="5">
        <v>45693</v>
      </c>
      <c r="U969" t="s">
        <v>2924</v>
      </c>
    </row>
    <row r="970" spans="1:21" x14ac:dyDescent="0.25">
      <c r="A970" s="5">
        <v>45739</v>
      </c>
      <c r="B970" s="7">
        <f>Table1[[#This Row],[TotalPrice]] * (1 - Table1[[#This Row],[Discount]])</f>
        <v>1513.8</v>
      </c>
      <c r="C970" s="7">
        <f>Table1[[#This Row],[Net Sales]] * 0.2</f>
        <v>302.76</v>
      </c>
      <c r="D970" t="s">
        <v>22</v>
      </c>
      <c r="E970" t="s">
        <v>27</v>
      </c>
      <c r="F970">
        <v>5</v>
      </c>
      <c r="G970">
        <v>302.76</v>
      </c>
      <c r="H970" t="s">
        <v>34</v>
      </c>
      <c r="I970" t="s">
        <v>35</v>
      </c>
      <c r="J970" s="3">
        <v>0</v>
      </c>
      <c r="K970" t="s">
        <v>40</v>
      </c>
      <c r="L970">
        <v>1513.8</v>
      </c>
      <c r="M970" t="s">
        <v>44</v>
      </c>
      <c r="N970" t="s">
        <v>48</v>
      </c>
      <c r="O970">
        <v>1</v>
      </c>
      <c r="P970" t="s">
        <v>1019</v>
      </c>
      <c r="Q970" t="s">
        <v>2465</v>
      </c>
      <c r="R970">
        <v>46.69</v>
      </c>
      <c r="S970" s="5">
        <v>45739</v>
      </c>
      <c r="T970" s="5">
        <v>45745</v>
      </c>
      <c r="U970" t="s">
        <v>2925</v>
      </c>
    </row>
    <row r="971" spans="1:21" x14ac:dyDescent="0.25">
      <c r="A971" s="5">
        <v>45393</v>
      </c>
      <c r="B971" s="7">
        <f>Table1[[#This Row],[TotalPrice]] * (1 - Table1[[#This Row],[Discount]])</f>
        <v>6553.48</v>
      </c>
      <c r="C971" s="7">
        <f>Table1[[#This Row],[Net Sales]] * 0.2</f>
        <v>1310.6959999999999</v>
      </c>
      <c r="D971" t="s">
        <v>23</v>
      </c>
      <c r="E971" t="s">
        <v>27</v>
      </c>
      <c r="F971">
        <v>19</v>
      </c>
      <c r="G971">
        <v>344.92</v>
      </c>
      <c r="H971" t="s">
        <v>33</v>
      </c>
      <c r="I971" t="s">
        <v>35</v>
      </c>
      <c r="J971" s="3">
        <v>0</v>
      </c>
      <c r="K971" t="s">
        <v>37</v>
      </c>
      <c r="L971">
        <v>6553.48</v>
      </c>
      <c r="M971" t="s">
        <v>47</v>
      </c>
      <c r="N971" t="s">
        <v>50</v>
      </c>
      <c r="O971">
        <v>0</v>
      </c>
      <c r="P971" t="s">
        <v>1020</v>
      </c>
      <c r="Q971" t="s">
        <v>2466</v>
      </c>
      <c r="R971">
        <v>6.91</v>
      </c>
      <c r="S971" s="5">
        <v>45393</v>
      </c>
      <c r="T971" s="5">
        <v>45402</v>
      </c>
      <c r="U971" t="s">
        <v>2926</v>
      </c>
    </row>
    <row r="972" spans="1:21" x14ac:dyDescent="0.25">
      <c r="A972" s="5">
        <v>45415</v>
      </c>
      <c r="B972" s="7">
        <f>Table1[[#This Row],[TotalPrice]] * (1 - Table1[[#This Row],[Discount]])</f>
        <v>2899.9782</v>
      </c>
      <c r="C972" s="7">
        <f>Table1[[#This Row],[Net Sales]] * 0.2</f>
        <v>579.99563999999998</v>
      </c>
      <c r="D972" t="s">
        <v>22</v>
      </c>
      <c r="E972" t="s">
        <v>27</v>
      </c>
      <c r="F972">
        <v>7</v>
      </c>
      <c r="G972">
        <v>511.46</v>
      </c>
      <c r="H972" t="s">
        <v>33</v>
      </c>
      <c r="I972" t="s">
        <v>36</v>
      </c>
      <c r="J972" s="3">
        <v>0.1</v>
      </c>
      <c r="K972" t="s">
        <v>37</v>
      </c>
      <c r="L972">
        <v>3222.1979999999999</v>
      </c>
      <c r="M972" t="s">
        <v>47</v>
      </c>
      <c r="N972" t="s">
        <v>48</v>
      </c>
      <c r="O972">
        <v>0</v>
      </c>
      <c r="P972" t="s">
        <v>1021</v>
      </c>
      <c r="Q972" t="s">
        <v>2467</v>
      </c>
      <c r="R972">
        <v>19.2</v>
      </c>
      <c r="S972" s="5">
        <v>45415</v>
      </c>
      <c r="T972" s="5">
        <v>45424</v>
      </c>
      <c r="U972" t="s">
        <v>2925</v>
      </c>
    </row>
    <row r="973" spans="1:21" x14ac:dyDescent="0.25">
      <c r="A973" s="5">
        <v>45579</v>
      </c>
      <c r="B973" s="7">
        <f>Table1[[#This Row],[TotalPrice]] * (1 - Table1[[#This Row],[Discount]])</f>
        <v>761.65949999999998</v>
      </c>
      <c r="C973" s="7">
        <f>Table1[[#This Row],[Net Sales]] * 0.2</f>
        <v>152.33189999999999</v>
      </c>
      <c r="D973" t="s">
        <v>19</v>
      </c>
      <c r="E973" t="s">
        <v>28</v>
      </c>
      <c r="F973">
        <v>7</v>
      </c>
      <c r="G973">
        <v>150.6</v>
      </c>
      <c r="H973" t="s">
        <v>32</v>
      </c>
      <c r="I973" t="s">
        <v>35</v>
      </c>
      <c r="J973" s="3">
        <v>0.15</v>
      </c>
      <c r="K973" t="s">
        <v>42</v>
      </c>
      <c r="L973">
        <v>896.07</v>
      </c>
      <c r="M973" t="s">
        <v>47</v>
      </c>
      <c r="N973" t="s">
        <v>50</v>
      </c>
      <c r="O973">
        <v>1</v>
      </c>
      <c r="P973" t="s">
        <v>1022</v>
      </c>
      <c r="Q973" t="s">
        <v>2468</v>
      </c>
      <c r="R973">
        <v>15.52</v>
      </c>
      <c r="S973" s="5">
        <v>45579</v>
      </c>
      <c r="T973" s="5">
        <v>45586</v>
      </c>
      <c r="U973" t="s">
        <v>2922</v>
      </c>
    </row>
    <row r="974" spans="1:21" x14ac:dyDescent="0.25">
      <c r="A974" s="5">
        <v>45330</v>
      </c>
      <c r="B974" s="7">
        <f>Table1[[#This Row],[TotalPrice]] * (1 - Table1[[#This Row],[Discount]])</f>
        <v>913.35559999999998</v>
      </c>
      <c r="C974" s="7">
        <f>Table1[[#This Row],[Net Sales]] * 0.2</f>
        <v>182.67112</v>
      </c>
      <c r="D974" t="s">
        <v>23</v>
      </c>
      <c r="E974" t="s">
        <v>25</v>
      </c>
      <c r="F974">
        <v>8</v>
      </c>
      <c r="G974">
        <v>158.02000000000001</v>
      </c>
      <c r="H974" t="s">
        <v>33</v>
      </c>
      <c r="I974" t="s">
        <v>35</v>
      </c>
      <c r="J974" s="3">
        <v>0.15</v>
      </c>
      <c r="K974" t="s">
        <v>41</v>
      </c>
      <c r="L974">
        <v>1074.5360000000001</v>
      </c>
      <c r="M974" t="s">
        <v>45</v>
      </c>
      <c r="N974" t="s">
        <v>48</v>
      </c>
      <c r="O974">
        <v>0</v>
      </c>
      <c r="P974" t="s">
        <v>1023</v>
      </c>
      <c r="Q974" t="s">
        <v>2469</v>
      </c>
      <c r="R974">
        <v>47.43</v>
      </c>
      <c r="S974" s="5">
        <v>45330</v>
      </c>
      <c r="T974" s="5">
        <v>45335</v>
      </c>
      <c r="U974" t="s">
        <v>2926</v>
      </c>
    </row>
    <row r="975" spans="1:21" x14ac:dyDescent="0.25">
      <c r="A975" s="5">
        <v>45056</v>
      </c>
      <c r="B975" s="7">
        <f>Table1[[#This Row],[TotalPrice]] * (1 - Table1[[#This Row],[Discount]])</f>
        <v>868.61159999999995</v>
      </c>
      <c r="C975" s="7">
        <f>Table1[[#This Row],[Net Sales]] * 0.2</f>
        <v>173.72232</v>
      </c>
      <c r="D975" t="s">
        <v>22</v>
      </c>
      <c r="E975" t="s">
        <v>29</v>
      </c>
      <c r="F975">
        <v>2</v>
      </c>
      <c r="G975">
        <v>536.17999999999995</v>
      </c>
      <c r="H975" t="s">
        <v>31</v>
      </c>
      <c r="I975" t="s">
        <v>36</v>
      </c>
      <c r="J975" s="3">
        <v>0.1</v>
      </c>
      <c r="K975" t="s">
        <v>39</v>
      </c>
      <c r="L975">
        <v>965.12399999999991</v>
      </c>
      <c r="M975" t="s">
        <v>45</v>
      </c>
      <c r="N975" t="s">
        <v>48</v>
      </c>
      <c r="O975">
        <v>0</v>
      </c>
      <c r="P975" t="s">
        <v>1024</v>
      </c>
      <c r="Q975" t="s">
        <v>2470</v>
      </c>
      <c r="R975">
        <v>34.75</v>
      </c>
      <c r="S975" s="5">
        <v>45056</v>
      </c>
      <c r="T975" s="5">
        <v>45059</v>
      </c>
      <c r="U975" t="s">
        <v>2925</v>
      </c>
    </row>
    <row r="976" spans="1:21" x14ac:dyDescent="0.25">
      <c r="A976" s="5">
        <v>44988</v>
      </c>
      <c r="B976" s="7">
        <f>Table1[[#This Row],[TotalPrice]] * (1 - Table1[[#This Row],[Discount]])</f>
        <v>6603.7656000000006</v>
      </c>
      <c r="C976" s="7">
        <f>Table1[[#This Row],[Net Sales]] * 0.2</f>
        <v>1320.7531200000003</v>
      </c>
      <c r="D976" t="s">
        <v>21</v>
      </c>
      <c r="E976" t="s">
        <v>27</v>
      </c>
      <c r="F976">
        <v>16</v>
      </c>
      <c r="G976">
        <v>571.26</v>
      </c>
      <c r="H976" t="s">
        <v>33</v>
      </c>
      <c r="I976" t="s">
        <v>35</v>
      </c>
      <c r="J976" s="3">
        <v>0.15</v>
      </c>
      <c r="K976" t="s">
        <v>42</v>
      </c>
      <c r="L976">
        <v>7769.1360000000004</v>
      </c>
      <c r="M976" t="s">
        <v>44</v>
      </c>
      <c r="N976" t="s">
        <v>49</v>
      </c>
      <c r="O976">
        <v>0</v>
      </c>
      <c r="P976" t="s">
        <v>1025</v>
      </c>
      <c r="Q976" t="s">
        <v>2471</v>
      </c>
      <c r="R976">
        <v>6.13</v>
      </c>
      <c r="S976" s="5">
        <v>44988</v>
      </c>
      <c r="T976" s="5">
        <v>44997</v>
      </c>
      <c r="U976" t="s">
        <v>2924</v>
      </c>
    </row>
    <row r="977" spans="1:21" x14ac:dyDescent="0.25">
      <c r="A977" s="5">
        <v>45798</v>
      </c>
      <c r="B977" s="7">
        <f>Table1[[#This Row],[TotalPrice]] * (1 - Table1[[#This Row],[Discount]])</f>
        <v>1306.5624</v>
      </c>
      <c r="C977" s="7">
        <f>Table1[[#This Row],[Net Sales]] * 0.2</f>
        <v>261.31247999999999</v>
      </c>
      <c r="D977" t="s">
        <v>22</v>
      </c>
      <c r="E977" t="s">
        <v>29</v>
      </c>
      <c r="F977">
        <v>12</v>
      </c>
      <c r="G977">
        <v>134.41999999999999</v>
      </c>
      <c r="H977" t="s">
        <v>34</v>
      </c>
      <c r="I977" t="s">
        <v>36</v>
      </c>
      <c r="J977" s="3">
        <v>0.1</v>
      </c>
      <c r="K977" t="s">
        <v>41</v>
      </c>
      <c r="L977">
        <v>1451.7360000000001</v>
      </c>
      <c r="M977" t="s">
        <v>44</v>
      </c>
      <c r="N977" t="s">
        <v>48</v>
      </c>
      <c r="O977">
        <v>0</v>
      </c>
      <c r="P977" t="s">
        <v>1026</v>
      </c>
      <c r="Q977" t="s">
        <v>2265</v>
      </c>
      <c r="R977">
        <v>33.979999999999997</v>
      </c>
      <c r="S977" s="5">
        <v>45798</v>
      </c>
      <c r="T977" s="5">
        <v>45804</v>
      </c>
      <c r="U977" t="s">
        <v>2925</v>
      </c>
    </row>
    <row r="978" spans="1:21" x14ac:dyDescent="0.25">
      <c r="A978" s="5">
        <v>45777</v>
      </c>
      <c r="B978" s="7">
        <f>Table1[[#This Row],[TotalPrice]] * (1 - Table1[[#This Row],[Discount]])</f>
        <v>2818.5</v>
      </c>
      <c r="C978" s="7">
        <f>Table1[[#This Row],[Net Sales]] * 0.2</f>
        <v>563.70000000000005</v>
      </c>
      <c r="D978" t="s">
        <v>22</v>
      </c>
      <c r="E978" t="s">
        <v>24</v>
      </c>
      <c r="F978">
        <v>5</v>
      </c>
      <c r="G978">
        <v>563.70000000000005</v>
      </c>
      <c r="H978" t="s">
        <v>32</v>
      </c>
      <c r="I978" t="s">
        <v>36</v>
      </c>
      <c r="J978" s="3">
        <v>0</v>
      </c>
      <c r="K978" t="s">
        <v>42</v>
      </c>
      <c r="L978">
        <v>2818.5</v>
      </c>
      <c r="M978" t="s">
        <v>43</v>
      </c>
      <c r="N978" t="s">
        <v>49</v>
      </c>
      <c r="O978">
        <v>0</v>
      </c>
      <c r="P978" t="s">
        <v>1027</v>
      </c>
      <c r="Q978" t="s">
        <v>2472</v>
      </c>
      <c r="R978">
        <v>29.28</v>
      </c>
      <c r="S978" s="5">
        <v>45777</v>
      </c>
      <c r="T978" s="5">
        <v>45784</v>
      </c>
      <c r="U978" t="s">
        <v>2925</v>
      </c>
    </row>
    <row r="979" spans="1:21" x14ac:dyDescent="0.25">
      <c r="A979" s="5">
        <v>45018</v>
      </c>
      <c r="B979" s="7">
        <f>Table1[[#This Row],[TotalPrice]] * (1 - Table1[[#This Row],[Discount]])</f>
        <v>4343.8650749999997</v>
      </c>
      <c r="C979" s="7">
        <f>Table1[[#This Row],[Net Sales]] * 0.2</f>
        <v>868.77301499999999</v>
      </c>
      <c r="D979" t="s">
        <v>21</v>
      </c>
      <c r="E979" t="s">
        <v>25</v>
      </c>
      <c r="F979">
        <v>11</v>
      </c>
      <c r="G979">
        <v>546.57000000000005</v>
      </c>
      <c r="H979" t="s">
        <v>34</v>
      </c>
      <c r="I979" t="s">
        <v>36</v>
      </c>
      <c r="J979" s="3">
        <v>0.15</v>
      </c>
      <c r="K979" t="s">
        <v>42</v>
      </c>
      <c r="L979">
        <v>5110.4295000000002</v>
      </c>
      <c r="M979" t="s">
        <v>45</v>
      </c>
      <c r="N979" t="s">
        <v>49</v>
      </c>
      <c r="O979">
        <v>1</v>
      </c>
      <c r="P979" t="s">
        <v>1028</v>
      </c>
      <c r="Q979" t="s">
        <v>2473</v>
      </c>
      <c r="R979">
        <v>24.77</v>
      </c>
      <c r="S979" s="5">
        <v>45018</v>
      </c>
      <c r="T979" s="5">
        <v>45020</v>
      </c>
      <c r="U979" t="s">
        <v>2924</v>
      </c>
    </row>
    <row r="980" spans="1:21" x14ac:dyDescent="0.25">
      <c r="A980" s="5">
        <v>45530</v>
      </c>
      <c r="B980" s="7">
        <f>Table1[[#This Row],[TotalPrice]] * (1 - Table1[[#This Row],[Discount]])</f>
        <v>2963.7377999999999</v>
      </c>
      <c r="C980" s="7">
        <f>Table1[[#This Row],[Net Sales]] * 0.2</f>
        <v>592.74756000000002</v>
      </c>
      <c r="D980" t="s">
        <v>21</v>
      </c>
      <c r="E980" t="s">
        <v>28</v>
      </c>
      <c r="F980">
        <v>9</v>
      </c>
      <c r="G980">
        <v>364.88</v>
      </c>
      <c r="H980" t="s">
        <v>33</v>
      </c>
      <c r="I980" t="s">
        <v>35</v>
      </c>
      <c r="J980" s="3">
        <v>0.05</v>
      </c>
      <c r="K980" t="s">
        <v>42</v>
      </c>
      <c r="L980">
        <v>3119.7240000000002</v>
      </c>
      <c r="M980" t="s">
        <v>47</v>
      </c>
      <c r="N980" t="s">
        <v>49</v>
      </c>
      <c r="O980">
        <v>0</v>
      </c>
      <c r="P980" t="s">
        <v>1029</v>
      </c>
      <c r="Q980" t="s">
        <v>1830</v>
      </c>
      <c r="R980">
        <v>40.26</v>
      </c>
      <c r="S980" s="5">
        <v>45530</v>
      </c>
      <c r="T980" s="5">
        <v>45540</v>
      </c>
      <c r="U980" t="s">
        <v>2924</v>
      </c>
    </row>
    <row r="981" spans="1:21" x14ac:dyDescent="0.25">
      <c r="A981" s="5">
        <v>45240</v>
      </c>
      <c r="B981" s="7">
        <f>Table1[[#This Row],[TotalPrice]] * (1 - Table1[[#This Row],[Discount]])</f>
        <v>1862.5255249999998</v>
      </c>
      <c r="C981" s="7">
        <f>Table1[[#This Row],[Net Sales]] * 0.2</f>
        <v>372.50510499999996</v>
      </c>
      <c r="D981" t="s">
        <v>20</v>
      </c>
      <c r="E981" t="s">
        <v>28</v>
      </c>
      <c r="F981">
        <v>7</v>
      </c>
      <c r="G981">
        <v>368.27</v>
      </c>
      <c r="H981" t="s">
        <v>33</v>
      </c>
      <c r="I981" t="s">
        <v>35</v>
      </c>
      <c r="J981" s="3">
        <v>0.15</v>
      </c>
      <c r="K981" t="s">
        <v>40</v>
      </c>
      <c r="L981">
        <v>2191.2064999999998</v>
      </c>
      <c r="M981" t="s">
        <v>43</v>
      </c>
      <c r="N981" t="s">
        <v>50</v>
      </c>
      <c r="O981">
        <v>0</v>
      </c>
      <c r="P981" t="s">
        <v>1030</v>
      </c>
      <c r="Q981" t="s">
        <v>2474</v>
      </c>
      <c r="R981">
        <v>28.98</v>
      </c>
      <c r="S981" s="5">
        <v>45240</v>
      </c>
      <c r="T981" s="5">
        <v>45250</v>
      </c>
      <c r="U981" t="s">
        <v>2923</v>
      </c>
    </row>
    <row r="982" spans="1:21" x14ac:dyDescent="0.25">
      <c r="A982" s="5">
        <v>45684</v>
      </c>
      <c r="B982" s="7">
        <f>Table1[[#This Row],[TotalPrice]] * (1 - Table1[[#This Row],[Discount]])</f>
        <v>10745.6</v>
      </c>
      <c r="C982" s="7">
        <f>Table1[[#This Row],[Net Sales]] * 0.2</f>
        <v>2149.1200000000003</v>
      </c>
      <c r="D982" t="s">
        <v>22</v>
      </c>
      <c r="E982" t="s">
        <v>30</v>
      </c>
      <c r="F982">
        <v>20</v>
      </c>
      <c r="G982">
        <v>537.28</v>
      </c>
      <c r="H982" t="s">
        <v>33</v>
      </c>
      <c r="I982" t="s">
        <v>35</v>
      </c>
      <c r="J982" s="3">
        <v>0</v>
      </c>
      <c r="K982" t="s">
        <v>39</v>
      </c>
      <c r="L982">
        <v>10745.6</v>
      </c>
      <c r="M982" t="s">
        <v>43</v>
      </c>
      <c r="O982">
        <v>1</v>
      </c>
      <c r="P982" t="s">
        <v>1031</v>
      </c>
      <c r="Q982" t="s">
        <v>2475</v>
      </c>
      <c r="R982">
        <v>15.6</v>
      </c>
      <c r="S982" s="5">
        <v>45684</v>
      </c>
      <c r="T982" s="5">
        <v>45690</v>
      </c>
      <c r="U982" t="s">
        <v>2925</v>
      </c>
    </row>
    <row r="983" spans="1:21" x14ac:dyDescent="0.25">
      <c r="A983" s="5">
        <v>45408</v>
      </c>
      <c r="B983" s="7">
        <f>Table1[[#This Row],[TotalPrice]] * (1 - Table1[[#This Row],[Discount]])</f>
        <v>309.27</v>
      </c>
      <c r="C983" s="7">
        <f>Table1[[#This Row],[Net Sales]] * 0.2</f>
        <v>61.853999999999999</v>
      </c>
      <c r="D983" t="s">
        <v>20</v>
      </c>
      <c r="E983" t="s">
        <v>25</v>
      </c>
      <c r="F983">
        <v>3</v>
      </c>
      <c r="G983">
        <v>103.09</v>
      </c>
      <c r="H983" t="s">
        <v>34</v>
      </c>
      <c r="I983" t="s">
        <v>35</v>
      </c>
      <c r="J983" s="3">
        <v>0</v>
      </c>
      <c r="K983" t="s">
        <v>40</v>
      </c>
      <c r="L983">
        <v>309.27</v>
      </c>
      <c r="M983" t="s">
        <v>44</v>
      </c>
      <c r="N983" t="s">
        <v>49</v>
      </c>
      <c r="O983">
        <v>1</v>
      </c>
      <c r="P983" t="s">
        <v>1032</v>
      </c>
      <c r="Q983" t="s">
        <v>2476</v>
      </c>
      <c r="R983">
        <v>46.47</v>
      </c>
      <c r="S983" s="5">
        <v>45408</v>
      </c>
      <c r="T983" s="5">
        <v>45412</v>
      </c>
      <c r="U983" t="s">
        <v>2923</v>
      </c>
    </row>
    <row r="984" spans="1:21" x14ac:dyDescent="0.25">
      <c r="A984" s="5">
        <v>45257</v>
      </c>
      <c r="B984" s="7">
        <f>Table1[[#This Row],[TotalPrice]] * (1 - Table1[[#This Row],[Discount]])</f>
        <v>878.04</v>
      </c>
      <c r="C984" s="7">
        <f>Table1[[#This Row],[Net Sales]] * 0.2</f>
        <v>175.608</v>
      </c>
      <c r="D984" t="s">
        <v>19</v>
      </c>
      <c r="E984" t="s">
        <v>29</v>
      </c>
      <c r="F984">
        <v>9</v>
      </c>
      <c r="G984">
        <v>97.56</v>
      </c>
      <c r="H984" t="s">
        <v>32</v>
      </c>
      <c r="I984" t="s">
        <v>35</v>
      </c>
      <c r="J984" s="3">
        <v>0</v>
      </c>
      <c r="K984" t="s">
        <v>38</v>
      </c>
      <c r="L984">
        <v>878.04</v>
      </c>
      <c r="M984" t="s">
        <v>43</v>
      </c>
      <c r="O984">
        <v>0</v>
      </c>
      <c r="P984" t="s">
        <v>1033</v>
      </c>
      <c r="Q984" t="s">
        <v>2477</v>
      </c>
      <c r="R984">
        <v>48.84</v>
      </c>
      <c r="S984" s="5">
        <v>45257</v>
      </c>
      <c r="T984" s="5">
        <v>45261</v>
      </c>
      <c r="U984" t="s">
        <v>2922</v>
      </c>
    </row>
    <row r="985" spans="1:21" x14ac:dyDescent="0.25">
      <c r="A985" s="5">
        <v>45015</v>
      </c>
      <c r="B985" s="7">
        <f>Table1[[#This Row],[TotalPrice]] * (1 - Table1[[#This Row],[Discount]])</f>
        <v>2447.46875</v>
      </c>
      <c r="C985" s="7">
        <f>Table1[[#This Row],[Net Sales]] * 0.2</f>
        <v>489.49375000000003</v>
      </c>
      <c r="D985" t="s">
        <v>22</v>
      </c>
      <c r="E985" t="s">
        <v>29</v>
      </c>
      <c r="F985">
        <v>10</v>
      </c>
      <c r="G985">
        <v>338.75</v>
      </c>
      <c r="H985" t="s">
        <v>32</v>
      </c>
      <c r="I985" t="s">
        <v>35</v>
      </c>
      <c r="J985" s="3">
        <v>0.15</v>
      </c>
      <c r="K985" t="s">
        <v>40</v>
      </c>
      <c r="L985">
        <v>2879.375</v>
      </c>
      <c r="M985" t="s">
        <v>47</v>
      </c>
      <c r="N985" t="s">
        <v>50</v>
      </c>
      <c r="O985">
        <v>1</v>
      </c>
      <c r="P985" t="s">
        <v>1034</v>
      </c>
      <c r="Q985" t="s">
        <v>2478</v>
      </c>
      <c r="R985">
        <v>36.56</v>
      </c>
      <c r="S985" s="5">
        <v>45015</v>
      </c>
      <c r="T985" s="5">
        <v>45022</v>
      </c>
      <c r="U985" t="s">
        <v>2925</v>
      </c>
    </row>
    <row r="986" spans="1:21" x14ac:dyDescent="0.25">
      <c r="A986" s="5">
        <v>45355</v>
      </c>
      <c r="B986" s="7">
        <f>Table1[[#This Row],[TotalPrice]] * (1 - Table1[[#This Row],[Discount]])</f>
        <v>478.08</v>
      </c>
      <c r="C986" s="7">
        <f>Table1[[#This Row],[Net Sales]] * 0.2</f>
        <v>95.616</v>
      </c>
      <c r="D986" t="s">
        <v>21</v>
      </c>
      <c r="E986" t="s">
        <v>26</v>
      </c>
      <c r="F986">
        <v>2</v>
      </c>
      <c r="G986">
        <v>239.04</v>
      </c>
      <c r="H986" t="s">
        <v>32</v>
      </c>
      <c r="I986" t="s">
        <v>35</v>
      </c>
      <c r="J986" s="3">
        <v>0</v>
      </c>
      <c r="K986" t="s">
        <v>42</v>
      </c>
      <c r="L986">
        <v>478.08</v>
      </c>
      <c r="M986" t="s">
        <v>46</v>
      </c>
      <c r="N986" t="s">
        <v>49</v>
      </c>
      <c r="O986">
        <v>1</v>
      </c>
      <c r="P986" t="s">
        <v>1035</v>
      </c>
      <c r="Q986" t="s">
        <v>2479</v>
      </c>
      <c r="R986">
        <v>43.84</v>
      </c>
      <c r="S986" s="5">
        <v>45355</v>
      </c>
      <c r="T986" s="5">
        <v>45362</v>
      </c>
      <c r="U986" t="s">
        <v>2924</v>
      </c>
    </row>
    <row r="987" spans="1:21" x14ac:dyDescent="0.25">
      <c r="A987" s="5">
        <v>45118</v>
      </c>
      <c r="B987" s="7">
        <f>Table1[[#This Row],[TotalPrice]] * (1 - Table1[[#This Row],[Discount]])</f>
        <v>4110.0695999999998</v>
      </c>
      <c r="C987" s="7">
        <f>Table1[[#This Row],[Net Sales]] * 0.2</f>
        <v>822.01391999999998</v>
      </c>
      <c r="D987" t="s">
        <v>20</v>
      </c>
      <c r="E987" t="s">
        <v>24</v>
      </c>
      <c r="F987">
        <v>14</v>
      </c>
      <c r="G987">
        <v>362.44</v>
      </c>
      <c r="H987" t="s">
        <v>33</v>
      </c>
      <c r="I987" t="s">
        <v>35</v>
      </c>
      <c r="J987" s="3">
        <v>0.1</v>
      </c>
      <c r="K987" t="s">
        <v>42</v>
      </c>
      <c r="L987">
        <v>4566.7439999999997</v>
      </c>
      <c r="M987" t="s">
        <v>47</v>
      </c>
      <c r="N987" t="s">
        <v>50</v>
      </c>
      <c r="O987">
        <v>0</v>
      </c>
      <c r="P987" t="s">
        <v>1036</v>
      </c>
      <c r="Q987" t="s">
        <v>2480</v>
      </c>
      <c r="R987">
        <v>36.729999999999997</v>
      </c>
      <c r="S987" s="5">
        <v>45118</v>
      </c>
      <c r="T987" s="5">
        <v>45122</v>
      </c>
      <c r="U987" t="s">
        <v>2923</v>
      </c>
    </row>
    <row r="988" spans="1:21" x14ac:dyDescent="0.25">
      <c r="A988" s="5">
        <v>45555</v>
      </c>
      <c r="B988" s="7">
        <f>Table1[[#This Row],[TotalPrice]] * (1 - Table1[[#This Row],[Discount]])</f>
        <v>3306.78</v>
      </c>
      <c r="C988" s="7">
        <f>Table1[[#This Row],[Net Sales]] * 0.2</f>
        <v>661.35600000000011</v>
      </c>
      <c r="D988" t="s">
        <v>23</v>
      </c>
      <c r="E988" t="s">
        <v>28</v>
      </c>
      <c r="F988">
        <v>6</v>
      </c>
      <c r="G988">
        <v>551.13</v>
      </c>
      <c r="H988" t="s">
        <v>34</v>
      </c>
      <c r="I988" t="s">
        <v>36</v>
      </c>
      <c r="J988" s="3">
        <v>0</v>
      </c>
      <c r="K988" t="s">
        <v>40</v>
      </c>
      <c r="L988">
        <v>3306.78</v>
      </c>
      <c r="M988" t="s">
        <v>44</v>
      </c>
      <c r="N988" t="s">
        <v>48</v>
      </c>
      <c r="O988">
        <v>0</v>
      </c>
      <c r="P988" t="s">
        <v>1037</v>
      </c>
      <c r="Q988" t="s">
        <v>2481</v>
      </c>
      <c r="R988">
        <v>14.67</v>
      </c>
      <c r="S988" s="5">
        <v>45555</v>
      </c>
      <c r="T988" s="5">
        <v>45564</v>
      </c>
      <c r="U988" t="s">
        <v>2926</v>
      </c>
    </row>
    <row r="989" spans="1:21" x14ac:dyDescent="0.25">
      <c r="A989" s="5">
        <v>45706</v>
      </c>
      <c r="B989" s="7">
        <f>Table1[[#This Row],[TotalPrice]] * (1 - Table1[[#This Row],[Discount]])</f>
        <v>66.468599999999995</v>
      </c>
      <c r="C989" s="7">
        <f>Table1[[#This Row],[Net Sales]] * 0.2</f>
        <v>13.29372</v>
      </c>
      <c r="D989" t="s">
        <v>23</v>
      </c>
      <c r="E989" t="s">
        <v>24</v>
      </c>
      <c r="F989">
        <v>1</v>
      </c>
      <c r="G989">
        <v>82.06</v>
      </c>
      <c r="H989" t="s">
        <v>34</v>
      </c>
      <c r="I989" t="s">
        <v>36</v>
      </c>
      <c r="J989" s="3">
        <v>0.1</v>
      </c>
      <c r="K989" t="s">
        <v>37</v>
      </c>
      <c r="L989">
        <v>73.853999999999999</v>
      </c>
      <c r="M989" t="s">
        <v>45</v>
      </c>
      <c r="N989" t="s">
        <v>48</v>
      </c>
      <c r="O989">
        <v>0</v>
      </c>
      <c r="P989" t="s">
        <v>1038</v>
      </c>
      <c r="Q989" t="s">
        <v>2482</v>
      </c>
      <c r="R989">
        <v>11.11</v>
      </c>
      <c r="S989" s="5">
        <v>45706</v>
      </c>
      <c r="T989" s="5">
        <v>45712</v>
      </c>
      <c r="U989" t="s">
        <v>2926</v>
      </c>
    </row>
    <row r="990" spans="1:21" x14ac:dyDescent="0.25">
      <c r="A990" s="5">
        <v>45489</v>
      </c>
      <c r="B990" s="7">
        <f>Table1[[#This Row],[TotalPrice]] * (1 - Table1[[#This Row],[Discount]])</f>
        <v>2520.9614499999998</v>
      </c>
      <c r="C990" s="7">
        <f>Table1[[#This Row],[Net Sales]] * 0.2</f>
        <v>504.19228999999996</v>
      </c>
      <c r="D990" t="s">
        <v>19</v>
      </c>
      <c r="E990" t="s">
        <v>29</v>
      </c>
      <c r="F990">
        <v>7</v>
      </c>
      <c r="G990">
        <v>498.46</v>
      </c>
      <c r="H990" t="s">
        <v>33</v>
      </c>
      <c r="I990" t="s">
        <v>35</v>
      </c>
      <c r="J990" s="3">
        <v>0.15</v>
      </c>
      <c r="K990" t="s">
        <v>40</v>
      </c>
      <c r="L990">
        <v>2965.837</v>
      </c>
      <c r="M990" t="s">
        <v>44</v>
      </c>
      <c r="O990">
        <v>0</v>
      </c>
      <c r="P990" t="s">
        <v>1039</v>
      </c>
      <c r="Q990" t="s">
        <v>2483</v>
      </c>
      <c r="R990">
        <v>42.72</v>
      </c>
      <c r="S990" s="5">
        <v>45489</v>
      </c>
      <c r="T990" s="5">
        <v>45493</v>
      </c>
      <c r="U990" t="s">
        <v>2922</v>
      </c>
    </row>
    <row r="991" spans="1:21" x14ac:dyDescent="0.25">
      <c r="A991" s="5">
        <v>45253</v>
      </c>
      <c r="B991" s="7">
        <f>Table1[[#This Row],[TotalPrice]] * (1 - Table1[[#This Row],[Discount]])</f>
        <v>410.52420000000001</v>
      </c>
      <c r="C991" s="7">
        <f>Table1[[#This Row],[Net Sales]] * 0.2</f>
        <v>82.10484000000001</v>
      </c>
      <c r="D991" t="s">
        <v>19</v>
      </c>
      <c r="E991" t="s">
        <v>27</v>
      </c>
      <c r="F991">
        <v>2</v>
      </c>
      <c r="G991">
        <v>253.41</v>
      </c>
      <c r="H991" t="s">
        <v>34</v>
      </c>
      <c r="I991" t="s">
        <v>36</v>
      </c>
      <c r="J991" s="3">
        <v>0.1</v>
      </c>
      <c r="K991" t="s">
        <v>39</v>
      </c>
      <c r="L991">
        <v>456.13799999999998</v>
      </c>
      <c r="M991" t="s">
        <v>47</v>
      </c>
      <c r="N991" t="s">
        <v>48</v>
      </c>
      <c r="O991">
        <v>0</v>
      </c>
      <c r="P991" t="s">
        <v>1040</v>
      </c>
      <c r="Q991" t="s">
        <v>2484</v>
      </c>
      <c r="R991">
        <v>49.64</v>
      </c>
      <c r="S991" s="5">
        <v>45253</v>
      </c>
      <c r="T991" s="5">
        <v>45255</v>
      </c>
      <c r="U991" t="s">
        <v>2922</v>
      </c>
    </row>
    <row r="992" spans="1:21" x14ac:dyDescent="0.25">
      <c r="A992" s="5">
        <v>45176</v>
      </c>
      <c r="B992" s="7">
        <f>Table1[[#This Row],[TotalPrice]] * (1 - Table1[[#This Row],[Discount]])</f>
        <v>1867.1472000000001</v>
      </c>
      <c r="C992" s="7">
        <f>Table1[[#This Row],[Net Sales]] * 0.2</f>
        <v>373.42944000000006</v>
      </c>
      <c r="D992" t="s">
        <v>20</v>
      </c>
      <c r="E992" t="s">
        <v>25</v>
      </c>
      <c r="F992">
        <v>16</v>
      </c>
      <c r="G992">
        <v>144.07</v>
      </c>
      <c r="H992" t="s">
        <v>34</v>
      </c>
      <c r="I992" t="s">
        <v>35</v>
      </c>
      <c r="J992" s="3">
        <v>0.1</v>
      </c>
      <c r="K992" t="s">
        <v>37</v>
      </c>
      <c r="L992">
        <v>2074.6080000000002</v>
      </c>
      <c r="M992" t="s">
        <v>46</v>
      </c>
      <c r="N992" t="s">
        <v>48</v>
      </c>
      <c r="O992">
        <v>0</v>
      </c>
      <c r="P992" t="s">
        <v>1041</v>
      </c>
      <c r="Q992" t="s">
        <v>2485</v>
      </c>
      <c r="R992">
        <v>7.33</v>
      </c>
      <c r="S992" s="5">
        <v>45176</v>
      </c>
      <c r="T992" s="5">
        <v>45178</v>
      </c>
      <c r="U992" t="s">
        <v>2923</v>
      </c>
    </row>
    <row r="993" spans="1:21" x14ac:dyDescent="0.25">
      <c r="A993" s="5">
        <v>45323</v>
      </c>
      <c r="B993" s="7">
        <f>Table1[[#This Row],[TotalPrice]] * (1 - Table1[[#This Row],[Discount]])</f>
        <v>1598.1627749999998</v>
      </c>
      <c r="C993" s="7">
        <f>Table1[[#This Row],[Net Sales]] * 0.2</f>
        <v>319.63255499999997</v>
      </c>
      <c r="D993" t="s">
        <v>23</v>
      </c>
      <c r="E993" t="s">
        <v>28</v>
      </c>
      <c r="F993">
        <v>11</v>
      </c>
      <c r="G993">
        <v>201.09</v>
      </c>
      <c r="H993" t="s">
        <v>33</v>
      </c>
      <c r="I993" t="s">
        <v>36</v>
      </c>
      <c r="J993" s="3">
        <v>0.15</v>
      </c>
      <c r="K993" t="s">
        <v>40</v>
      </c>
      <c r="L993">
        <v>1880.1914999999999</v>
      </c>
      <c r="M993" t="s">
        <v>47</v>
      </c>
      <c r="O993">
        <v>1</v>
      </c>
      <c r="P993" t="s">
        <v>1042</v>
      </c>
      <c r="Q993" t="s">
        <v>2486</v>
      </c>
      <c r="R993">
        <v>48.42</v>
      </c>
      <c r="S993" s="5">
        <v>45323</v>
      </c>
      <c r="T993" s="5">
        <v>45326</v>
      </c>
      <c r="U993" t="s">
        <v>2926</v>
      </c>
    </row>
    <row r="994" spans="1:21" x14ac:dyDescent="0.25">
      <c r="A994" s="5">
        <v>45785</v>
      </c>
      <c r="B994" s="7">
        <f>Table1[[#This Row],[TotalPrice]] * (1 - Table1[[#This Row],[Discount]])</f>
        <v>5216.3595000000005</v>
      </c>
      <c r="C994" s="7">
        <f>Table1[[#This Row],[Net Sales]] * 0.2</f>
        <v>1043.2719000000002</v>
      </c>
      <c r="D994" t="s">
        <v>20</v>
      </c>
      <c r="E994" t="s">
        <v>27</v>
      </c>
      <c r="F994">
        <v>11</v>
      </c>
      <c r="G994">
        <v>585.45000000000005</v>
      </c>
      <c r="H994" t="s">
        <v>34</v>
      </c>
      <c r="I994" t="s">
        <v>35</v>
      </c>
      <c r="J994" s="3">
        <v>0.1</v>
      </c>
      <c r="K994" t="s">
        <v>38</v>
      </c>
      <c r="L994">
        <v>5795.9550000000008</v>
      </c>
      <c r="M994" t="s">
        <v>45</v>
      </c>
      <c r="N994" t="s">
        <v>50</v>
      </c>
      <c r="O994">
        <v>0</v>
      </c>
      <c r="P994" t="s">
        <v>1043</v>
      </c>
      <c r="Q994" t="s">
        <v>2487</v>
      </c>
      <c r="R994">
        <v>36.590000000000003</v>
      </c>
      <c r="S994" s="5">
        <v>45785</v>
      </c>
      <c r="T994" s="5">
        <v>45789</v>
      </c>
      <c r="U994" t="s">
        <v>2923</v>
      </c>
    </row>
    <row r="995" spans="1:21" x14ac:dyDescent="0.25">
      <c r="A995" s="5">
        <v>45674</v>
      </c>
      <c r="B995" s="7">
        <f>Table1[[#This Row],[TotalPrice]] * (1 - Table1[[#This Row],[Discount]])</f>
        <v>1346.31</v>
      </c>
      <c r="C995" s="7">
        <f>Table1[[#This Row],[Net Sales]] * 0.2</f>
        <v>269.262</v>
      </c>
      <c r="D995" t="s">
        <v>21</v>
      </c>
      <c r="E995" t="s">
        <v>24</v>
      </c>
      <c r="F995">
        <v>3</v>
      </c>
      <c r="G995">
        <v>448.77</v>
      </c>
      <c r="H995" t="s">
        <v>32</v>
      </c>
      <c r="I995" t="s">
        <v>36</v>
      </c>
      <c r="J995" s="3">
        <v>0</v>
      </c>
      <c r="K995" t="s">
        <v>38</v>
      </c>
      <c r="L995">
        <v>1346.31</v>
      </c>
      <c r="M995" t="s">
        <v>43</v>
      </c>
      <c r="N995" t="s">
        <v>48</v>
      </c>
      <c r="O995">
        <v>0</v>
      </c>
      <c r="P995" t="s">
        <v>1044</v>
      </c>
      <c r="Q995" t="s">
        <v>2133</v>
      </c>
      <c r="R995">
        <v>28.5</v>
      </c>
      <c r="S995" s="5">
        <v>45674</v>
      </c>
      <c r="T995" s="5">
        <v>45681</v>
      </c>
      <c r="U995" t="s">
        <v>2924</v>
      </c>
    </row>
    <row r="996" spans="1:21" x14ac:dyDescent="0.25">
      <c r="A996" s="5">
        <v>45171</v>
      </c>
      <c r="B996" s="7">
        <f>Table1[[#This Row],[TotalPrice]] * (1 - Table1[[#This Row],[Discount]])</f>
        <v>1659.87</v>
      </c>
      <c r="C996" s="7">
        <f>Table1[[#This Row],[Net Sales]] * 0.2</f>
        <v>331.97399999999999</v>
      </c>
      <c r="D996" t="s">
        <v>19</v>
      </c>
      <c r="E996" t="s">
        <v>28</v>
      </c>
      <c r="F996">
        <v>9</v>
      </c>
      <c r="G996">
        <v>184.43</v>
      </c>
      <c r="H996" t="s">
        <v>34</v>
      </c>
      <c r="I996" t="s">
        <v>35</v>
      </c>
      <c r="J996" s="3">
        <v>0</v>
      </c>
      <c r="K996" t="s">
        <v>40</v>
      </c>
      <c r="L996">
        <v>1659.87</v>
      </c>
      <c r="M996" t="s">
        <v>43</v>
      </c>
      <c r="N996" t="s">
        <v>50</v>
      </c>
      <c r="O996">
        <v>0</v>
      </c>
      <c r="P996" t="s">
        <v>1045</v>
      </c>
      <c r="Q996" t="s">
        <v>2488</v>
      </c>
      <c r="R996">
        <v>30.78</v>
      </c>
      <c r="S996" s="5">
        <v>45171</v>
      </c>
      <c r="T996" s="5">
        <v>45177</v>
      </c>
      <c r="U996" t="s">
        <v>2922</v>
      </c>
    </row>
    <row r="997" spans="1:21" x14ac:dyDescent="0.25">
      <c r="A997" s="5">
        <v>45100</v>
      </c>
      <c r="B997" s="7">
        <f>Table1[[#This Row],[TotalPrice]] * (1 - Table1[[#This Row],[Discount]])</f>
        <v>9505.6</v>
      </c>
      <c r="C997" s="7">
        <f>Table1[[#This Row],[Net Sales]] * 0.2</f>
        <v>1901.1200000000001</v>
      </c>
      <c r="D997" t="s">
        <v>22</v>
      </c>
      <c r="E997" t="s">
        <v>24</v>
      </c>
      <c r="F997">
        <v>16</v>
      </c>
      <c r="G997">
        <v>594.1</v>
      </c>
      <c r="H997" t="s">
        <v>34</v>
      </c>
      <c r="I997" t="s">
        <v>36</v>
      </c>
      <c r="J997" s="3">
        <v>0</v>
      </c>
      <c r="K997" t="s">
        <v>42</v>
      </c>
      <c r="L997">
        <v>9505.6</v>
      </c>
      <c r="M997" t="s">
        <v>44</v>
      </c>
      <c r="N997" t="s">
        <v>48</v>
      </c>
      <c r="O997">
        <v>0</v>
      </c>
      <c r="P997" t="s">
        <v>1046</v>
      </c>
      <c r="Q997" t="s">
        <v>2489</v>
      </c>
      <c r="R997">
        <v>18.2</v>
      </c>
      <c r="S997" s="5">
        <v>45100</v>
      </c>
      <c r="T997" s="5">
        <v>45108</v>
      </c>
      <c r="U997" t="s">
        <v>2925</v>
      </c>
    </row>
    <row r="998" spans="1:21" x14ac:dyDescent="0.25">
      <c r="A998" s="5">
        <v>45311</v>
      </c>
      <c r="B998" s="7">
        <f>Table1[[#This Row],[TotalPrice]] * (1 - Table1[[#This Row],[Discount]])</f>
        <v>7419.0573000000013</v>
      </c>
      <c r="C998" s="7">
        <f>Table1[[#This Row],[Net Sales]] * 0.2</f>
        <v>1483.8114600000004</v>
      </c>
      <c r="D998" t="s">
        <v>19</v>
      </c>
      <c r="E998" t="s">
        <v>24</v>
      </c>
      <c r="F998">
        <v>19</v>
      </c>
      <c r="G998">
        <v>482.07</v>
      </c>
      <c r="H998" t="s">
        <v>31</v>
      </c>
      <c r="I998" t="s">
        <v>35</v>
      </c>
      <c r="J998" s="3">
        <v>0.1</v>
      </c>
      <c r="K998" t="s">
        <v>42</v>
      </c>
      <c r="L998">
        <v>8243.3970000000008</v>
      </c>
      <c r="M998" t="s">
        <v>45</v>
      </c>
      <c r="O998">
        <v>0</v>
      </c>
      <c r="P998" t="s">
        <v>1047</v>
      </c>
      <c r="Q998" t="s">
        <v>2490</v>
      </c>
      <c r="R998">
        <v>25.96</v>
      </c>
      <c r="S998" s="5">
        <v>45311</v>
      </c>
      <c r="T998" s="5">
        <v>45317</v>
      </c>
      <c r="U998" t="s">
        <v>2922</v>
      </c>
    </row>
    <row r="999" spans="1:21" x14ac:dyDescent="0.25">
      <c r="A999" s="5">
        <v>45469</v>
      </c>
      <c r="B999" s="7">
        <f>Table1[[#This Row],[TotalPrice]] * (1 - Table1[[#This Row],[Discount]])</f>
        <v>1361.8724999999999</v>
      </c>
      <c r="C999" s="7">
        <f>Table1[[#This Row],[Net Sales]] * 0.2</f>
        <v>272.37450000000001</v>
      </c>
      <c r="D999" t="s">
        <v>19</v>
      </c>
      <c r="E999" t="s">
        <v>27</v>
      </c>
      <c r="F999">
        <v>20</v>
      </c>
      <c r="G999">
        <v>75.45</v>
      </c>
      <c r="H999" t="s">
        <v>31</v>
      </c>
      <c r="I999" t="s">
        <v>35</v>
      </c>
      <c r="J999" s="3">
        <v>0.05</v>
      </c>
      <c r="K999" t="s">
        <v>37</v>
      </c>
      <c r="L999">
        <v>1433.55</v>
      </c>
      <c r="M999" t="s">
        <v>45</v>
      </c>
      <c r="N999" t="s">
        <v>49</v>
      </c>
      <c r="O999">
        <v>0</v>
      </c>
      <c r="P999" t="s">
        <v>1048</v>
      </c>
      <c r="Q999" t="s">
        <v>1660</v>
      </c>
      <c r="R999">
        <v>44.77</v>
      </c>
      <c r="S999" s="5">
        <v>45469</v>
      </c>
      <c r="T999" s="5">
        <v>45479</v>
      </c>
      <c r="U999" t="s">
        <v>2922</v>
      </c>
    </row>
    <row r="1000" spans="1:21" x14ac:dyDescent="0.25">
      <c r="A1000" s="5">
        <v>45638</v>
      </c>
      <c r="B1000" s="7">
        <f>Table1[[#This Row],[TotalPrice]] * (1 - Table1[[#This Row],[Discount]])</f>
        <v>800.63640000000009</v>
      </c>
      <c r="C1000" s="7">
        <f>Table1[[#This Row],[Net Sales]] * 0.2</f>
        <v>160.12728000000004</v>
      </c>
      <c r="D1000" t="s">
        <v>22</v>
      </c>
      <c r="E1000" t="s">
        <v>28</v>
      </c>
      <c r="F1000">
        <v>2</v>
      </c>
      <c r="G1000">
        <v>494.22</v>
      </c>
      <c r="H1000" t="s">
        <v>33</v>
      </c>
      <c r="I1000" t="s">
        <v>36</v>
      </c>
      <c r="J1000" s="3">
        <v>0.1</v>
      </c>
      <c r="K1000" t="s">
        <v>40</v>
      </c>
      <c r="L1000">
        <v>889.59600000000012</v>
      </c>
      <c r="M1000" t="s">
        <v>44</v>
      </c>
      <c r="N1000" t="s">
        <v>48</v>
      </c>
      <c r="O1000">
        <v>0</v>
      </c>
      <c r="P1000" t="s">
        <v>1049</v>
      </c>
      <c r="Q1000" t="s">
        <v>2491</v>
      </c>
      <c r="R1000">
        <v>13.45</v>
      </c>
      <c r="S1000" s="5">
        <v>45638</v>
      </c>
      <c r="T1000" s="5">
        <v>45643</v>
      </c>
      <c r="U1000" t="s">
        <v>2925</v>
      </c>
    </row>
    <row r="1001" spans="1:21" x14ac:dyDescent="0.25">
      <c r="A1001" s="5">
        <v>45343</v>
      </c>
      <c r="B1001" s="7">
        <f>Table1[[#This Row],[TotalPrice]] * (1 - Table1[[#This Row],[Discount]])</f>
        <v>1527.3007499999999</v>
      </c>
      <c r="C1001" s="7">
        <f>Table1[[#This Row],[Net Sales]] * 0.2</f>
        <v>305.46015</v>
      </c>
      <c r="D1001" t="s">
        <v>19</v>
      </c>
      <c r="E1001" t="s">
        <v>24</v>
      </c>
      <c r="F1001">
        <v>15</v>
      </c>
      <c r="G1001">
        <v>112.82</v>
      </c>
      <c r="H1001" t="s">
        <v>31</v>
      </c>
      <c r="I1001" t="s">
        <v>35</v>
      </c>
      <c r="J1001" s="3">
        <v>0.05</v>
      </c>
      <c r="K1001" t="s">
        <v>39</v>
      </c>
      <c r="L1001">
        <v>1607.6849999999999</v>
      </c>
      <c r="M1001" t="s">
        <v>45</v>
      </c>
      <c r="N1001" t="s">
        <v>50</v>
      </c>
      <c r="O1001">
        <v>0</v>
      </c>
      <c r="P1001" t="s">
        <v>1050</v>
      </c>
      <c r="Q1001" t="s">
        <v>2492</v>
      </c>
      <c r="R1001">
        <v>18.21</v>
      </c>
      <c r="S1001" s="5">
        <v>45343</v>
      </c>
      <c r="T1001" s="5">
        <v>45352</v>
      </c>
      <c r="U1001" t="s">
        <v>2922</v>
      </c>
    </row>
    <row r="1002" spans="1:21" x14ac:dyDescent="0.25">
      <c r="A1002" s="5">
        <v>45125</v>
      </c>
      <c r="B1002" s="7">
        <f>Table1[[#This Row],[TotalPrice]] * (1 - Table1[[#This Row],[Discount]])</f>
        <v>364.68</v>
      </c>
      <c r="C1002" s="7">
        <f>Table1[[#This Row],[Net Sales]] * 0.2</f>
        <v>72.936000000000007</v>
      </c>
      <c r="D1002" t="s">
        <v>19</v>
      </c>
      <c r="E1002" t="s">
        <v>26</v>
      </c>
      <c r="F1002">
        <v>3</v>
      </c>
      <c r="G1002">
        <v>121.56</v>
      </c>
      <c r="H1002" t="s">
        <v>34</v>
      </c>
      <c r="I1002" t="s">
        <v>35</v>
      </c>
      <c r="J1002" s="3">
        <v>0</v>
      </c>
      <c r="K1002" t="s">
        <v>37</v>
      </c>
      <c r="L1002">
        <v>364.68</v>
      </c>
      <c r="M1002" t="s">
        <v>46</v>
      </c>
      <c r="N1002" t="s">
        <v>50</v>
      </c>
      <c r="O1002">
        <v>0</v>
      </c>
      <c r="P1002" t="s">
        <v>1051</v>
      </c>
      <c r="Q1002" t="s">
        <v>2493</v>
      </c>
      <c r="R1002">
        <v>29.06</v>
      </c>
      <c r="S1002" s="5">
        <v>45125</v>
      </c>
      <c r="T1002" s="5">
        <v>45132</v>
      </c>
      <c r="U1002" t="s">
        <v>2922</v>
      </c>
    </row>
    <row r="1003" spans="1:21" x14ac:dyDescent="0.25">
      <c r="A1003" s="5">
        <v>45567</v>
      </c>
      <c r="B1003" s="7">
        <f>Table1[[#This Row],[TotalPrice]] * (1 - Table1[[#This Row],[Discount]])</f>
        <v>5591.28</v>
      </c>
      <c r="C1003" s="7">
        <f>Table1[[#This Row],[Net Sales]] * 0.2</f>
        <v>1118.2560000000001</v>
      </c>
      <c r="D1003" t="s">
        <v>21</v>
      </c>
      <c r="E1003" t="s">
        <v>26</v>
      </c>
      <c r="F1003">
        <v>12</v>
      </c>
      <c r="G1003">
        <v>465.94</v>
      </c>
      <c r="H1003" t="s">
        <v>34</v>
      </c>
      <c r="I1003" t="s">
        <v>35</v>
      </c>
      <c r="J1003" s="3">
        <v>0</v>
      </c>
      <c r="K1003" t="s">
        <v>38</v>
      </c>
      <c r="L1003">
        <v>5591.28</v>
      </c>
      <c r="M1003" t="s">
        <v>45</v>
      </c>
      <c r="N1003" t="s">
        <v>50</v>
      </c>
      <c r="O1003">
        <v>0</v>
      </c>
      <c r="P1003" t="s">
        <v>1052</v>
      </c>
      <c r="Q1003" t="s">
        <v>2494</v>
      </c>
      <c r="R1003">
        <v>34.159999999999997</v>
      </c>
      <c r="S1003" s="5">
        <v>45567</v>
      </c>
      <c r="T1003" s="5">
        <v>45571</v>
      </c>
      <c r="U1003" t="s">
        <v>2924</v>
      </c>
    </row>
    <row r="1004" spans="1:21" x14ac:dyDescent="0.25">
      <c r="A1004" s="5">
        <v>45627</v>
      </c>
      <c r="B1004" s="7">
        <f>Table1[[#This Row],[TotalPrice]] * (1 - Table1[[#This Row],[Discount]])</f>
        <v>1628.2259999999999</v>
      </c>
      <c r="C1004" s="7">
        <f>Table1[[#This Row],[Net Sales]] * 0.2</f>
        <v>325.64519999999999</v>
      </c>
      <c r="D1004" t="s">
        <v>23</v>
      </c>
      <c r="E1004" t="s">
        <v>25</v>
      </c>
      <c r="F1004">
        <v>12</v>
      </c>
      <c r="G1004">
        <v>187.8</v>
      </c>
      <c r="H1004" t="s">
        <v>34</v>
      </c>
      <c r="I1004" t="s">
        <v>35</v>
      </c>
      <c r="J1004" s="3">
        <v>0.15</v>
      </c>
      <c r="K1004" t="s">
        <v>41</v>
      </c>
      <c r="L1004">
        <v>1915.56</v>
      </c>
      <c r="M1004" t="s">
        <v>43</v>
      </c>
      <c r="N1004" t="s">
        <v>48</v>
      </c>
      <c r="O1004">
        <v>0</v>
      </c>
      <c r="P1004" t="s">
        <v>1053</v>
      </c>
      <c r="Q1004" t="s">
        <v>2495</v>
      </c>
      <c r="R1004">
        <v>17.739999999999998</v>
      </c>
      <c r="S1004" s="5">
        <v>45627</v>
      </c>
      <c r="T1004" s="5">
        <v>45630</v>
      </c>
      <c r="U1004" t="s">
        <v>2926</v>
      </c>
    </row>
    <row r="1005" spans="1:21" x14ac:dyDescent="0.25">
      <c r="A1005" s="5">
        <v>45538</v>
      </c>
      <c r="B1005" s="7">
        <f>Table1[[#This Row],[TotalPrice]] * (1 - Table1[[#This Row],[Discount]])</f>
        <v>405.53924999999998</v>
      </c>
      <c r="C1005" s="7">
        <f>Table1[[#This Row],[Net Sales]] * 0.2</f>
        <v>81.107849999999999</v>
      </c>
      <c r="D1005" t="s">
        <v>19</v>
      </c>
      <c r="E1005" t="s">
        <v>26</v>
      </c>
      <c r="F1005">
        <v>1</v>
      </c>
      <c r="G1005">
        <v>561.29999999999995</v>
      </c>
      <c r="H1005" t="s">
        <v>34</v>
      </c>
      <c r="I1005" t="s">
        <v>36</v>
      </c>
      <c r="J1005" s="3">
        <v>0.15</v>
      </c>
      <c r="K1005" t="s">
        <v>39</v>
      </c>
      <c r="L1005">
        <v>477.10500000000002</v>
      </c>
      <c r="M1005" t="s">
        <v>44</v>
      </c>
      <c r="O1005">
        <v>0</v>
      </c>
      <c r="P1005" t="s">
        <v>1054</v>
      </c>
      <c r="Q1005" t="s">
        <v>2496</v>
      </c>
      <c r="R1005">
        <v>5.19</v>
      </c>
      <c r="S1005" s="5">
        <v>45538</v>
      </c>
      <c r="T1005" s="5">
        <v>45547</v>
      </c>
      <c r="U1005" t="s">
        <v>2922</v>
      </c>
    </row>
    <row r="1006" spans="1:21" x14ac:dyDescent="0.25">
      <c r="A1006" s="5">
        <v>45710</v>
      </c>
      <c r="B1006" s="7">
        <f>Table1[[#This Row],[TotalPrice]] * (1 - Table1[[#This Row],[Discount]])</f>
        <v>901.54994999999997</v>
      </c>
      <c r="C1006" s="7">
        <f>Table1[[#This Row],[Net Sales]] * 0.2</f>
        <v>180.30999</v>
      </c>
      <c r="D1006" t="s">
        <v>23</v>
      </c>
      <c r="E1006" t="s">
        <v>30</v>
      </c>
      <c r="F1006">
        <v>7</v>
      </c>
      <c r="G1006">
        <v>178.26</v>
      </c>
      <c r="H1006" t="s">
        <v>33</v>
      </c>
      <c r="I1006" t="s">
        <v>36</v>
      </c>
      <c r="J1006" s="3">
        <v>0.15</v>
      </c>
      <c r="K1006" t="s">
        <v>42</v>
      </c>
      <c r="L1006">
        <v>1060.6469999999999</v>
      </c>
      <c r="M1006" t="s">
        <v>43</v>
      </c>
      <c r="N1006" t="s">
        <v>48</v>
      </c>
      <c r="O1006">
        <v>0</v>
      </c>
      <c r="P1006" t="s">
        <v>1055</v>
      </c>
      <c r="Q1006" t="s">
        <v>2497</v>
      </c>
      <c r="R1006">
        <v>44.91</v>
      </c>
      <c r="S1006" s="5">
        <v>45710</v>
      </c>
      <c r="T1006" s="5">
        <v>45717</v>
      </c>
      <c r="U1006" t="s">
        <v>2926</v>
      </c>
    </row>
    <row r="1007" spans="1:21" x14ac:dyDescent="0.25">
      <c r="A1007" s="5">
        <v>45788</v>
      </c>
      <c r="B1007" s="7">
        <f>Table1[[#This Row],[TotalPrice]] * (1 - Table1[[#This Row],[Discount]])</f>
        <v>7988.3935000000001</v>
      </c>
      <c r="C1007" s="7">
        <f>Table1[[#This Row],[Net Sales]] * 0.2</f>
        <v>1597.6787000000002</v>
      </c>
      <c r="D1007" t="s">
        <v>23</v>
      </c>
      <c r="E1007" t="s">
        <v>28</v>
      </c>
      <c r="F1007">
        <v>20</v>
      </c>
      <c r="G1007">
        <v>552.83000000000004</v>
      </c>
      <c r="H1007" t="s">
        <v>34</v>
      </c>
      <c r="I1007" t="s">
        <v>36</v>
      </c>
      <c r="J1007" s="3">
        <v>0.15</v>
      </c>
      <c r="K1007" t="s">
        <v>37</v>
      </c>
      <c r="L1007">
        <v>9398.11</v>
      </c>
      <c r="M1007" t="s">
        <v>43</v>
      </c>
      <c r="N1007" t="s">
        <v>48</v>
      </c>
      <c r="O1007">
        <v>1</v>
      </c>
      <c r="P1007" t="s">
        <v>1056</v>
      </c>
      <c r="Q1007" t="s">
        <v>2498</v>
      </c>
      <c r="R1007">
        <v>20.5</v>
      </c>
      <c r="S1007" s="5">
        <v>45788</v>
      </c>
      <c r="T1007" s="5">
        <v>45790</v>
      </c>
      <c r="U1007" t="s">
        <v>2926</v>
      </c>
    </row>
    <row r="1008" spans="1:21" x14ac:dyDescent="0.25">
      <c r="A1008" s="5">
        <v>45646</v>
      </c>
      <c r="B1008" s="7">
        <f>Table1[[#This Row],[TotalPrice]] * (1 - Table1[[#This Row],[Discount]])</f>
        <v>916.5</v>
      </c>
      <c r="C1008" s="7">
        <f>Table1[[#This Row],[Net Sales]] * 0.2</f>
        <v>183.3</v>
      </c>
      <c r="D1008" t="s">
        <v>22</v>
      </c>
      <c r="E1008" t="s">
        <v>29</v>
      </c>
      <c r="F1008">
        <v>2</v>
      </c>
      <c r="G1008">
        <v>458.25</v>
      </c>
      <c r="H1008" t="s">
        <v>31</v>
      </c>
      <c r="I1008" t="s">
        <v>35</v>
      </c>
      <c r="J1008" s="3">
        <v>0</v>
      </c>
      <c r="K1008" t="s">
        <v>37</v>
      </c>
      <c r="L1008">
        <v>916.5</v>
      </c>
      <c r="M1008" t="s">
        <v>44</v>
      </c>
      <c r="N1008" t="s">
        <v>49</v>
      </c>
      <c r="O1008">
        <v>0</v>
      </c>
      <c r="P1008" t="s">
        <v>1057</v>
      </c>
      <c r="Q1008" t="s">
        <v>2499</v>
      </c>
      <c r="R1008">
        <v>25.94</v>
      </c>
      <c r="S1008" s="5">
        <v>45646</v>
      </c>
      <c r="T1008" s="5">
        <v>45655</v>
      </c>
      <c r="U1008" t="s">
        <v>2925</v>
      </c>
    </row>
    <row r="1009" spans="1:21" x14ac:dyDescent="0.25">
      <c r="A1009" s="5">
        <v>45034</v>
      </c>
      <c r="B1009" s="7">
        <f>Table1[[#This Row],[TotalPrice]] * (1 - Table1[[#This Row],[Discount]])</f>
        <v>233.62115</v>
      </c>
      <c r="C1009" s="7">
        <f>Table1[[#This Row],[Net Sales]] * 0.2</f>
        <v>46.724230000000006</v>
      </c>
      <c r="D1009" t="s">
        <v>19</v>
      </c>
      <c r="E1009" t="s">
        <v>24</v>
      </c>
      <c r="F1009">
        <v>2</v>
      </c>
      <c r="G1009">
        <v>129.43</v>
      </c>
      <c r="H1009" t="s">
        <v>34</v>
      </c>
      <c r="I1009" t="s">
        <v>36</v>
      </c>
      <c r="J1009" s="3">
        <v>0.05</v>
      </c>
      <c r="K1009" t="s">
        <v>38</v>
      </c>
      <c r="L1009">
        <v>245.917</v>
      </c>
      <c r="M1009" t="s">
        <v>46</v>
      </c>
      <c r="N1009" t="s">
        <v>48</v>
      </c>
      <c r="O1009">
        <v>0</v>
      </c>
      <c r="P1009" t="s">
        <v>1058</v>
      </c>
      <c r="Q1009" t="s">
        <v>2500</v>
      </c>
      <c r="R1009">
        <v>6.91</v>
      </c>
      <c r="S1009" s="5">
        <v>45034</v>
      </c>
      <c r="T1009" s="5">
        <v>45037</v>
      </c>
      <c r="U1009" t="s">
        <v>2922</v>
      </c>
    </row>
    <row r="1010" spans="1:21" x14ac:dyDescent="0.25">
      <c r="A1010" s="5">
        <v>45533</v>
      </c>
      <c r="B1010" s="7">
        <f>Table1[[#This Row],[TotalPrice]] * (1 - Table1[[#This Row],[Discount]])</f>
        <v>6897.9519</v>
      </c>
      <c r="C1010" s="7">
        <f>Table1[[#This Row],[Net Sales]] * 0.2</f>
        <v>1379.5903800000001</v>
      </c>
      <c r="D1010" t="s">
        <v>19</v>
      </c>
      <c r="E1010" t="s">
        <v>30</v>
      </c>
      <c r="F1010">
        <v>19</v>
      </c>
      <c r="G1010">
        <v>448.21</v>
      </c>
      <c r="H1010" t="s">
        <v>33</v>
      </c>
      <c r="I1010" t="s">
        <v>35</v>
      </c>
      <c r="J1010" s="3">
        <v>0.1</v>
      </c>
      <c r="K1010" t="s">
        <v>38</v>
      </c>
      <c r="L1010">
        <v>7664.3909999999996</v>
      </c>
      <c r="M1010" t="s">
        <v>46</v>
      </c>
      <c r="N1010" t="s">
        <v>50</v>
      </c>
      <c r="O1010">
        <v>0</v>
      </c>
      <c r="P1010" t="s">
        <v>1059</v>
      </c>
      <c r="Q1010" t="s">
        <v>2004</v>
      </c>
      <c r="R1010">
        <v>30.71</v>
      </c>
      <c r="S1010" s="5">
        <v>45533</v>
      </c>
      <c r="T1010" s="5">
        <v>45538</v>
      </c>
      <c r="U1010" t="s">
        <v>2922</v>
      </c>
    </row>
    <row r="1011" spans="1:21" x14ac:dyDescent="0.25">
      <c r="A1011" s="5">
        <v>45172</v>
      </c>
      <c r="B1011" s="7">
        <f>Table1[[#This Row],[TotalPrice]] * (1 - Table1[[#This Row],[Discount]])</f>
        <v>6360.5312000000004</v>
      </c>
      <c r="C1011" s="7">
        <f>Table1[[#This Row],[Net Sales]] * 0.2</f>
        <v>1272.1062400000001</v>
      </c>
      <c r="D1011" t="s">
        <v>21</v>
      </c>
      <c r="E1011" t="s">
        <v>26</v>
      </c>
      <c r="F1011">
        <v>16</v>
      </c>
      <c r="G1011">
        <v>440.48</v>
      </c>
      <c r="H1011" t="s">
        <v>31</v>
      </c>
      <c r="I1011" t="s">
        <v>36</v>
      </c>
      <c r="J1011" s="3">
        <v>0.05</v>
      </c>
      <c r="K1011" t="s">
        <v>39</v>
      </c>
      <c r="L1011">
        <v>6695.2960000000003</v>
      </c>
      <c r="M1011" t="s">
        <v>47</v>
      </c>
      <c r="N1011" t="s">
        <v>48</v>
      </c>
      <c r="O1011">
        <v>1</v>
      </c>
      <c r="P1011" t="s">
        <v>1060</v>
      </c>
      <c r="Q1011" t="s">
        <v>2501</v>
      </c>
      <c r="R1011">
        <v>26.87</v>
      </c>
      <c r="S1011" s="5">
        <v>45172</v>
      </c>
      <c r="T1011" s="5">
        <v>45179</v>
      </c>
      <c r="U1011" t="s">
        <v>2924</v>
      </c>
    </row>
    <row r="1012" spans="1:21" x14ac:dyDescent="0.25">
      <c r="A1012" s="5">
        <v>45796</v>
      </c>
      <c r="B1012" s="7">
        <f>Table1[[#This Row],[TotalPrice]] * (1 - Table1[[#This Row],[Discount]])</f>
        <v>2100.96</v>
      </c>
      <c r="C1012" s="7">
        <f>Table1[[#This Row],[Net Sales]] * 0.2</f>
        <v>420.19200000000001</v>
      </c>
      <c r="D1012" t="s">
        <v>19</v>
      </c>
      <c r="E1012" t="s">
        <v>24</v>
      </c>
      <c r="F1012">
        <v>8</v>
      </c>
      <c r="G1012">
        <v>262.62</v>
      </c>
      <c r="H1012" t="s">
        <v>33</v>
      </c>
      <c r="I1012" t="s">
        <v>35</v>
      </c>
      <c r="J1012" s="3">
        <v>0</v>
      </c>
      <c r="K1012" t="s">
        <v>38</v>
      </c>
      <c r="L1012">
        <v>2100.96</v>
      </c>
      <c r="M1012" t="s">
        <v>47</v>
      </c>
      <c r="N1012" t="s">
        <v>48</v>
      </c>
      <c r="O1012">
        <v>1</v>
      </c>
      <c r="P1012" t="s">
        <v>1061</v>
      </c>
      <c r="Q1012" t="s">
        <v>2502</v>
      </c>
      <c r="R1012">
        <v>36.729999999999997</v>
      </c>
      <c r="S1012" s="5">
        <v>45796</v>
      </c>
      <c r="T1012" s="5">
        <v>45801</v>
      </c>
      <c r="U1012" t="s">
        <v>2922</v>
      </c>
    </row>
    <row r="1013" spans="1:21" x14ac:dyDescent="0.25">
      <c r="A1013" s="5">
        <v>45095</v>
      </c>
      <c r="B1013" s="7">
        <f>Table1[[#This Row],[TotalPrice]] * (1 - Table1[[#This Row],[Discount]])</f>
        <v>1517.6565000000001</v>
      </c>
      <c r="C1013" s="7">
        <f>Table1[[#This Row],[Net Sales]] * 0.2</f>
        <v>303.53130000000004</v>
      </c>
      <c r="D1013" t="s">
        <v>19</v>
      </c>
      <c r="E1013" t="s">
        <v>29</v>
      </c>
      <c r="F1013">
        <v>15</v>
      </c>
      <c r="G1013">
        <v>124.91</v>
      </c>
      <c r="H1013" t="s">
        <v>32</v>
      </c>
      <c r="I1013" t="s">
        <v>35</v>
      </c>
      <c r="J1013" s="3">
        <v>0.1</v>
      </c>
      <c r="K1013" t="s">
        <v>37</v>
      </c>
      <c r="L1013">
        <v>1686.2850000000001</v>
      </c>
      <c r="M1013" t="s">
        <v>44</v>
      </c>
      <c r="N1013" t="s">
        <v>48</v>
      </c>
      <c r="O1013">
        <v>0</v>
      </c>
      <c r="P1013" t="s">
        <v>1062</v>
      </c>
      <c r="Q1013" t="s">
        <v>2503</v>
      </c>
      <c r="R1013">
        <v>31.95</v>
      </c>
      <c r="S1013" s="5">
        <v>45095</v>
      </c>
      <c r="T1013" s="5">
        <v>45103</v>
      </c>
      <c r="U1013" t="s">
        <v>2922</v>
      </c>
    </row>
    <row r="1014" spans="1:21" x14ac:dyDescent="0.25">
      <c r="A1014" s="5">
        <v>45826</v>
      </c>
      <c r="B1014" s="7">
        <f>Table1[[#This Row],[TotalPrice]] * (1 - Table1[[#This Row],[Discount]])</f>
        <v>2850.39</v>
      </c>
      <c r="C1014" s="7">
        <f>Table1[[#This Row],[Net Sales]] * 0.2</f>
        <v>570.07799999999997</v>
      </c>
      <c r="D1014" t="s">
        <v>23</v>
      </c>
      <c r="E1014" t="s">
        <v>28</v>
      </c>
      <c r="F1014">
        <v>9</v>
      </c>
      <c r="G1014">
        <v>391</v>
      </c>
      <c r="H1014" t="s">
        <v>34</v>
      </c>
      <c r="I1014" t="s">
        <v>35</v>
      </c>
      <c r="J1014" s="3">
        <v>0.1</v>
      </c>
      <c r="K1014" t="s">
        <v>37</v>
      </c>
      <c r="L1014">
        <v>3167.1</v>
      </c>
      <c r="M1014" t="s">
        <v>46</v>
      </c>
      <c r="N1014" t="s">
        <v>50</v>
      </c>
      <c r="O1014">
        <v>0</v>
      </c>
      <c r="P1014" t="s">
        <v>1063</v>
      </c>
      <c r="Q1014" t="s">
        <v>2504</v>
      </c>
      <c r="R1014">
        <v>46.76</v>
      </c>
      <c r="S1014" s="5">
        <v>45826</v>
      </c>
      <c r="T1014" s="5">
        <v>45830</v>
      </c>
      <c r="U1014" t="s">
        <v>2926</v>
      </c>
    </row>
    <row r="1015" spans="1:21" x14ac:dyDescent="0.25">
      <c r="A1015" s="5">
        <v>45564</v>
      </c>
      <c r="B1015" s="7">
        <f>Table1[[#This Row],[TotalPrice]] * (1 - Table1[[#This Row],[Discount]])</f>
        <v>2210.9445000000001</v>
      </c>
      <c r="C1015" s="7">
        <f>Table1[[#This Row],[Net Sales]] * 0.2</f>
        <v>442.18890000000005</v>
      </c>
      <c r="D1015" t="s">
        <v>20</v>
      </c>
      <c r="E1015" t="s">
        <v>24</v>
      </c>
      <c r="F1015">
        <v>12</v>
      </c>
      <c r="G1015">
        <v>204.15</v>
      </c>
      <c r="H1015" t="s">
        <v>33</v>
      </c>
      <c r="I1015" t="s">
        <v>36</v>
      </c>
      <c r="J1015" s="3">
        <v>0.05</v>
      </c>
      <c r="K1015" t="s">
        <v>38</v>
      </c>
      <c r="L1015">
        <v>2327.31</v>
      </c>
      <c r="M1015" t="s">
        <v>46</v>
      </c>
      <c r="N1015" t="s">
        <v>48</v>
      </c>
      <c r="O1015">
        <v>1</v>
      </c>
      <c r="P1015" t="s">
        <v>1064</v>
      </c>
      <c r="Q1015" t="s">
        <v>2505</v>
      </c>
      <c r="R1015">
        <v>26.4</v>
      </c>
      <c r="S1015" s="5">
        <v>45564</v>
      </c>
      <c r="T1015" s="5">
        <v>45572</v>
      </c>
      <c r="U1015" t="s">
        <v>2923</v>
      </c>
    </row>
    <row r="1016" spans="1:21" x14ac:dyDescent="0.25">
      <c r="A1016" s="5">
        <v>45347</v>
      </c>
      <c r="B1016" s="7">
        <f>Table1[[#This Row],[TotalPrice]] * (1 - Table1[[#This Row],[Discount]])</f>
        <v>197.09799999999998</v>
      </c>
      <c r="C1016" s="7">
        <f>Table1[[#This Row],[Net Sales]] * 0.2</f>
        <v>39.419600000000003</v>
      </c>
      <c r="D1016" t="s">
        <v>19</v>
      </c>
      <c r="E1016" t="s">
        <v>24</v>
      </c>
      <c r="F1016">
        <v>20</v>
      </c>
      <c r="G1016">
        <v>13.64</v>
      </c>
      <c r="H1016" t="s">
        <v>33</v>
      </c>
      <c r="I1016" t="s">
        <v>36</v>
      </c>
      <c r="J1016" s="3">
        <v>0.15</v>
      </c>
      <c r="K1016" t="s">
        <v>39</v>
      </c>
      <c r="L1016">
        <v>231.88</v>
      </c>
      <c r="M1016" t="s">
        <v>45</v>
      </c>
      <c r="N1016" t="s">
        <v>49</v>
      </c>
      <c r="O1016">
        <v>0</v>
      </c>
      <c r="P1016" t="s">
        <v>1065</v>
      </c>
      <c r="Q1016" t="s">
        <v>2506</v>
      </c>
      <c r="R1016">
        <v>33.6</v>
      </c>
      <c r="S1016" s="5">
        <v>45347</v>
      </c>
      <c r="T1016" s="5">
        <v>45355</v>
      </c>
      <c r="U1016" t="s">
        <v>2922</v>
      </c>
    </row>
    <row r="1017" spans="1:21" x14ac:dyDescent="0.25">
      <c r="A1017" s="5">
        <v>45372</v>
      </c>
      <c r="B1017" s="7">
        <f>Table1[[#This Row],[TotalPrice]] * (1 - Table1[[#This Row],[Discount]])</f>
        <v>6632.1114999999991</v>
      </c>
      <c r="C1017" s="7">
        <f>Table1[[#This Row],[Net Sales]] * 0.2</f>
        <v>1326.4223</v>
      </c>
      <c r="D1017" t="s">
        <v>21</v>
      </c>
      <c r="E1017" t="s">
        <v>30</v>
      </c>
      <c r="F1017">
        <v>14</v>
      </c>
      <c r="G1017">
        <v>524.9</v>
      </c>
      <c r="H1017" t="s">
        <v>33</v>
      </c>
      <c r="I1017" t="s">
        <v>35</v>
      </c>
      <c r="J1017" s="3">
        <v>0.05</v>
      </c>
      <c r="K1017" t="s">
        <v>38</v>
      </c>
      <c r="L1017">
        <v>6981.1699999999992</v>
      </c>
      <c r="M1017" t="s">
        <v>47</v>
      </c>
      <c r="N1017" t="s">
        <v>48</v>
      </c>
      <c r="O1017">
        <v>1</v>
      </c>
      <c r="P1017" t="s">
        <v>1066</v>
      </c>
      <c r="Q1017" t="s">
        <v>2507</v>
      </c>
      <c r="R1017">
        <v>20.23</v>
      </c>
      <c r="S1017" s="5">
        <v>45372</v>
      </c>
      <c r="T1017" s="5">
        <v>45381</v>
      </c>
      <c r="U1017" t="s">
        <v>2924</v>
      </c>
    </row>
    <row r="1018" spans="1:21" x14ac:dyDescent="0.25">
      <c r="A1018" s="5">
        <v>45325</v>
      </c>
      <c r="B1018" s="7">
        <f>Table1[[#This Row],[TotalPrice]] * (1 - Table1[[#This Row],[Discount]])</f>
        <v>932.79600000000005</v>
      </c>
      <c r="C1018" s="7">
        <f>Table1[[#This Row],[Net Sales]] * 0.2</f>
        <v>186.55920000000003</v>
      </c>
      <c r="D1018" t="s">
        <v>21</v>
      </c>
      <c r="E1018" t="s">
        <v>24</v>
      </c>
      <c r="F1018">
        <v>8</v>
      </c>
      <c r="G1018">
        <v>143.94999999999999</v>
      </c>
      <c r="H1018" t="s">
        <v>31</v>
      </c>
      <c r="I1018" t="s">
        <v>36</v>
      </c>
      <c r="J1018" s="3">
        <v>0.1</v>
      </c>
      <c r="K1018" t="s">
        <v>41</v>
      </c>
      <c r="L1018">
        <v>1036.44</v>
      </c>
      <c r="M1018" t="s">
        <v>47</v>
      </c>
      <c r="N1018" t="s">
        <v>49</v>
      </c>
      <c r="O1018">
        <v>0</v>
      </c>
      <c r="P1018" t="s">
        <v>1067</v>
      </c>
      <c r="Q1018" t="s">
        <v>2508</v>
      </c>
      <c r="R1018">
        <v>28.09</v>
      </c>
      <c r="S1018" s="5">
        <v>45325</v>
      </c>
      <c r="T1018" s="5">
        <v>45331</v>
      </c>
      <c r="U1018" t="s">
        <v>2924</v>
      </c>
    </row>
    <row r="1019" spans="1:21" x14ac:dyDescent="0.25">
      <c r="A1019" s="5">
        <v>45251</v>
      </c>
      <c r="B1019" s="7">
        <f>Table1[[#This Row],[TotalPrice]] * (1 - Table1[[#This Row],[Discount]])</f>
        <v>934.48079999999993</v>
      </c>
      <c r="C1019" s="7">
        <f>Table1[[#This Row],[Net Sales]] * 0.2</f>
        <v>186.89616000000001</v>
      </c>
      <c r="D1019" t="s">
        <v>20</v>
      </c>
      <c r="E1019" t="s">
        <v>24</v>
      </c>
      <c r="F1019">
        <v>2</v>
      </c>
      <c r="G1019">
        <v>576.84</v>
      </c>
      <c r="H1019" t="s">
        <v>34</v>
      </c>
      <c r="I1019" t="s">
        <v>36</v>
      </c>
      <c r="J1019" s="3">
        <v>0.1</v>
      </c>
      <c r="K1019" t="s">
        <v>39</v>
      </c>
      <c r="L1019">
        <v>1038.3119999999999</v>
      </c>
      <c r="M1019" t="s">
        <v>45</v>
      </c>
      <c r="N1019" t="s">
        <v>48</v>
      </c>
      <c r="O1019">
        <v>0</v>
      </c>
      <c r="P1019" t="s">
        <v>1068</v>
      </c>
      <c r="Q1019" t="s">
        <v>2509</v>
      </c>
      <c r="R1019">
        <v>43.32</v>
      </c>
      <c r="S1019" s="5">
        <v>45251</v>
      </c>
      <c r="T1019" s="5">
        <v>45254</v>
      </c>
      <c r="U1019" t="s">
        <v>2923</v>
      </c>
    </row>
    <row r="1020" spans="1:21" x14ac:dyDescent="0.25">
      <c r="A1020" s="5">
        <v>44936</v>
      </c>
      <c r="B1020" s="7">
        <f>Table1[[#This Row],[TotalPrice]] * (1 - Table1[[#This Row],[Discount]])</f>
        <v>3513.72</v>
      </c>
      <c r="C1020" s="7">
        <f>Table1[[#This Row],[Net Sales]] * 0.2</f>
        <v>702.74400000000003</v>
      </c>
      <c r="D1020" t="s">
        <v>23</v>
      </c>
      <c r="E1020" t="s">
        <v>27</v>
      </c>
      <c r="F1020">
        <v>14</v>
      </c>
      <c r="G1020">
        <v>250.98</v>
      </c>
      <c r="H1020" t="s">
        <v>33</v>
      </c>
      <c r="I1020" t="s">
        <v>36</v>
      </c>
      <c r="J1020" s="3">
        <v>0</v>
      </c>
      <c r="K1020" t="s">
        <v>37</v>
      </c>
      <c r="L1020">
        <v>3513.72</v>
      </c>
      <c r="M1020" t="s">
        <v>46</v>
      </c>
      <c r="O1020">
        <v>0</v>
      </c>
      <c r="P1020" t="s">
        <v>1069</v>
      </c>
      <c r="Q1020" t="s">
        <v>2510</v>
      </c>
      <c r="R1020">
        <v>14.94</v>
      </c>
      <c r="S1020" s="5">
        <v>44936</v>
      </c>
      <c r="T1020" s="5">
        <v>44944</v>
      </c>
      <c r="U1020" t="s">
        <v>2926</v>
      </c>
    </row>
    <row r="1021" spans="1:21" x14ac:dyDescent="0.25">
      <c r="A1021" s="5">
        <v>44963</v>
      </c>
      <c r="B1021" s="7">
        <f>Table1[[#This Row],[TotalPrice]] * (1 - Table1[[#This Row],[Discount]])</f>
        <v>2347.87</v>
      </c>
      <c r="C1021" s="7">
        <f>Table1[[#This Row],[Net Sales]] * 0.2</f>
        <v>469.57400000000001</v>
      </c>
      <c r="D1021" t="s">
        <v>22</v>
      </c>
      <c r="E1021" t="s">
        <v>25</v>
      </c>
      <c r="F1021">
        <v>7</v>
      </c>
      <c r="G1021">
        <v>335.41</v>
      </c>
      <c r="H1021" t="s">
        <v>33</v>
      </c>
      <c r="I1021" t="s">
        <v>36</v>
      </c>
      <c r="J1021" s="3">
        <v>0</v>
      </c>
      <c r="K1021" t="s">
        <v>42</v>
      </c>
      <c r="L1021">
        <v>2347.87</v>
      </c>
      <c r="M1021" t="s">
        <v>43</v>
      </c>
      <c r="N1021" t="s">
        <v>49</v>
      </c>
      <c r="O1021">
        <v>0</v>
      </c>
      <c r="P1021" t="s">
        <v>1070</v>
      </c>
      <c r="Q1021" t="s">
        <v>1820</v>
      </c>
      <c r="R1021">
        <v>18.91</v>
      </c>
      <c r="S1021" s="5">
        <v>44963</v>
      </c>
      <c r="T1021" s="5">
        <v>44967</v>
      </c>
      <c r="U1021" t="s">
        <v>2925</v>
      </c>
    </row>
    <row r="1022" spans="1:21" x14ac:dyDescent="0.25">
      <c r="A1022" s="5">
        <v>45757</v>
      </c>
      <c r="B1022" s="7">
        <f>Table1[[#This Row],[TotalPrice]] * (1 - Table1[[#This Row],[Discount]])</f>
        <v>2249.5</v>
      </c>
      <c r="C1022" s="7">
        <f>Table1[[#This Row],[Net Sales]] * 0.2</f>
        <v>449.90000000000003</v>
      </c>
      <c r="D1022" t="s">
        <v>21</v>
      </c>
      <c r="E1022" t="s">
        <v>30</v>
      </c>
      <c r="F1022">
        <v>11</v>
      </c>
      <c r="G1022">
        <v>204.5</v>
      </c>
      <c r="H1022" t="s">
        <v>32</v>
      </c>
      <c r="I1022" t="s">
        <v>36</v>
      </c>
      <c r="J1022" s="3">
        <v>0</v>
      </c>
      <c r="K1022" t="s">
        <v>37</v>
      </c>
      <c r="L1022">
        <v>2249.5</v>
      </c>
      <c r="M1022" t="s">
        <v>46</v>
      </c>
      <c r="N1022" t="s">
        <v>50</v>
      </c>
      <c r="O1022">
        <v>0</v>
      </c>
      <c r="P1022" t="s">
        <v>1071</v>
      </c>
      <c r="Q1022" t="s">
        <v>2413</v>
      </c>
      <c r="R1022">
        <v>13.82</v>
      </c>
      <c r="S1022" s="5">
        <v>45757</v>
      </c>
      <c r="T1022" s="5">
        <v>45767</v>
      </c>
      <c r="U1022" t="s">
        <v>2924</v>
      </c>
    </row>
    <row r="1023" spans="1:21" x14ac:dyDescent="0.25">
      <c r="A1023" s="5">
        <v>45336</v>
      </c>
      <c r="B1023" s="7">
        <f>Table1[[#This Row],[TotalPrice]] * (1 - Table1[[#This Row],[Discount]])</f>
        <v>489.72357499999993</v>
      </c>
      <c r="C1023" s="7">
        <f>Table1[[#This Row],[Net Sales]] * 0.2</f>
        <v>97.944714999999988</v>
      </c>
      <c r="D1023" t="s">
        <v>19</v>
      </c>
      <c r="E1023" t="s">
        <v>29</v>
      </c>
      <c r="F1023">
        <v>1</v>
      </c>
      <c r="G1023">
        <v>542.63</v>
      </c>
      <c r="H1023" t="s">
        <v>32</v>
      </c>
      <c r="I1023" t="s">
        <v>36</v>
      </c>
      <c r="J1023" s="3">
        <v>0.05</v>
      </c>
      <c r="K1023" t="s">
        <v>40</v>
      </c>
      <c r="L1023">
        <v>515.49849999999992</v>
      </c>
      <c r="M1023" t="s">
        <v>45</v>
      </c>
      <c r="O1023">
        <v>0</v>
      </c>
      <c r="P1023" t="s">
        <v>1072</v>
      </c>
      <c r="Q1023" t="s">
        <v>2511</v>
      </c>
      <c r="R1023">
        <v>33.200000000000003</v>
      </c>
      <c r="S1023" s="5">
        <v>45336</v>
      </c>
      <c r="T1023" s="5">
        <v>45343</v>
      </c>
      <c r="U1023" t="s">
        <v>2922</v>
      </c>
    </row>
    <row r="1024" spans="1:21" x14ac:dyDescent="0.25">
      <c r="A1024" s="5">
        <v>45803</v>
      </c>
      <c r="B1024" s="7">
        <f>Table1[[#This Row],[TotalPrice]] * (1 - Table1[[#This Row],[Discount]])</f>
        <v>165.67740000000001</v>
      </c>
      <c r="C1024" s="7">
        <f>Table1[[#This Row],[Net Sales]] * 0.2</f>
        <v>33.135480000000001</v>
      </c>
      <c r="D1024" t="s">
        <v>19</v>
      </c>
      <c r="E1024" t="s">
        <v>25</v>
      </c>
      <c r="F1024">
        <v>1</v>
      </c>
      <c r="G1024">
        <v>204.54</v>
      </c>
      <c r="H1024" t="s">
        <v>34</v>
      </c>
      <c r="I1024" t="s">
        <v>36</v>
      </c>
      <c r="J1024" s="3">
        <v>0.1</v>
      </c>
      <c r="K1024" t="s">
        <v>40</v>
      </c>
      <c r="L1024">
        <v>184.08600000000001</v>
      </c>
      <c r="M1024" t="s">
        <v>43</v>
      </c>
      <c r="O1024">
        <v>1</v>
      </c>
      <c r="P1024" t="s">
        <v>1073</v>
      </c>
      <c r="Q1024" t="s">
        <v>2512</v>
      </c>
      <c r="R1024">
        <v>17.760000000000002</v>
      </c>
      <c r="S1024" s="5">
        <v>45803</v>
      </c>
      <c r="T1024" s="5">
        <v>45806</v>
      </c>
      <c r="U1024" t="s">
        <v>2922</v>
      </c>
    </row>
    <row r="1025" spans="1:21" x14ac:dyDescent="0.25">
      <c r="A1025" s="5">
        <v>45181</v>
      </c>
      <c r="B1025" s="7">
        <f>Table1[[#This Row],[TotalPrice]] * (1 - Table1[[#This Row],[Discount]])</f>
        <v>3031.4654999999998</v>
      </c>
      <c r="C1025" s="7">
        <f>Table1[[#This Row],[Net Sales]] * 0.2</f>
        <v>606.29309999999998</v>
      </c>
      <c r="D1025" t="s">
        <v>23</v>
      </c>
      <c r="E1025" t="s">
        <v>27</v>
      </c>
      <c r="F1025">
        <v>10</v>
      </c>
      <c r="G1025">
        <v>419.58</v>
      </c>
      <c r="H1025" t="s">
        <v>32</v>
      </c>
      <c r="I1025" t="s">
        <v>35</v>
      </c>
      <c r="J1025" s="3">
        <v>0.15</v>
      </c>
      <c r="K1025" t="s">
        <v>37</v>
      </c>
      <c r="L1025">
        <v>3566.43</v>
      </c>
      <c r="M1025" t="s">
        <v>46</v>
      </c>
      <c r="N1025" t="s">
        <v>48</v>
      </c>
      <c r="O1025">
        <v>0</v>
      </c>
      <c r="P1025" t="s">
        <v>1074</v>
      </c>
      <c r="Q1025" t="s">
        <v>2308</v>
      </c>
      <c r="R1025">
        <v>13.09</v>
      </c>
      <c r="S1025" s="5">
        <v>45181</v>
      </c>
      <c r="T1025" s="5">
        <v>45188</v>
      </c>
      <c r="U1025" t="s">
        <v>2926</v>
      </c>
    </row>
    <row r="1026" spans="1:21" x14ac:dyDescent="0.25">
      <c r="A1026" s="5">
        <v>45063</v>
      </c>
      <c r="B1026" s="7">
        <f>Table1[[#This Row],[TotalPrice]] * (1 - Table1[[#This Row],[Discount]])</f>
        <v>444.45309999999995</v>
      </c>
      <c r="C1026" s="7">
        <f>Table1[[#This Row],[Net Sales]] * 0.2</f>
        <v>88.890619999999998</v>
      </c>
      <c r="D1026" t="s">
        <v>19</v>
      </c>
      <c r="E1026" t="s">
        <v>26</v>
      </c>
      <c r="F1026">
        <v>7</v>
      </c>
      <c r="G1026">
        <v>87.88</v>
      </c>
      <c r="H1026" t="s">
        <v>33</v>
      </c>
      <c r="I1026" t="s">
        <v>35</v>
      </c>
      <c r="J1026" s="3">
        <v>0.15</v>
      </c>
      <c r="K1026" t="s">
        <v>38</v>
      </c>
      <c r="L1026">
        <v>522.88599999999997</v>
      </c>
      <c r="M1026" t="s">
        <v>43</v>
      </c>
      <c r="N1026" t="s">
        <v>50</v>
      </c>
      <c r="O1026">
        <v>1</v>
      </c>
      <c r="P1026" t="s">
        <v>1075</v>
      </c>
      <c r="Q1026" t="s">
        <v>2513</v>
      </c>
      <c r="R1026">
        <v>22.2</v>
      </c>
      <c r="S1026" s="5">
        <v>45063</v>
      </c>
      <c r="T1026" s="5">
        <v>45072</v>
      </c>
      <c r="U1026" t="s">
        <v>2922</v>
      </c>
    </row>
    <row r="1027" spans="1:21" x14ac:dyDescent="0.25">
      <c r="A1027" s="5">
        <v>45320</v>
      </c>
      <c r="B1027" s="7">
        <f>Table1[[#This Row],[TotalPrice]] * (1 - Table1[[#This Row],[Discount]])</f>
        <v>2444.1143999999999</v>
      </c>
      <c r="C1027" s="7">
        <f>Table1[[#This Row],[Net Sales]] * 0.2</f>
        <v>488.82288</v>
      </c>
      <c r="D1027" t="s">
        <v>23</v>
      </c>
      <c r="E1027" t="s">
        <v>30</v>
      </c>
      <c r="F1027">
        <v>7</v>
      </c>
      <c r="G1027">
        <v>386.88</v>
      </c>
      <c r="H1027" t="s">
        <v>31</v>
      </c>
      <c r="I1027" t="s">
        <v>35</v>
      </c>
      <c r="J1027" s="3">
        <v>0.05</v>
      </c>
      <c r="K1027" t="s">
        <v>40</v>
      </c>
      <c r="L1027">
        <v>2572.752</v>
      </c>
      <c r="M1027" t="s">
        <v>47</v>
      </c>
      <c r="N1027" t="s">
        <v>49</v>
      </c>
      <c r="O1027">
        <v>0</v>
      </c>
      <c r="P1027" t="s">
        <v>1076</v>
      </c>
      <c r="Q1027" t="s">
        <v>2514</v>
      </c>
      <c r="R1027">
        <v>38.46</v>
      </c>
      <c r="S1027" s="5">
        <v>45320</v>
      </c>
      <c r="T1027" s="5">
        <v>45322</v>
      </c>
      <c r="U1027" t="s">
        <v>2926</v>
      </c>
    </row>
    <row r="1028" spans="1:21" x14ac:dyDescent="0.25">
      <c r="A1028" s="5">
        <v>45786</v>
      </c>
      <c r="B1028" s="7">
        <f>Table1[[#This Row],[TotalPrice]] * (1 - Table1[[#This Row],[Discount]])</f>
        <v>876.50799999999992</v>
      </c>
      <c r="C1028" s="7">
        <f>Table1[[#This Row],[Net Sales]] * 0.2</f>
        <v>175.30160000000001</v>
      </c>
      <c r="D1028" t="s">
        <v>21</v>
      </c>
      <c r="E1028" t="s">
        <v>26</v>
      </c>
      <c r="F1028">
        <v>4</v>
      </c>
      <c r="G1028">
        <v>242.8</v>
      </c>
      <c r="H1028" t="s">
        <v>34</v>
      </c>
      <c r="I1028" t="s">
        <v>35</v>
      </c>
      <c r="J1028" s="3">
        <v>0.05</v>
      </c>
      <c r="K1028" t="s">
        <v>41</v>
      </c>
      <c r="L1028">
        <v>922.64</v>
      </c>
      <c r="M1028" t="s">
        <v>46</v>
      </c>
      <c r="N1028" t="s">
        <v>48</v>
      </c>
      <c r="O1028">
        <v>0</v>
      </c>
      <c r="P1028" t="s">
        <v>1077</v>
      </c>
      <c r="Q1028" t="s">
        <v>2515</v>
      </c>
      <c r="R1028">
        <v>30.03</v>
      </c>
      <c r="S1028" s="5">
        <v>45786</v>
      </c>
      <c r="T1028" s="5">
        <v>45795</v>
      </c>
      <c r="U1028" t="s">
        <v>2924</v>
      </c>
    </row>
    <row r="1029" spans="1:21" x14ac:dyDescent="0.25">
      <c r="A1029" s="5">
        <v>45387</v>
      </c>
      <c r="B1029" s="7">
        <f>Table1[[#This Row],[TotalPrice]] * (1 - Table1[[#This Row],[Discount]])</f>
        <v>1642.36</v>
      </c>
      <c r="C1029" s="7">
        <f>Table1[[#This Row],[Net Sales]] * 0.2</f>
        <v>328.47199999999998</v>
      </c>
      <c r="D1029" t="s">
        <v>19</v>
      </c>
      <c r="E1029" t="s">
        <v>30</v>
      </c>
      <c r="F1029">
        <v>4</v>
      </c>
      <c r="G1029">
        <v>410.59</v>
      </c>
      <c r="H1029" t="s">
        <v>32</v>
      </c>
      <c r="I1029" t="s">
        <v>36</v>
      </c>
      <c r="J1029" s="3">
        <v>0</v>
      </c>
      <c r="K1029" t="s">
        <v>37</v>
      </c>
      <c r="L1029">
        <v>1642.36</v>
      </c>
      <c r="M1029" t="s">
        <v>47</v>
      </c>
      <c r="O1029">
        <v>0</v>
      </c>
      <c r="P1029" t="s">
        <v>1078</v>
      </c>
      <c r="Q1029" t="s">
        <v>2516</v>
      </c>
      <c r="R1029">
        <v>17.36</v>
      </c>
      <c r="S1029" s="5">
        <v>45387</v>
      </c>
      <c r="T1029" s="5">
        <v>45391</v>
      </c>
      <c r="U1029" t="s">
        <v>2922</v>
      </c>
    </row>
    <row r="1030" spans="1:21" x14ac:dyDescent="0.25">
      <c r="A1030" s="5">
        <v>45505</v>
      </c>
      <c r="B1030" s="7">
        <f>Table1[[#This Row],[TotalPrice]] * (1 - Table1[[#This Row],[Discount]])</f>
        <v>23.690774999999999</v>
      </c>
      <c r="C1030" s="7">
        <f>Table1[[#This Row],[Net Sales]] * 0.2</f>
        <v>4.7381549999999999</v>
      </c>
      <c r="D1030" t="s">
        <v>20</v>
      </c>
      <c r="E1030" t="s">
        <v>27</v>
      </c>
      <c r="F1030">
        <v>3</v>
      </c>
      <c r="G1030">
        <v>10.93</v>
      </c>
      <c r="H1030" t="s">
        <v>34</v>
      </c>
      <c r="I1030" t="s">
        <v>35</v>
      </c>
      <c r="J1030" s="3">
        <v>0.15</v>
      </c>
      <c r="K1030" t="s">
        <v>37</v>
      </c>
      <c r="L1030">
        <v>27.871500000000001</v>
      </c>
      <c r="M1030" t="s">
        <v>47</v>
      </c>
      <c r="N1030" t="s">
        <v>48</v>
      </c>
      <c r="O1030">
        <v>0</v>
      </c>
      <c r="P1030" t="s">
        <v>1079</v>
      </c>
      <c r="Q1030" t="s">
        <v>2517</v>
      </c>
      <c r="R1030">
        <v>19.010000000000002</v>
      </c>
      <c r="S1030" s="5">
        <v>45505</v>
      </c>
      <c r="T1030" s="5">
        <v>45514</v>
      </c>
      <c r="U1030" t="s">
        <v>2923</v>
      </c>
    </row>
    <row r="1031" spans="1:21" x14ac:dyDescent="0.25">
      <c r="A1031" s="5">
        <v>45483</v>
      </c>
      <c r="B1031" s="7">
        <f>Table1[[#This Row],[TotalPrice]] * (1 - Table1[[#This Row],[Discount]])</f>
        <v>3003.2</v>
      </c>
      <c r="C1031" s="7">
        <f>Table1[[#This Row],[Net Sales]] * 0.2</f>
        <v>600.64</v>
      </c>
      <c r="D1031" t="s">
        <v>20</v>
      </c>
      <c r="E1031" t="s">
        <v>27</v>
      </c>
      <c r="F1031">
        <v>20</v>
      </c>
      <c r="G1031">
        <v>150.16</v>
      </c>
      <c r="H1031" t="s">
        <v>33</v>
      </c>
      <c r="I1031" t="s">
        <v>35</v>
      </c>
      <c r="J1031" s="3">
        <v>0</v>
      </c>
      <c r="K1031" t="s">
        <v>42</v>
      </c>
      <c r="L1031">
        <v>3003.2</v>
      </c>
      <c r="M1031" t="s">
        <v>47</v>
      </c>
      <c r="O1031">
        <v>0</v>
      </c>
      <c r="P1031" t="s">
        <v>1080</v>
      </c>
      <c r="Q1031" t="s">
        <v>2518</v>
      </c>
      <c r="R1031">
        <v>41.66</v>
      </c>
      <c r="S1031" s="5">
        <v>45483</v>
      </c>
      <c r="T1031" s="5">
        <v>45485</v>
      </c>
      <c r="U1031" t="s">
        <v>2923</v>
      </c>
    </row>
    <row r="1032" spans="1:21" x14ac:dyDescent="0.25">
      <c r="A1032" s="5">
        <v>45458</v>
      </c>
      <c r="B1032" s="7">
        <f>Table1[[#This Row],[TotalPrice]] * (1 - Table1[[#This Row],[Discount]])</f>
        <v>319.47210000000013</v>
      </c>
      <c r="C1032" s="7">
        <f>Table1[[#This Row],[Net Sales]] * 0.2</f>
        <v>63.894420000000025</v>
      </c>
      <c r="D1032" t="s">
        <v>19</v>
      </c>
      <c r="E1032" t="s">
        <v>27</v>
      </c>
      <c r="F1032">
        <v>1</v>
      </c>
      <c r="G1032">
        <v>394.41</v>
      </c>
      <c r="H1032" t="s">
        <v>31</v>
      </c>
      <c r="I1032" t="s">
        <v>36</v>
      </c>
      <c r="J1032" s="3">
        <v>0.1</v>
      </c>
      <c r="K1032" t="s">
        <v>38</v>
      </c>
      <c r="L1032">
        <v>354.96900000000011</v>
      </c>
      <c r="M1032" t="s">
        <v>44</v>
      </c>
      <c r="N1032" t="s">
        <v>50</v>
      </c>
      <c r="O1032">
        <v>0</v>
      </c>
      <c r="P1032" t="s">
        <v>1081</v>
      </c>
      <c r="Q1032" t="s">
        <v>2519</v>
      </c>
      <c r="R1032">
        <v>6.37</v>
      </c>
      <c r="S1032" s="5">
        <v>45458</v>
      </c>
      <c r="T1032" s="5">
        <v>45463</v>
      </c>
      <c r="U1032" t="s">
        <v>2922</v>
      </c>
    </row>
    <row r="1033" spans="1:21" x14ac:dyDescent="0.25">
      <c r="A1033" s="5">
        <v>45434</v>
      </c>
      <c r="B1033" s="7">
        <f>Table1[[#This Row],[TotalPrice]] * (1 - Table1[[#This Row],[Discount]])</f>
        <v>2320.8723</v>
      </c>
      <c r="C1033" s="7">
        <f>Table1[[#This Row],[Net Sales]] * 0.2</f>
        <v>464.17446000000001</v>
      </c>
      <c r="D1033" t="s">
        <v>19</v>
      </c>
      <c r="E1033" t="s">
        <v>28</v>
      </c>
      <c r="F1033">
        <v>6</v>
      </c>
      <c r="G1033">
        <v>535.38</v>
      </c>
      <c r="H1033" t="s">
        <v>33</v>
      </c>
      <c r="I1033" t="s">
        <v>35</v>
      </c>
      <c r="J1033" s="3">
        <v>0.15</v>
      </c>
      <c r="K1033" t="s">
        <v>38</v>
      </c>
      <c r="L1033">
        <v>2730.4380000000001</v>
      </c>
      <c r="M1033" t="s">
        <v>43</v>
      </c>
      <c r="O1033">
        <v>0</v>
      </c>
      <c r="P1033" t="s">
        <v>1082</v>
      </c>
      <c r="Q1033" t="s">
        <v>2520</v>
      </c>
      <c r="R1033">
        <v>48.66</v>
      </c>
      <c r="S1033" s="5">
        <v>45434</v>
      </c>
      <c r="T1033" s="5">
        <v>45441</v>
      </c>
      <c r="U1033" t="s">
        <v>2922</v>
      </c>
    </row>
    <row r="1034" spans="1:21" x14ac:dyDescent="0.25">
      <c r="A1034" s="5">
        <v>45305</v>
      </c>
      <c r="B1034" s="7">
        <f>Table1[[#This Row],[TotalPrice]] * (1 - Table1[[#This Row],[Discount]])</f>
        <v>6993.0934499999994</v>
      </c>
      <c r="C1034" s="7">
        <f>Table1[[#This Row],[Net Sales]] * 0.2</f>
        <v>1398.61869</v>
      </c>
      <c r="D1034" t="s">
        <v>19</v>
      </c>
      <c r="E1034" t="s">
        <v>28</v>
      </c>
      <c r="F1034">
        <v>19</v>
      </c>
      <c r="G1034">
        <v>407.82</v>
      </c>
      <c r="H1034" t="s">
        <v>34</v>
      </c>
      <c r="I1034" t="s">
        <v>36</v>
      </c>
      <c r="J1034" s="3">
        <v>0.05</v>
      </c>
      <c r="K1034" t="s">
        <v>41</v>
      </c>
      <c r="L1034">
        <v>7361.1509999999998</v>
      </c>
      <c r="M1034" t="s">
        <v>44</v>
      </c>
      <c r="N1034" t="s">
        <v>48</v>
      </c>
      <c r="O1034">
        <v>0</v>
      </c>
      <c r="P1034" t="s">
        <v>1083</v>
      </c>
      <c r="Q1034" t="s">
        <v>2521</v>
      </c>
      <c r="R1034">
        <v>38.979999999999997</v>
      </c>
      <c r="S1034" s="5">
        <v>45305</v>
      </c>
      <c r="T1034" s="5">
        <v>45309</v>
      </c>
      <c r="U1034" t="s">
        <v>2922</v>
      </c>
    </row>
    <row r="1035" spans="1:21" x14ac:dyDescent="0.25">
      <c r="A1035" s="5">
        <v>45596</v>
      </c>
      <c r="B1035" s="7">
        <f>Table1[[#This Row],[TotalPrice]] * (1 - Table1[[#This Row],[Discount]])</f>
        <v>1744.7851999999998</v>
      </c>
      <c r="C1035" s="7">
        <f>Table1[[#This Row],[Net Sales]] * 0.2</f>
        <v>348.95704000000001</v>
      </c>
      <c r="D1035" t="s">
        <v>21</v>
      </c>
      <c r="E1035" t="s">
        <v>29</v>
      </c>
      <c r="F1035">
        <v>16</v>
      </c>
      <c r="G1035">
        <v>120.83</v>
      </c>
      <c r="H1035" t="s">
        <v>31</v>
      </c>
      <c r="I1035" t="s">
        <v>36</v>
      </c>
      <c r="J1035" s="3">
        <v>0.05</v>
      </c>
      <c r="K1035" t="s">
        <v>40</v>
      </c>
      <c r="L1035">
        <v>1836.616</v>
      </c>
      <c r="M1035" t="s">
        <v>47</v>
      </c>
      <c r="N1035" t="s">
        <v>50</v>
      </c>
      <c r="O1035">
        <v>1</v>
      </c>
      <c r="P1035" t="s">
        <v>1084</v>
      </c>
      <c r="Q1035" t="s">
        <v>1964</v>
      </c>
      <c r="R1035">
        <v>39.64</v>
      </c>
      <c r="S1035" s="5">
        <v>45596</v>
      </c>
      <c r="T1035" s="5">
        <v>45598</v>
      </c>
      <c r="U1035" t="s">
        <v>2924</v>
      </c>
    </row>
    <row r="1036" spans="1:21" x14ac:dyDescent="0.25">
      <c r="A1036" s="5">
        <v>45405</v>
      </c>
      <c r="B1036" s="7">
        <f>Table1[[#This Row],[TotalPrice]] * (1 - Table1[[#This Row],[Discount]])</f>
        <v>224.13509999999999</v>
      </c>
      <c r="C1036" s="7">
        <f>Table1[[#This Row],[Net Sales]] * 0.2</f>
        <v>44.827020000000005</v>
      </c>
      <c r="D1036" t="s">
        <v>23</v>
      </c>
      <c r="E1036" t="s">
        <v>30</v>
      </c>
      <c r="F1036">
        <v>7</v>
      </c>
      <c r="G1036">
        <v>39.53</v>
      </c>
      <c r="H1036" t="s">
        <v>34</v>
      </c>
      <c r="I1036" t="s">
        <v>36</v>
      </c>
      <c r="J1036" s="3">
        <v>0.1</v>
      </c>
      <c r="K1036" t="s">
        <v>40</v>
      </c>
      <c r="L1036">
        <v>249.03899999999999</v>
      </c>
      <c r="M1036" t="s">
        <v>46</v>
      </c>
      <c r="N1036" t="s">
        <v>50</v>
      </c>
      <c r="O1036">
        <v>0</v>
      </c>
      <c r="P1036" t="s">
        <v>1085</v>
      </c>
      <c r="Q1036" t="s">
        <v>2522</v>
      </c>
      <c r="R1036">
        <v>18.16</v>
      </c>
      <c r="S1036" s="5">
        <v>45405</v>
      </c>
      <c r="T1036" s="5">
        <v>45411</v>
      </c>
      <c r="U1036" t="s">
        <v>2926</v>
      </c>
    </row>
    <row r="1037" spans="1:21" x14ac:dyDescent="0.25">
      <c r="A1037" s="5">
        <v>45091</v>
      </c>
      <c r="B1037" s="7">
        <f>Table1[[#This Row],[TotalPrice]] * (1 - Table1[[#This Row],[Discount]])</f>
        <v>404.46440000000001</v>
      </c>
      <c r="C1037" s="7">
        <f>Table1[[#This Row],[Net Sales]] * 0.2</f>
        <v>80.892880000000005</v>
      </c>
      <c r="D1037" t="s">
        <v>20</v>
      </c>
      <c r="E1037" t="s">
        <v>29</v>
      </c>
      <c r="F1037">
        <v>2</v>
      </c>
      <c r="G1037">
        <v>224.08</v>
      </c>
      <c r="H1037" t="s">
        <v>32</v>
      </c>
      <c r="I1037" t="s">
        <v>36</v>
      </c>
      <c r="J1037" s="3">
        <v>0.05</v>
      </c>
      <c r="K1037" t="s">
        <v>39</v>
      </c>
      <c r="L1037">
        <v>425.75200000000001</v>
      </c>
      <c r="M1037" t="s">
        <v>45</v>
      </c>
      <c r="N1037" t="s">
        <v>50</v>
      </c>
      <c r="O1037">
        <v>0</v>
      </c>
      <c r="P1037" t="s">
        <v>1086</v>
      </c>
      <c r="Q1037" t="s">
        <v>2523</v>
      </c>
      <c r="R1037">
        <v>47.35</v>
      </c>
      <c r="S1037" s="5">
        <v>45091</v>
      </c>
      <c r="T1037" s="5">
        <v>45097</v>
      </c>
      <c r="U1037" t="s">
        <v>2923</v>
      </c>
    </row>
    <row r="1038" spans="1:21" x14ac:dyDescent="0.25">
      <c r="A1038" s="5">
        <v>45350</v>
      </c>
      <c r="B1038" s="7">
        <f>Table1[[#This Row],[TotalPrice]] * (1 - Table1[[#This Row],[Discount]])</f>
        <v>3793.0991999999997</v>
      </c>
      <c r="C1038" s="7">
        <f>Table1[[#This Row],[Net Sales]] * 0.2</f>
        <v>758.61983999999995</v>
      </c>
      <c r="D1038" t="s">
        <v>21</v>
      </c>
      <c r="E1038" t="s">
        <v>30</v>
      </c>
      <c r="F1038">
        <v>11</v>
      </c>
      <c r="G1038">
        <v>382.08</v>
      </c>
      <c r="H1038" t="s">
        <v>34</v>
      </c>
      <c r="I1038" t="s">
        <v>35</v>
      </c>
      <c r="J1038" s="3">
        <v>0.05</v>
      </c>
      <c r="K1038" t="s">
        <v>39</v>
      </c>
      <c r="L1038">
        <v>3992.7359999999999</v>
      </c>
      <c r="M1038" t="s">
        <v>47</v>
      </c>
      <c r="N1038" t="s">
        <v>50</v>
      </c>
      <c r="O1038">
        <v>0</v>
      </c>
      <c r="P1038" t="s">
        <v>1087</v>
      </c>
      <c r="Q1038" t="s">
        <v>2524</v>
      </c>
      <c r="R1038">
        <v>5.95</v>
      </c>
      <c r="S1038" s="5">
        <v>45350</v>
      </c>
      <c r="T1038" s="5">
        <v>45353</v>
      </c>
      <c r="U1038" t="s">
        <v>2924</v>
      </c>
    </row>
    <row r="1039" spans="1:21" x14ac:dyDescent="0.25">
      <c r="A1039" s="5">
        <v>45462</v>
      </c>
      <c r="B1039" s="7">
        <f>Table1[[#This Row],[TotalPrice]] * (1 - Table1[[#This Row],[Discount]])</f>
        <v>718.76002499999993</v>
      </c>
      <c r="C1039" s="7">
        <f>Table1[[#This Row],[Net Sales]] * 0.2</f>
        <v>143.752005</v>
      </c>
      <c r="D1039" t="s">
        <v>20</v>
      </c>
      <c r="E1039" t="s">
        <v>30</v>
      </c>
      <c r="F1039">
        <v>9</v>
      </c>
      <c r="G1039">
        <v>88.49</v>
      </c>
      <c r="H1039" t="s">
        <v>34</v>
      </c>
      <c r="I1039" t="s">
        <v>35</v>
      </c>
      <c r="J1039" s="3">
        <v>0.05</v>
      </c>
      <c r="K1039" t="s">
        <v>41</v>
      </c>
      <c r="L1039">
        <v>756.58949999999993</v>
      </c>
      <c r="M1039" t="s">
        <v>43</v>
      </c>
      <c r="O1039">
        <v>0</v>
      </c>
      <c r="P1039" t="s">
        <v>1088</v>
      </c>
      <c r="Q1039" t="s">
        <v>2525</v>
      </c>
      <c r="R1039">
        <v>35.6</v>
      </c>
      <c r="S1039" s="5">
        <v>45462</v>
      </c>
      <c r="T1039" s="5">
        <v>45469</v>
      </c>
      <c r="U1039" t="s">
        <v>2923</v>
      </c>
    </row>
    <row r="1040" spans="1:21" x14ac:dyDescent="0.25">
      <c r="A1040" s="5">
        <v>45003</v>
      </c>
      <c r="B1040" s="7">
        <f>Table1[[#This Row],[TotalPrice]] * (1 - Table1[[#This Row],[Discount]])</f>
        <v>2510.7550000000001</v>
      </c>
      <c r="C1040" s="7">
        <f>Table1[[#This Row],[Net Sales]] * 0.2</f>
        <v>502.15100000000007</v>
      </c>
      <c r="D1040" t="s">
        <v>22</v>
      </c>
      <c r="E1040" t="s">
        <v>29</v>
      </c>
      <c r="F1040">
        <v>20</v>
      </c>
      <c r="G1040">
        <v>139.1</v>
      </c>
      <c r="H1040" t="s">
        <v>33</v>
      </c>
      <c r="I1040" t="s">
        <v>35</v>
      </c>
      <c r="J1040" s="3">
        <v>0.05</v>
      </c>
      <c r="K1040" t="s">
        <v>40</v>
      </c>
      <c r="L1040">
        <v>2642.9</v>
      </c>
      <c r="M1040" t="s">
        <v>43</v>
      </c>
      <c r="N1040" t="s">
        <v>48</v>
      </c>
      <c r="O1040">
        <v>0</v>
      </c>
      <c r="P1040" t="s">
        <v>1089</v>
      </c>
      <c r="Q1040" t="s">
        <v>2526</v>
      </c>
      <c r="R1040">
        <v>30.22</v>
      </c>
      <c r="S1040" s="5">
        <v>45003</v>
      </c>
      <c r="T1040" s="5">
        <v>45005</v>
      </c>
      <c r="U1040" t="s">
        <v>2925</v>
      </c>
    </row>
    <row r="1041" spans="1:21" x14ac:dyDescent="0.25">
      <c r="A1041" s="5">
        <v>45006</v>
      </c>
      <c r="B1041" s="7">
        <f>Table1[[#This Row],[TotalPrice]] * (1 - Table1[[#This Row],[Discount]])</f>
        <v>4960.9665000000005</v>
      </c>
      <c r="C1041" s="7">
        <f>Table1[[#This Row],[Net Sales]] * 0.2</f>
        <v>992.19330000000014</v>
      </c>
      <c r="D1041" t="s">
        <v>23</v>
      </c>
      <c r="E1041" t="s">
        <v>26</v>
      </c>
      <c r="F1041">
        <v>19</v>
      </c>
      <c r="G1041">
        <v>322.35000000000002</v>
      </c>
      <c r="H1041" t="s">
        <v>34</v>
      </c>
      <c r="I1041" t="s">
        <v>35</v>
      </c>
      <c r="J1041" s="3">
        <v>0.1</v>
      </c>
      <c r="K1041" t="s">
        <v>38</v>
      </c>
      <c r="L1041">
        <v>5512.1850000000004</v>
      </c>
      <c r="M1041" t="s">
        <v>46</v>
      </c>
      <c r="N1041" t="s">
        <v>50</v>
      </c>
      <c r="O1041">
        <v>0</v>
      </c>
      <c r="P1041" t="s">
        <v>1090</v>
      </c>
      <c r="Q1041" t="s">
        <v>2527</v>
      </c>
      <c r="R1041">
        <v>30.06</v>
      </c>
      <c r="S1041" s="5">
        <v>45006</v>
      </c>
      <c r="T1041" s="5">
        <v>45016</v>
      </c>
      <c r="U1041" t="s">
        <v>2926</v>
      </c>
    </row>
    <row r="1042" spans="1:21" x14ac:dyDescent="0.25">
      <c r="A1042" s="5">
        <v>45440</v>
      </c>
      <c r="B1042" s="7">
        <f>Table1[[#This Row],[TotalPrice]] * (1 - Table1[[#This Row],[Discount]])</f>
        <v>4335.7680000000009</v>
      </c>
      <c r="C1042" s="7">
        <f>Table1[[#This Row],[Net Sales]] * 0.2</f>
        <v>867.15360000000021</v>
      </c>
      <c r="D1042" t="s">
        <v>19</v>
      </c>
      <c r="E1042" t="s">
        <v>30</v>
      </c>
      <c r="F1042">
        <v>16</v>
      </c>
      <c r="G1042">
        <v>334.55</v>
      </c>
      <c r="H1042" t="s">
        <v>31</v>
      </c>
      <c r="I1042" t="s">
        <v>35</v>
      </c>
      <c r="J1042" s="3">
        <v>0.1</v>
      </c>
      <c r="K1042" t="s">
        <v>37</v>
      </c>
      <c r="L1042">
        <v>4817.5200000000004</v>
      </c>
      <c r="M1042" t="s">
        <v>45</v>
      </c>
      <c r="N1042" t="s">
        <v>49</v>
      </c>
      <c r="O1042">
        <v>0</v>
      </c>
      <c r="P1042" t="s">
        <v>1091</v>
      </c>
      <c r="Q1042" t="s">
        <v>2528</v>
      </c>
      <c r="R1042">
        <v>37.42</v>
      </c>
      <c r="S1042" s="5">
        <v>45440</v>
      </c>
      <c r="T1042" s="5">
        <v>45444</v>
      </c>
      <c r="U1042" t="s">
        <v>2922</v>
      </c>
    </row>
    <row r="1043" spans="1:21" x14ac:dyDescent="0.25">
      <c r="A1043" s="5">
        <v>45012</v>
      </c>
      <c r="B1043" s="7">
        <f>Table1[[#This Row],[TotalPrice]] * (1 - Table1[[#This Row],[Discount]])</f>
        <v>6649.6</v>
      </c>
      <c r="C1043" s="7">
        <f>Table1[[#This Row],[Net Sales]] * 0.2</f>
        <v>1329.92</v>
      </c>
      <c r="D1043" t="s">
        <v>23</v>
      </c>
      <c r="E1043" t="s">
        <v>26</v>
      </c>
      <c r="F1043">
        <v>20</v>
      </c>
      <c r="G1043">
        <v>332.48</v>
      </c>
      <c r="H1043" t="s">
        <v>31</v>
      </c>
      <c r="I1043" t="s">
        <v>35</v>
      </c>
      <c r="J1043" s="3">
        <v>0</v>
      </c>
      <c r="K1043" t="s">
        <v>37</v>
      </c>
      <c r="L1043">
        <v>6649.6</v>
      </c>
      <c r="M1043" t="s">
        <v>43</v>
      </c>
      <c r="N1043" t="s">
        <v>49</v>
      </c>
      <c r="O1043">
        <v>1</v>
      </c>
      <c r="P1043" t="s">
        <v>1092</v>
      </c>
      <c r="Q1043" t="s">
        <v>2529</v>
      </c>
      <c r="R1043">
        <v>7.79</v>
      </c>
      <c r="S1043" s="5">
        <v>45012</v>
      </c>
      <c r="T1043" s="5">
        <v>45015</v>
      </c>
      <c r="U1043" t="s">
        <v>2926</v>
      </c>
    </row>
    <row r="1044" spans="1:21" x14ac:dyDescent="0.25">
      <c r="A1044" s="5">
        <v>45096</v>
      </c>
      <c r="B1044" s="7">
        <f>Table1[[#This Row],[TotalPrice]] * (1 - Table1[[#This Row],[Discount]])</f>
        <v>123.4</v>
      </c>
      <c r="C1044" s="7">
        <f>Table1[[#This Row],[Net Sales]] * 0.2</f>
        <v>24.680000000000003</v>
      </c>
      <c r="D1044" t="s">
        <v>22</v>
      </c>
      <c r="E1044" t="s">
        <v>30</v>
      </c>
      <c r="F1044">
        <v>1</v>
      </c>
      <c r="G1044">
        <v>123.4</v>
      </c>
      <c r="H1044" t="s">
        <v>32</v>
      </c>
      <c r="I1044" t="s">
        <v>36</v>
      </c>
      <c r="J1044" s="3">
        <v>0</v>
      </c>
      <c r="K1044" t="s">
        <v>37</v>
      </c>
      <c r="L1044">
        <v>123.4</v>
      </c>
      <c r="M1044" t="s">
        <v>47</v>
      </c>
      <c r="O1044">
        <v>1</v>
      </c>
      <c r="P1044" t="s">
        <v>1093</v>
      </c>
      <c r="Q1044" t="s">
        <v>2530</v>
      </c>
      <c r="R1044">
        <v>12.63</v>
      </c>
      <c r="S1044" s="5">
        <v>45096</v>
      </c>
      <c r="T1044" s="5">
        <v>45102</v>
      </c>
      <c r="U1044" t="s">
        <v>2925</v>
      </c>
    </row>
    <row r="1045" spans="1:21" x14ac:dyDescent="0.25">
      <c r="A1045" s="5">
        <v>45230</v>
      </c>
      <c r="B1045" s="7">
        <f>Table1[[#This Row],[TotalPrice]] * (1 - Table1[[#This Row],[Discount]])</f>
        <v>238.96394999999998</v>
      </c>
      <c r="C1045" s="7">
        <f>Table1[[#This Row],[Net Sales]] * 0.2</f>
        <v>47.792789999999997</v>
      </c>
      <c r="D1045" t="s">
        <v>20</v>
      </c>
      <c r="E1045" t="s">
        <v>24</v>
      </c>
      <c r="F1045">
        <v>3</v>
      </c>
      <c r="G1045">
        <v>88.26</v>
      </c>
      <c r="H1045" t="s">
        <v>34</v>
      </c>
      <c r="I1045" t="s">
        <v>35</v>
      </c>
      <c r="J1045" s="3">
        <v>0.05</v>
      </c>
      <c r="K1045" t="s">
        <v>42</v>
      </c>
      <c r="L1045">
        <v>251.541</v>
      </c>
      <c r="M1045" t="s">
        <v>46</v>
      </c>
      <c r="N1045" t="s">
        <v>48</v>
      </c>
      <c r="O1045">
        <v>0</v>
      </c>
      <c r="P1045" t="s">
        <v>1094</v>
      </c>
      <c r="Q1045" t="s">
        <v>2531</v>
      </c>
      <c r="R1045">
        <v>46.45</v>
      </c>
      <c r="S1045" s="5">
        <v>45230</v>
      </c>
      <c r="T1045" s="5">
        <v>45237</v>
      </c>
      <c r="U1045" t="s">
        <v>2923</v>
      </c>
    </row>
    <row r="1046" spans="1:21" x14ac:dyDescent="0.25">
      <c r="A1046" s="5">
        <v>45118</v>
      </c>
      <c r="B1046" s="7">
        <f>Table1[[#This Row],[TotalPrice]] * (1 - Table1[[#This Row],[Discount]])</f>
        <v>531.87030000000004</v>
      </c>
      <c r="C1046" s="7">
        <f>Table1[[#This Row],[Net Sales]] * 0.2</f>
        <v>106.37406000000001</v>
      </c>
      <c r="D1046" t="s">
        <v>23</v>
      </c>
      <c r="E1046" t="s">
        <v>25</v>
      </c>
      <c r="F1046">
        <v>13</v>
      </c>
      <c r="G1046">
        <v>50.51</v>
      </c>
      <c r="H1046" t="s">
        <v>34</v>
      </c>
      <c r="I1046" t="s">
        <v>35</v>
      </c>
      <c r="J1046" s="3">
        <v>0.1</v>
      </c>
      <c r="K1046" t="s">
        <v>38</v>
      </c>
      <c r="L1046">
        <v>590.96699999999998</v>
      </c>
      <c r="M1046" t="s">
        <v>46</v>
      </c>
      <c r="N1046" t="s">
        <v>50</v>
      </c>
      <c r="O1046">
        <v>0</v>
      </c>
      <c r="P1046" t="s">
        <v>1095</v>
      </c>
      <c r="Q1046" t="s">
        <v>2532</v>
      </c>
      <c r="R1046">
        <v>40.57</v>
      </c>
      <c r="S1046" s="5">
        <v>45118</v>
      </c>
      <c r="T1046" s="5">
        <v>45125</v>
      </c>
      <c r="U1046" t="s">
        <v>2926</v>
      </c>
    </row>
    <row r="1047" spans="1:21" x14ac:dyDescent="0.25">
      <c r="A1047" s="5">
        <v>45065</v>
      </c>
      <c r="B1047" s="7">
        <f>Table1[[#This Row],[TotalPrice]] * (1 - Table1[[#This Row],[Discount]])</f>
        <v>2362.6457249999999</v>
      </c>
      <c r="C1047" s="7">
        <f>Table1[[#This Row],[Net Sales]] * 0.2</f>
        <v>472.52914499999997</v>
      </c>
      <c r="D1047" t="s">
        <v>20</v>
      </c>
      <c r="E1047" t="s">
        <v>28</v>
      </c>
      <c r="F1047">
        <v>11</v>
      </c>
      <c r="G1047">
        <v>237.99</v>
      </c>
      <c r="H1047" t="s">
        <v>34</v>
      </c>
      <c r="I1047" t="s">
        <v>35</v>
      </c>
      <c r="J1047" s="3">
        <v>0.05</v>
      </c>
      <c r="K1047" t="s">
        <v>42</v>
      </c>
      <c r="L1047">
        <v>2486.9955</v>
      </c>
      <c r="M1047" t="s">
        <v>46</v>
      </c>
      <c r="N1047" t="s">
        <v>48</v>
      </c>
      <c r="O1047">
        <v>0</v>
      </c>
      <c r="P1047" t="s">
        <v>1096</v>
      </c>
      <c r="Q1047" t="s">
        <v>2533</v>
      </c>
      <c r="R1047">
        <v>44.7</v>
      </c>
      <c r="S1047" s="5">
        <v>45065</v>
      </c>
      <c r="T1047" s="5">
        <v>45074</v>
      </c>
      <c r="U1047" t="s">
        <v>2923</v>
      </c>
    </row>
    <row r="1048" spans="1:21" x14ac:dyDescent="0.25">
      <c r="A1048" s="5">
        <v>45143</v>
      </c>
      <c r="B1048" s="7">
        <f>Table1[[#This Row],[TotalPrice]] * (1 - Table1[[#This Row],[Discount]])</f>
        <v>2064.65</v>
      </c>
      <c r="C1048" s="7">
        <f>Table1[[#This Row],[Net Sales]] * 0.2</f>
        <v>412.93000000000006</v>
      </c>
      <c r="D1048" t="s">
        <v>21</v>
      </c>
      <c r="E1048" t="s">
        <v>27</v>
      </c>
      <c r="F1048">
        <v>7</v>
      </c>
      <c r="G1048">
        <v>294.95</v>
      </c>
      <c r="H1048" t="s">
        <v>34</v>
      </c>
      <c r="I1048" t="s">
        <v>35</v>
      </c>
      <c r="J1048" s="3">
        <v>0</v>
      </c>
      <c r="K1048" t="s">
        <v>39</v>
      </c>
      <c r="L1048">
        <v>2064.65</v>
      </c>
      <c r="M1048" t="s">
        <v>43</v>
      </c>
      <c r="N1048" t="s">
        <v>48</v>
      </c>
      <c r="O1048">
        <v>0</v>
      </c>
      <c r="P1048" t="s">
        <v>1097</v>
      </c>
      <c r="Q1048" t="s">
        <v>2534</v>
      </c>
      <c r="R1048">
        <v>15.78</v>
      </c>
      <c r="S1048" s="5">
        <v>45143</v>
      </c>
      <c r="T1048" s="5">
        <v>45148</v>
      </c>
      <c r="U1048" t="s">
        <v>2924</v>
      </c>
    </row>
    <row r="1049" spans="1:21" x14ac:dyDescent="0.25">
      <c r="A1049" s="5">
        <v>45009</v>
      </c>
      <c r="B1049" s="7">
        <f>Table1[[#This Row],[TotalPrice]] * (1 - Table1[[#This Row],[Discount]])</f>
        <v>2490.2640000000001</v>
      </c>
      <c r="C1049" s="7">
        <f>Table1[[#This Row],[Net Sales]] * 0.2</f>
        <v>498.05280000000005</v>
      </c>
      <c r="D1049" t="s">
        <v>23</v>
      </c>
      <c r="E1049" t="s">
        <v>26</v>
      </c>
      <c r="F1049">
        <v>8</v>
      </c>
      <c r="G1049">
        <v>384.3</v>
      </c>
      <c r="H1049" t="s">
        <v>33</v>
      </c>
      <c r="I1049" t="s">
        <v>35</v>
      </c>
      <c r="J1049" s="3">
        <v>0.1</v>
      </c>
      <c r="K1049" t="s">
        <v>39</v>
      </c>
      <c r="L1049">
        <v>2766.96</v>
      </c>
      <c r="M1049" t="s">
        <v>44</v>
      </c>
      <c r="N1049" t="s">
        <v>48</v>
      </c>
      <c r="O1049">
        <v>0</v>
      </c>
      <c r="P1049" t="s">
        <v>1098</v>
      </c>
      <c r="Q1049" t="s">
        <v>1673</v>
      </c>
      <c r="R1049">
        <v>48.83</v>
      </c>
      <c r="S1049" s="5">
        <v>45009</v>
      </c>
      <c r="T1049" s="5">
        <v>45019</v>
      </c>
      <c r="U1049" t="s">
        <v>2926</v>
      </c>
    </row>
    <row r="1050" spans="1:21" x14ac:dyDescent="0.25">
      <c r="A1050" s="5">
        <v>45702</v>
      </c>
      <c r="B1050" s="7">
        <f>Table1[[#This Row],[TotalPrice]] * (1 - Table1[[#This Row],[Discount]])</f>
        <v>341.46087499999999</v>
      </c>
      <c r="C1050" s="7">
        <f>Table1[[#This Row],[Net Sales]] * 0.2</f>
        <v>68.292175</v>
      </c>
      <c r="D1050" t="s">
        <v>23</v>
      </c>
      <c r="E1050" t="s">
        <v>28</v>
      </c>
      <c r="F1050">
        <v>1</v>
      </c>
      <c r="G1050">
        <v>378.35</v>
      </c>
      <c r="H1050" t="s">
        <v>33</v>
      </c>
      <c r="I1050" t="s">
        <v>35</v>
      </c>
      <c r="J1050" s="3">
        <v>0.05</v>
      </c>
      <c r="K1050" t="s">
        <v>41</v>
      </c>
      <c r="L1050">
        <v>359.4325</v>
      </c>
      <c r="M1050" t="s">
        <v>47</v>
      </c>
      <c r="N1050" t="s">
        <v>48</v>
      </c>
      <c r="O1050">
        <v>0</v>
      </c>
      <c r="P1050" t="s">
        <v>1099</v>
      </c>
      <c r="Q1050" t="s">
        <v>2033</v>
      </c>
      <c r="R1050">
        <v>20.97</v>
      </c>
      <c r="S1050" s="5">
        <v>45702</v>
      </c>
      <c r="T1050" s="5">
        <v>45705</v>
      </c>
      <c r="U1050" t="s">
        <v>2926</v>
      </c>
    </row>
    <row r="1051" spans="1:21" x14ac:dyDescent="0.25">
      <c r="A1051" s="5">
        <v>45640</v>
      </c>
      <c r="B1051" s="7">
        <f>Table1[[#This Row],[TotalPrice]] * (1 - Table1[[#This Row],[Discount]])</f>
        <v>461.35</v>
      </c>
      <c r="C1051" s="7">
        <f>Table1[[#This Row],[Net Sales]] * 0.2</f>
        <v>92.27000000000001</v>
      </c>
      <c r="D1051" t="s">
        <v>21</v>
      </c>
      <c r="E1051" t="s">
        <v>26</v>
      </c>
      <c r="F1051">
        <v>1</v>
      </c>
      <c r="G1051">
        <v>461.35</v>
      </c>
      <c r="H1051" t="s">
        <v>34</v>
      </c>
      <c r="I1051" t="s">
        <v>36</v>
      </c>
      <c r="J1051" s="3">
        <v>0</v>
      </c>
      <c r="K1051" t="s">
        <v>42</v>
      </c>
      <c r="L1051">
        <v>461.35</v>
      </c>
      <c r="M1051" t="s">
        <v>46</v>
      </c>
      <c r="N1051" t="s">
        <v>48</v>
      </c>
      <c r="O1051">
        <v>1</v>
      </c>
      <c r="P1051" t="s">
        <v>1100</v>
      </c>
      <c r="Q1051" t="s">
        <v>2535</v>
      </c>
      <c r="R1051">
        <v>43.74</v>
      </c>
      <c r="S1051" s="5">
        <v>45640</v>
      </c>
      <c r="T1051" s="5">
        <v>45642</v>
      </c>
      <c r="U1051" t="s">
        <v>2924</v>
      </c>
    </row>
    <row r="1052" spans="1:21" x14ac:dyDescent="0.25">
      <c r="A1052" s="5">
        <v>45105</v>
      </c>
      <c r="B1052" s="7">
        <f>Table1[[#This Row],[TotalPrice]] * (1 - Table1[[#This Row],[Discount]])</f>
        <v>7098</v>
      </c>
      <c r="C1052" s="7">
        <f>Table1[[#This Row],[Net Sales]] * 0.2</f>
        <v>1419.6000000000001</v>
      </c>
      <c r="D1052" t="s">
        <v>20</v>
      </c>
      <c r="E1052" t="s">
        <v>30</v>
      </c>
      <c r="F1052">
        <v>20</v>
      </c>
      <c r="G1052">
        <v>354.9</v>
      </c>
      <c r="H1052" t="s">
        <v>32</v>
      </c>
      <c r="I1052" t="s">
        <v>35</v>
      </c>
      <c r="J1052" s="3">
        <v>0</v>
      </c>
      <c r="K1052" t="s">
        <v>42</v>
      </c>
      <c r="L1052">
        <v>7098</v>
      </c>
      <c r="M1052" t="s">
        <v>44</v>
      </c>
      <c r="N1052" t="s">
        <v>50</v>
      </c>
      <c r="O1052">
        <v>0</v>
      </c>
      <c r="P1052" t="s">
        <v>1101</v>
      </c>
      <c r="Q1052" t="s">
        <v>2536</v>
      </c>
      <c r="R1052">
        <v>43.24</v>
      </c>
      <c r="S1052" s="5">
        <v>45105</v>
      </c>
      <c r="T1052" s="5">
        <v>45108</v>
      </c>
      <c r="U1052" t="s">
        <v>2923</v>
      </c>
    </row>
    <row r="1053" spans="1:21" x14ac:dyDescent="0.25">
      <c r="A1053" s="5">
        <v>44950</v>
      </c>
      <c r="B1053" s="7">
        <f>Table1[[#This Row],[TotalPrice]] * (1 - Table1[[#This Row],[Discount]])</f>
        <v>2485.7847000000002</v>
      </c>
      <c r="C1053" s="7">
        <f>Table1[[#This Row],[Net Sales]] * 0.2</f>
        <v>497.15694000000008</v>
      </c>
      <c r="D1053" t="s">
        <v>23</v>
      </c>
      <c r="E1053" t="s">
        <v>26</v>
      </c>
      <c r="F1053">
        <v>7</v>
      </c>
      <c r="G1053">
        <v>438.41</v>
      </c>
      <c r="H1053" t="s">
        <v>33</v>
      </c>
      <c r="I1053" t="s">
        <v>36</v>
      </c>
      <c r="J1053" s="3">
        <v>0.1</v>
      </c>
      <c r="K1053" t="s">
        <v>41</v>
      </c>
      <c r="L1053">
        <v>2761.9830000000002</v>
      </c>
      <c r="M1053" t="s">
        <v>46</v>
      </c>
      <c r="N1053" t="s">
        <v>49</v>
      </c>
      <c r="O1053">
        <v>1</v>
      </c>
      <c r="P1053" t="s">
        <v>1102</v>
      </c>
      <c r="Q1053" t="s">
        <v>2537</v>
      </c>
      <c r="R1053">
        <v>47.77</v>
      </c>
      <c r="S1053" s="5">
        <v>44950</v>
      </c>
      <c r="T1053" s="5">
        <v>44954</v>
      </c>
      <c r="U1053" t="s">
        <v>2926</v>
      </c>
    </row>
    <row r="1054" spans="1:21" x14ac:dyDescent="0.25">
      <c r="A1054" s="5">
        <v>45464</v>
      </c>
      <c r="B1054" s="7">
        <f>Table1[[#This Row],[TotalPrice]] * (1 - Table1[[#This Row],[Discount]])</f>
        <v>6855.7509999999993</v>
      </c>
      <c r="C1054" s="7">
        <f>Table1[[#This Row],[Net Sales]] * 0.2</f>
        <v>1371.1502</v>
      </c>
      <c r="D1054" t="s">
        <v>22</v>
      </c>
      <c r="E1054" t="s">
        <v>29</v>
      </c>
      <c r="F1054">
        <v>14</v>
      </c>
      <c r="G1054">
        <v>542.6</v>
      </c>
      <c r="H1054" t="s">
        <v>33</v>
      </c>
      <c r="I1054" t="s">
        <v>36</v>
      </c>
      <c r="J1054" s="3">
        <v>0.05</v>
      </c>
      <c r="K1054" t="s">
        <v>37</v>
      </c>
      <c r="L1054">
        <v>7216.58</v>
      </c>
      <c r="M1054" t="s">
        <v>46</v>
      </c>
      <c r="O1054">
        <v>0</v>
      </c>
      <c r="P1054" t="s">
        <v>1103</v>
      </c>
      <c r="Q1054" t="s">
        <v>1984</v>
      </c>
      <c r="R1054">
        <v>44.76</v>
      </c>
      <c r="S1054" s="5">
        <v>45464</v>
      </c>
      <c r="T1054" s="5">
        <v>45473</v>
      </c>
      <c r="U1054" t="s">
        <v>2925</v>
      </c>
    </row>
    <row r="1055" spans="1:21" x14ac:dyDescent="0.25">
      <c r="A1055" s="5">
        <v>45756</v>
      </c>
      <c r="B1055" s="7">
        <f>Table1[[#This Row],[TotalPrice]] * (1 - Table1[[#This Row],[Discount]])</f>
        <v>580.33260000000007</v>
      </c>
      <c r="C1055" s="7">
        <f>Table1[[#This Row],[Net Sales]] * 0.2</f>
        <v>116.06652000000003</v>
      </c>
      <c r="D1055" t="s">
        <v>21</v>
      </c>
      <c r="E1055" t="s">
        <v>30</v>
      </c>
      <c r="F1055">
        <v>3</v>
      </c>
      <c r="G1055">
        <v>238.82</v>
      </c>
      <c r="H1055" t="s">
        <v>33</v>
      </c>
      <c r="I1055" t="s">
        <v>36</v>
      </c>
      <c r="J1055" s="3">
        <v>0.1</v>
      </c>
      <c r="K1055" t="s">
        <v>42</v>
      </c>
      <c r="L1055">
        <v>644.81400000000008</v>
      </c>
      <c r="M1055" t="s">
        <v>44</v>
      </c>
      <c r="N1055" t="s">
        <v>50</v>
      </c>
      <c r="O1055">
        <v>0</v>
      </c>
      <c r="P1055" t="s">
        <v>1104</v>
      </c>
      <c r="Q1055" t="s">
        <v>2538</v>
      </c>
      <c r="R1055">
        <v>37.07</v>
      </c>
      <c r="S1055" s="5">
        <v>45756</v>
      </c>
      <c r="T1055" s="5">
        <v>45765</v>
      </c>
      <c r="U1055" t="s">
        <v>2924</v>
      </c>
    </row>
    <row r="1056" spans="1:21" x14ac:dyDescent="0.25">
      <c r="A1056" s="5">
        <v>45668</v>
      </c>
      <c r="B1056" s="7">
        <f>Table1[[#This Row],[TotalPrice]] * (1 - Table1[[#This Row],[Discount]])</f>
        <v>4305.1824000000006</v>
      </c>
      <c r="C1056" s="7">
        <f>Table1[[#This Row],[Net Sales]] * 0.2</f>
        <v>861.03648000000021</v>
      </c>
      <c r="D1056" t="s">
        <v>21</v>
      </c>
      <c r="E1056" t="s">
        <v>29</v>
      </c>
      <c r="F1056">
        <v>16</v>
      </c>
      <c r="G1056">
        <v>332.19</v>
      </c>
      <c r="H1056" t="s">
        <v>33</v>
      </c>
      <c r="I1056" t="s">
        <v>36</v>
      </c>
      <c r="J1056" s="3">
        <v>0.1</v>
      </c>
      <c r="K1056" t="s">
        <v>37</v>
      </c>
      <c r="L1056">
        <v>4783.5360000000001</v>
      </c>
      <c r="M1056" t="s">
        <v>45</v>
      </c>
      <c r="N1056" t="s">
        <v>49</v>
      </c>
      <c r="O1056">
        <v>1</v>
      </c>
      <c r="P1056" t="s">
        <v>1105</v>
      </c>
      <c r="Q1056" t="s">
        <v>2539</v>
      </c>
      <c r="R1056">
        <v>34.97</v>
      </c>
      <c r="S1056" s="5">
        <v>45668</v>
      </c>
      <c r="T1056" s="5">
        <v>45676</v>
      </c>
      <c r="U1056" t="s">
        <v>2924</v>
      </c>
    </row>
    <row r="1057" spans="1:21" x14ac:dyDescent="0.25">
      <c r="A1057" s="5">
        <v>45486</v>
      </c>
      <c r="B1057" s="7">
        <f>Table1[[#This Row],[TotalPrice]] * (1 - Table1[[#This Row],[Discount]])</f>
        <v>3692.4884999999999</v>
      </c>
      <c r="C1057" s="7">
        <f>Table1[[#This Row],[Net Sales]] * 0.2</f>
        <v>738.49770000000001</v>
      </c>
      <c r="D1057" t="s">
        <v>22</v>
      </c>
      <c r="E1057" t="s">
        <v>30</v>
      </c>
      <c r="F1057">
        <v>9</v>
      </c>
      <c r="G1057">
        <v>454.6</v>
      </c>
      <c r="H1057" t="s">
        <v>34</v>
      </c>
      <c r="I1057" t="s">
        <v>35</v>
      </c>
      <c r="J1057" s="3">
        <v>0.05</v>
      </c>
      <c r="K1057" t="s">
        <v>40</v>
      </c>
      <c r="L1057">
        <v>3886.83</v>
      </c>
      <c r="M1057" t="s">
        <v>46</v>
      </c>
      <c r="O1057">
        <v>0</v>
      </c>
      <c r="P1057" t="s">
        <v>1106</v>
      </c>
      <c r="Q1057" t="s">
        <v>2540</v>
      </c>
      <c r="R1057">
        <v>32.86</v>
      </c>
      <c r="S1057" s="5">
        <v>45486</v>
      </c>
      <c r="T1057" s="5">
        <v>45493</v>
      </c>
      <c r="U1057" t="s">
        <v>2925</v>
      </c>
    </row>
    <row r="1058" spans="1:21" x14ac:dyDescent="0.25">
      <c r="A1058" s="5">
        <v>45661</v>
      </c>
      <c r="B1058" s="7">
        <f>Table1[[#This Row],[TotalPrice]] * (1 - Table1[[#This Row],[Discount]])</f>
        <v>2927.0240999999996</v>
      </c>
      <c r="C1058" s="7">
        <f>Table1[[#This Row],[Net Sales]] * 0.2</f>
        <v>585.40481999999997</v>
      </c>
      <c r="D1058" t="s">
        <v>23</v>
      </c>
      <c r="E1058" t="s">
        <v>30</v>
      </c>
      <c r="F1058">
        <v>6</v>
      </c>
      <c r="G1058">
        <v>540.54</v>
      </c>
      <c r="H1058" t="s">
        <v>32</v>
      </c>
      <c r="I1058" t="s">
        <v>36</v>
      </c>
      <c r="J1058" s="3">
        <v>0.05</v>
      </c>
      <c r="K1058" t="s">
        <v>40</v>
      </c>
      <c r="L1058">
        <v>3081.078</v>
      </c>
      <c r="M1058" t="s">
        <v>46</v>
      </c>
      <c r="N1058" t="s">
        <v>49</v>
      </c>
      <c r="O1058">
        <v>0</v>
      </c>
      <c r="P1058" t="s">
        <v>1107</v>
      </c>
      <c r="Q1058" t="s">
        <v>2541</v>
      </c>
      <c r="R1058">
        <v>19.77</v>
      </c>
      <c r="S1058" s="5">
        <v>45661</v>
      </c>
      <c r="T1058" s="5">
        <v>45667</v>
      </c>
      <c r="U1058" t="s">
        <v>2926</v>
      </c>
    </row>
    <row r="1059" spans="1:21" x14ac:dyDescent="0.25">
      <c r="A1059" s="5">
        <v>45224</v>
      </c>
      <c r="B1059" s="7">
        <f>Table1[[#This Row],[TotalPrice]] * (1 - Table1[[#This Row],[Discount]])</f>
        <v>1490.6475499999999</v>
      </c>
      <c r="C1059" s="7">
        <f>Table1[[#This Row],[Net Sales]] * 0.2</f>
        <v>298.12950999999998</v>
      </c>
      <c r="D1059" t="s">
        <v>23</v>
      </c>
      <c r="E1059" t="s">
        <v>26</v>
      </c>
      <c r="F1059">
        <v>14</v>
      </c>
      <c r="G1059">
        <v>147.37</v>
      </c>
      <c r="H1059" t="s">
        <v>34</v>
      </c>
      <c r="I1059" t="s">
        <v>35</v>
      </c>
      <c r="J1059" s="3">
        <v>0.15</v>
      </c>
      <c r="K1059" t="s">
        <v>39</v>
      </c>
      <c r="L1059">
        <v>1753.703</v>
      </c>
      <c r="M1059" t="s">
        <v>46</v>
      </c>
      <c r="N1059" t="s">
        <v>50</v>
      </c>
      <c r="O1059">
        <v>1</v>
      </c>
      <c r="P1059" t="s">
        <v>1108</v>
      </c>
      <c r="Q1059" t="s">
        <v>2542</v>
      </c>
      <c r="R1059">
        <v>45.75</v>
      </c>
      <c r="S1059" s="5">
        <v>45224</v>
      </c>
      <c r="T1059" s="5">
        <v>45230</v>
      </c>
      <c r="U1059" t="s">
        <v>2926</v>
      </c>
    </row>
    <row r="1060" spans="1:21" x14ac:dyDescent="0.25">
      <c r="A1060" s="5">
        <v>45199</v>
      </c>
      <c r="B1060" s="7">
        <f>Table1[[#This Row],[TotalPrice]] * (1 - Table1[[#This Row],[Discount]])</f>
        <v>2129.8144000000002</v>
      </c>
      <c r="C1060" s="7">
        <f>Table1[[#This Row],[Net Sales]] * 0.2</f>
        <v>425.96288000000004</v>
      </c>
      <c r="D1060" t="s">
        <v>20</v>
      </c>
      <c r="E1060" t="s">
        <v>24</v>
      </c>
      <c r="F1060">
        <v>7</v>
      </c>
      <c r="G1060">
        <v>421.12</v>
      </c>
      <c r="H1060" t="s">
        <v>34</v>
      </c>
      <c r="I1060" t="s">
        <v>35</v>
      </c>
      <c r="J1060" s="3">
        <v>0.15</v>
      </c>
      <c r="K1060" t="s">
        <v>41</v>
      </c>
      <c r="L1060">
        <v>2505.6640000000002</v>
      </c>
      <c r="M1060" t="s">
        <v>44</v>
      </c>
      <c r="O1060">
        <v>0</v>
      </c>
      <c r="P1060" t="s">
        <v>1109</v>
      </c>
      <c r="Q1060" t="s">
        <v>2543</v>
      </c>
      <c r="R1060">
        <v>44.49</v>
      </c>
      <c r="S1060" s="5">
        <v>45199</v>
      </c>
      <c r="T1060" s="5">
        <v>45201</v>
      </c>
      <c r="U1060" t="s">
        <v>2923</v>
      </c>
    </row>
    <row r="1061" spans="1:21" x14ac:dyDescent="0.25">
      <c r="A1061" s="5">
        <v>45001</v>
      </c>
      <c r="B1061" s="7">
        <f>Table1[[#This Row],[TotalPrice]] * (1 - Table1[[#This Row],[Discount]])</f>
        <v>8726.4</v>
      </c>
      <c r="C1061" s="7">
        <f>Table1[[#This Row],[Net Sales]] * 0.2</f>
        <v>1745.28</v>
      </c>
      <c r="D1061" t="s">
        <v>21</v>
      </c>
      <c r="E1061" t="s">
        <v>25</v>
      </c>
      <c r="F1061">
        <v>20</v>
      </c>
      <c r="G1061">
        <v>436.32</v>
      </c>
      <c r="H1061" t="s">
        <v>34</v>
      </c>
      <c r="I1061" t="s">
        <v>36</v>
      </c>
      <c r="J1061" s="3">
        <v>0</v>
      </c>
      <c r="K1061" t="s">
        <v>41</v>
      </c>
      <c r="L1061">
        <v>8726.4</v>
      </c>
      <c r="M1061" t="s">
        <v>45</v>
      </c>
      <c r="N1061" t="s">
        <v>48</v>
      </c>
      <c r="O1061">
        <v>1</v>
      </c>
      <c r="P1061" t="s">
        <v>1110</v>
      </c>
      <c r="Q1061" t="s">
        <v>2544</v>
      </c>
      <c r="R1061">
        <v>37.49</v>
      </c>
      <c r="S1061" s="5">
        <v>45001</v>
      </c>
      <c r="T1061" s="5">
        <v>45011</v>
      </c>
      <c r="U1061" t="s">
        <v>2924</v>
      </c>
    </row>
    <row r="1062" spans="1:21" x14ac:dyDescent="0.25">
      <c r="A1062" s="5">
        <v>45133</v>
      </c>
      <c r="B1062" s="7">
        <f>Table1[[#This Row],[TotalPrice]] * (1 - Table1[[#This Row],[Discount]])</f>
        <v>6368.9813999999997</v>
      </c>
      <c r="C1062" s="7">
        <f>Table1[[#This Row],[Net Sales]] * 0.2</f>
        <v>1273.79628</v>
      </c>
      <c r="D1062" t="s">
        <v>21</v>
      </c>
      <c r="E1062" t="s">
        <v>24</v>
      </c>
      <c r="F1062">
        <v>18</v>
      </c>
      <c r="G1062">
        <v>436.83</v>
      </c>
      <c r="H1062" t="s">
        <v>32</v>
      </c>
      <c r="I1062" t="s">
        <v>35</v>
      </c>
      <c r="J1062" s="3">
        <v>0.1</v>
      </c>
      <c r="K1062" t="s">
        <v>42</v>
      </c>
      <c r="L1062">
        <v>7076.6459999999997</v>
      </c>
      <c r="M1062" t="s">
        <v>45</v>
      </c>
      <c r="N1062" t="s">
        <v>49</v>
      </c>
      <c r="O1062">
        <v>0</v>
      </c>
      <c r="P1062" t="s">
        <v>1111</v>
      </c>
      <c r="Q1062" t="s">
        <v>2089</v>
      </c>
      <c r="R1062">
        <v>28.8</v>
      </c>
      <c r="S1062" s="5">
        <v>45133</v>
      </c>
      <c r="T1062" s="5">
        <v>45140</v>
      </c>
      <c r="U1062" t="s">
        <v>2924</v>
      </c>
    </row>
    <row r="1063" spans="1:21" x14ac:dyDescent="0.25">
      <c r="A1063" s="5">
        <v>45117</v>
      </c>
      <c r="B1063" s="7">
        <f>Table1[[#This Row],[TotalPrice]] * (1 - Table1[[#This Row],[Discount]])</f>
        <v>591.26384999999993</v>
      </c>
      <c r="C1063" s="7">
        <f>Table1[[#This Row],[Net Sales]] * 0.2</f>
        <v>118.25277</v>
      </c>
      <c r="D1063" t="s">
        <v>19</v>
      </c>
      <c r="E1063" t="s">
        <v>28</v>
      </c>
      <c r="F1063">
        <v>2</v>
      </c>
      <c r="G1063">
        <v>327.57</v>
      </c>
      <c r="H1063" t="s">
        <v>32</v>
      </c>
      <c r="I1063" t="s">
        <v>36</v>
      </c>
      <c r="J1063" s="3">
        <v>0.05</v>
      </c>
      <c r="K1063" t="s">
        <v>41</v>
      </c>
      <c r="L1063">
        <v>622.38299999999992</v>
      </c>
      <c r="M1063" t="s">
        <v>46</v>
      </c>
      <c r="O1063">
        <v>0</v>
      </c>
      <c r="P1063" t="s">
        <v>1112</v>
      </c>
      <c r="Q1063" t="s">
        <v>2545</v>
      </c>
      <c r="R1063">
        <v>19.489999999999998</v>
      </c>
      <c r="S1063" s="5">
        <v>45117</v>
      </c>
      <c r="T1063" s="5">
        <v>45126</v>
      </c>
      <c r="U1063" t="s">
        <v>2922</v>
      </c>
    </row>
    <row r="1064" spans="1:21" x14ac:dyDescent="0.25">
      <c r="A1064" s="5">
        <v>45510</v>
      </c>
      <c r="B1064" s="7">
        <f>Table1[[#This Row],[TotalPrice]] * (1 - Table1[[#This Row],[Discount]])</f>
        <v>2711.6153999999997</v>
      </c>
      <c r="C1064" s="7">
        <f>Table1[[#This Row],[Net Sales]] * 0.2</f>
        <v>542.32308</v>
      </c>
      <c r="D1064" t="s">
        <v>19</v>
      </c>
      <c r="E1064" t="s">
        <v>30</v>
      </c>
      <c r="F1064">
        <v>18</v>
      </c>
      <c r="G1064">
        <v>166.92</v>
      </c>
      <c r="H1064" t="s">
        <v>33</v>
      </c>
      <c r="I1064" t="s">
        <v>35</v>
      </c>
      <c r="J1064" s="3">
        <v>0.05</v>
      </c>
      <c r="K1064" t="s">
        <v>38</v>
      </c>
      <c r="L1064">
        <v>2854.3319999999999</v>
      </c>
      <c r="M1064" t="s">
        <v>44</v>
      </c>
      <c r="N1064" t="s">
        <v>50</v>
      </c>
      <c r="O1064">
        <v>0</v>
      </c>
      <c r="P1064" t="s">
        <v>1113</v>
      </c>
      <c r="Q1064" t="s">
        <v>2546</v>
      </c>
      <c r="R1064">
        <v>9.35</v>
      </c>
      <c r="S1064" s="5">
        <v>45510</v>
      </c>
      <c r="T1064" s="5">
        <v>45520</v>
      </c>
      <c r="U1064" t="s">
        <v>2922</v>
      </c>
    </row>
    <row r="1065" spans="1:21" x14ac:dyDescent="0.25">
      <c r="A1065" s="5">
        <v>45489</v>
      </c>
      <c r="B1065" s="7">
        <f>Table1[[#This Row],[TotalPrice]] * (1 - Table1[[#This Row],[Discount]])</f>
        <v>3406.3092000000001</v>
      </c>
      <c r="C1065" s="7">
        <f>Table1[[#This Row],[Net Sales]] * 0.2</f>
        <v>681.26184000000012</v>
      </c>
      <c r="D1065" t="s">
        <v>22</v>
      </c>
      <c r="E1065" t="s">
        <v>25</v>
      </c>
      <c r="F1065">
        <v>14</v>
      </c>
      <c r="G1065">
        <v>300.38</v>
      </c>
      <c r="H1065" t="s">
        <v>32</v>
      </c>
      <c r="I1065" t="s">
        <v>36</v>
      </c>
      <c r="J1065" s="3">
        <v>0.1</v>
      </c>
      <c r="K1065" t="s">
        <v>38</v>
      </c>
      <c r="L1065">
        <v>3784.788</v>
      </c>
      <c r="M1065" t="s">
        <v>43</v>
      </c>
      <c r="O1065">
        <v>0</v>
      </c>
      <c r="P1065" t="s">
        <v>1114</v>
      </c>
      <c r="Q1065" t="s">
        <v>2547</v>
      </c>
      <c r="R1065">
        <v>38.6</v>
      </c>
      <c r="S1065" s="5">
        <v>45489</v>
      </c>
      <c r="T1065" s="5">
        <v>45492</v>
      </c>
      <c r="U1065" t="s">
        <v>2925</v>
      </c>
    </row>
    <row r="1066" spans="1:21" x14ac:dyDescent="0.25">
      <c r="A1066" s="5">
        <v>45322</v>
      </c>
      <c r="B1066" s="7">
        <f>Table1[[#This Row],[TotalPrice]] * (1 - Table1[[#This Row],[Discount]])</f>
        <v>1161.45</v>
      </c>
      <c r="C1066" s="7">
        <f>Table1[[#This Row],[Net Sales]] * 0.2</f>
        <v>232.29000000000002</v>
      </c>
      <c r="D1066" t="s">
        <v>21</v>
      </c>
      <c r="E1066" t="s">
        <v>30</v>
      </c>
      <c r="F1066">
        <v>5</v>
      </c>
      <c r="G1066">
        <v>232.29</v>
      </c>
      <c r="H1066" t="s">
        <v>32</v>
      </c>
      <c r="I1066" t="s">
        <v>35</v>
      </c>
      <c r="J1066" s="3">
        <v>0</v>
      </c>
      <c r="K1066" t="s">
        <v>38</v>
      </c>
      <c r="L1066">
        <v>1161.45</v>
      </c>
      <c r="M1066" t="s">
        <v>43</v>
      </c>
      <c r="O1066">
        <v>1</v>
      </c>
      <c r="P1066" t="s">
        <v>1115</v>
      </c>
      <c r="Q1066" t="s">
        <v>2548</v>
      </c>
      <c r="R1066">
        <v>42.38</v>
      </c>
      <c r="S1066" s="5">
        <v>45322</v>
      </c>
      <c r="T1066" s="5">
        <v>45331</v>
      </c>
      <c r="U1066" t="s">
        <v>2924</v>
      </c>
    </row>
    <row r="1067" spans="1:21" x14ac:dyDescent="0.25">
      <c r="A1067" s="5">
        <v>45038</v>
      </c>
      <c r="B1067" s="7">
        <f>Table1[[#This Row],[TotalPrice]] * (1 - Table1[[#This Row],[Discount]])</f>
        <v>173.44</v>
      </c>
      <c r="C1067" s="7">
        <f>Table1[[#This Row],[Net Sales]] * 0.2</f>
        <v>34.688000000000002</v>
      </c>
      <c r="D1067" t="s">
        <v>22</v>
      </c>
      <c r="E1067" t="s">
        <v>29</v>
      </c>
      <c r="F1067">
        <v>1</v>
      </c>
      <c r="G1067">
        <v>173.44</v>
      </c>
      <c r="H1067" t="s">
        <v>32</v>
      </c>
      <c r="I1067" t="s">
        <v>36</v>
      </c>
      <c r="J1067" s="3">
        <v>0</v>
      </c>
      <c r="K1067" t="s">
        <v>42</v>
      </c>
      <c r="L1067">
        <v>173.44</v>
      </c>
      <c r="M1067" t="s">
        <v>44</v>
      </c>
      <c r="N1067" t="s">
        <v>48</v>
      </c>
      <c r="O1067">
        <v>0</v>
      </c>
      <c r="P1067" t="s">
        <v>1116</v>
      </c>
      <c r="Q1067" t="s">
        <v>2549</v>
      </c>
      <c r="R1067">
        <v>32.83</v>
      </c>
      <c r="S1067" s="5">
        <v>45038</v>
      </c>
      <c r="T1067" s="5">
        <v>45040</v>
      </c>
      <c r="U1067" t="s">
        <v>2925</v>
      </c>
    </row>
    <row r="1068" spans="1:21" x14ac:dyDescent="0.25">
      <c r="A1068" s="5">
        <v>45692</v>
      </c>
      <c r="B1068" s="7">
        <f>Table1[[#This Row],[TotalPrice]] * (1 - Table1[[#This Row],[Discount]])</f>
        <v>1665.55035</v>
      </c>
      <c r="C1068" s="7">
        <f>Table1[[#This Row],[Net Sales]] * 0.2</f>
        <v>333.11007000000001</v>
      </c>
      <c r="D1068" t="s">
        <v>19</v>
      </c>
      <c r="E1068" t="s">
        <v>25</v>
      </c>
      <c r="F1068">
        <v>9</v>
      </c>
      <c r="G1068">
        <v>256.14</v>
      </c>
      <c r="H1068" t="s">
        <v>32</v>
      </c>
      <c r="I1068" t="s">
        <v>36</v>
      </c>
      <c r="J1068" s="3">
        <v>0.15</v>
      </c>
      <c r="K1068" t="s">
        <v>39</v>
      </c>
      <c r="L1068">
        <v>1959.471</v>
      </c>
      <c r="M1068" t="s">
        <v>45</v>
      </c>
      <c r="N1068" t="s">
        <v>49</v>
      </c>
      <c r="O1068">
        <v>1</v>
      </c>
      <c r="P1068" t="s">
        <v>1117</v>
      </c>
      <c r="Q1068" t="s">
        <v>2550</v>
      </c>
      <c r="R1068">
        <v>5.21</v>
      </c>
      <c r="S1068" s="5">
        <v>45692</v>
      </c>
      <c r="T1068" s="5">
        <v>45695</v>
      </c>
      <c r="U1068" t="s">
        <v>2922</v>
      </c>
    </row>
    <row r="1069" spans="1:21" x14ac:dyDescent="0.25">
      <c r="A1069" s="5">
        <v>45529</v>
      </c>
      <c r="B1069" s="7">
        <f>Table1[[#This Row],[TotalPrice]] * (1 - Table1[[#This Row],[Discount]])</f>
        <v>3999.471</v>
      </c>
      <c r="C1069" s="7">
        <f>Table1[[#This Row],[Net Sales]] * 0.2</f>
        <v>799.89420000000007</v>
      </c>
      <c r="D1069" t="s">
        <v>22</v>
      </c>
      <c r="E1069" t="s">
        <v>24</v>
      </c>
      <c r="F1069">
        <v>12</v>
      </c>
      <c r="G1069">
        <v>461.3</v>
      </c>
      <c r="H1069" t="s">
        <v>34</v>
      </c>
      <c r="I1069" t="s">
        <v>35</v>
      </c>
      <c r="J1069" s="3">
        <v>0.15</v>
      </c>
      <c r="K1069" t="s">
        <v>41</v>
      </c>
      <c r="L1069">
        <v>4705.26</v>
      </c>
      <c r="M1069" t="s">
        <v>44</v>
      </c>
      <c r="N1069" t="s">
        <v>48</v>
      </c>
      <c r="O1069">
        <v>0</v>
      </c>
      <c r="P1069" t="s">
        <v>1118</v>
      </c>
      <c r="Q1069" t="s">
        <v>2551</v>
      </c>
      <c r="R1069">
        <v>8.6</v>
      </c>
      <c r="S1069" s="5">
        <v>45529</v>
      </c>
      <c r="T1069" s="5">
        <v>45538</v>
      </c>
      <c r="U1069" t="s">
        <v>2925</v>
      </c>
    </row>
    <row r="1070" spans="1:21" x14ac:dyDescent="0.25">
      <c r="A1070" s="5">
        <v>45168</v>
      </c>
      <c r="B1070" s="7">
        <f>Table1[[#This Row],[TotalPrice]] * (1 - Table1[[#This Row],[Discount]])</f>
        <v>174.25469999999999</v>
      </c>
      <c r="C1070" s="7">
        <f>Table1[[#This Row],[Net Sales]] * 0.2</f>
        <v>34.850940000000001</v>
      </c>
      <c r="D1070" t="s">
        <v>19</v>
      </c>
      <c r="E1070" t="s">
        <v>25</v>
      </c>
      <c r="F1070">
        <v>1</v>
      </c>
      <c r="G1070">
        <v>193.08</v>
      </c>
      <c r="H1070" t="s">
        <v>32</v>
      </c>
      <c r="I1070" t="s">
        <v>35</v>
      </c>
      <c r="J1070" s="3">
        <v>0.05</v>
      </c>
      <c r="K1070" t="s">
        <v>39</v>
      </c>
      <c r="L1070">
        <v>183.42599999999999</v>
      </c>
      <c r="M1070" t="s">
        <v>43</v>
      </c>
      <c r="N1070" t="s">
        <v>49</v>
      </c>
      <c r="O1070">
        <v>0</v>
      </c>
      <c r="P1070" t="s">
        <v>1119</v>
      </c>
      <c r="Q1070" t="s">
        <v>2342</v>
      </c>
      <c r="R1070">
        <v>23.99</v>
      </c>
      <c r="S1070" s="5">
        <v>45168</v>
      </c>
      <c r="T1070" s="5">
        <v>45174</v>
      </c>
      <c r="U1070" t="s">
        <v>2922</v>
      </c>
    </row>
    <row r="1071" spans="1:21" x14ac:dyDescent="0.25">
      <c r="A1071" s="5">
        <v>45175</v>
      </c>
      <c r="B1071" s="7">
        <f>Table1[[#This Row],[TotalPrice]] * (1 - Table1[[#This Row],[Discount]])</f>
        <v>847.36627499999997</v>
      </c>
      <c r="C1071" s="7">
        <f>Table1[[#This Row],[Net Sales]] * 0.2</f>
        <v>169.47325499999999</v>
      </c>
      <c r="D1071" t="s">
        <v>23</v>
      </c>
      <c r="E1071" t="s">
        <v>27</v>
      </c>
      <c r="F1071">
        <v>3</v>
      </c>
      <c r="G1071">
        <v>312.97000000000003</v>
      </c>
      <c r="H1071" t="s">
        <v>33</v>
      </c>
      <c r="I1071" t="s">
        <v>36</v>
      </c>
      <c r="J1071" s="3">
        <v>0.05</v>
      </c>
      <c r="K1071" t="s">
        <v>37</v>
      </c>
      <c r="L1071">
        <v>891.96450000000004</v>
      </c>
      <c r="M1071" t="s">
        <v>45</v>
      </c>
      <c r="O1071">
        <v>1</v>
      </c>
      <c r="P1071" t="s">
        <v>1120</v>
      </c>
      <c r="Q1071" t="s">
        <v>2552</v>
      </c>
      <c r="R1071">
        <v>20.059999999999999</v>
      </c>
      <c r="S1071" s="5">
        <v>45175</v>
      </c>
      <c r="T1071" s="5">
        <v>45181</v>
      </c>
      <c r="U1071" t="s">
        <v>2926</v>
      </c>
    </row>
    <row r="1072" spans="1:21" x14ac:dyDescent="0.25">
      <c r="A1072" s="5">
        <v>45790</v>
      </c>
      <c r="B1072" s="7">
        <f>Table1[[#This Row],[TotalPrice]] * (1 - Table1[[#This Row],[Discount]])</f>
        <v>1159.5681</v>
      </c>
      <c r="C1072" s="7">
        <f>Table1[[#This Row],[Net Sales]] * 0.2</f>
        <v>231.91362000000001</v>
      </c>
      <c r="D1072" t="s">
        <v>20</v>
      </c>
      <c r="E1072" t="s">
        <v>24</v>
      </c>
      <c r="F1072">
        <v>6</v>
      </c>
      <c r="G1072">
        <v>214.14</v>
      </c>
      <c r="H1072" t="s">
        <v>34</v>
      </c>
      <c r="I1072" t="s">
        <v>35</v>
      </c>
      <c r="J1072" s="3">
        <v>0.05</v>
      </c>
      <c r="K1072" t="s">
        <v>41</v>
      </c>
      <c r="L1072">
        <v>1220.598</v>
      </c>
      <c r="M1072" t="s">
        <v>47</v>
      </c>
      <c r="N1072" t="s">
        <v>48</v>
      </c>
      <c r="O1072">
        <v>0</v>
      </c>
      <c r="P1072" t="s">
        <v>1121</v>
      </c>
      <c r="Q1072" t="s">
        <v>2553</v>
      </c>
      <c r="R1072">
        <v>44.86</v>
      </c>
      <c r="S1072" s="5">
        <v>45790</v>
      </c>
      <c r="T1072" s="5">
        <v>45798</v>
      </c>
      <c r="U1072" t="s">
        <v>2923</v>
      </c>
    </row>
    <row r="1073" spans="1:21" x14ac:dyDescent="0.25">
      <c r="A1073" s="5">
        <v>45228</v>
      </c>
      <c r="B1073" s="7">
        <f>Table1[[#This Row],[TotalPrice]] * (1 - Table1[[#This Row],[Discount]])</f>
        <v>193.75200000000001</v>
      </c>
      <c r="C1073" s="7">
        <f>Table1[[#This Row],[Net Sales]] * 0.2</f>
        <v>38.750400000000006</v>
      </c>
      <c r="D1073" t="s">
        <v>21</v>
      </c>
      <c r="E1073" t="s">
        <v>25</v>
      </c>
      <c r="F1073">
        <v>4</v>
      </c>
      <c r="G1073">
        <v>59.8</v>
      </c>
      <c r="H1073" t="s">
        <v>34</v>
      </c>
      <c r="I1073" t="s">
        <v>36</v>
      </c>
      <c r="J1073" s="3">
        <v>0.1</v>
      </c>
      <c r="K1073" t="s">
        <v>39</v>
      </c>
      <c r="L1073">
        <v>215.28</v>
      </c>
      <c r="M1073" t="s">
        <v>43</v>
      </c>
      <c r="N1073" t="s">
        <v>48</v>
      </c>
      <c r="O1073">
        <v>0</v>
      </c>
      <c r="P1073" t="s">
        <v>1122</v>
      </c>
      <c r="Q1073" t="s">
        <v>2554</v>
      </c>
      <c r="R1073">
        <v>42.59</v>
      </c>
      <c r="S1073" s="5">
        <v>45228</v>
      </c>
      <c r="T1073" s="5">
        <v>45236</v>
      </c>
      <c r="U1073" t="s">
        <v>2924</v>
      </c>
    </row>
    <row r="1074" spans="1:21" x14ac:dyDescent="0.25">
      <c r="A1074" s="5">
        <v>45455</v>
      </c>
      <c r="B1074" s="7">
        <f>Table1[[#This Row],[TotalPrice]] * (1 - Table1[[#This Row],[Discount]])</f>
        <v>3762</v>
      </c>
      <c r="C1074" s="7">
        <f>Table1[[#This Row],[Net Sales]] * 0.2</f>
        <v>752.40000000000009</v>
      </c>
      <c r="D1074" t="s">
        <v>19</v>
      </c>
      <c r="E1074" t="s">
        <v>24</v>
      </c>
      <c r="F1074">
        <v>9</v>
      </c>
      <c r="G1074">
        <v>418</v>
      </c>
      <c r="H1074" t="s">
        <v>33</v>
      </c>
      <c r="I1074" t="s">
        <v>35</v>
      </c>
      <c r="J1074" s="3">
        <v>0</v>
      </c>
      <c r="K1074" t="s">
        <v>42</v>
      </c>
      <c r="L1074">
        <v>3762</v>
      </c>
      <c r="M1074" t="s">
        <v>45</v>
      </c>
      <c r="N1074" t="s">
        <v>50</v>
      </c>
      <c r="O1074">
        <v>0</v>
      </c>
      <c r="P1074" t="s">
        <v>1123</v>
      </c>
      <c r="Q1074" t="s">
        <v>2555</v>
      </c>
      <c r="R1074">
        <v>30.45</v>
      </c>
      <c r="S1074" s="5">
        <v>45455</v>
      </c>
      <c r="T1074" s="5">
        <v>45461</v>
      </c>
      <c r="U1074" t="s">
        <v>2922</v>
      </c>
    </row>
    <row r="1075" spans="1:21" x14ac:dyDescent="0.25">
      <c r="A1075" s="5">
        <v>44959</v>
      </c>
      <c r="B1075" s="7">
        <f>Table1[[#This Row],[TotalPrice]] * (1 - Table1[[#This Row],[Discount]])</f>
        <v>80.959999999999994</v>
      </c>
      <c r="C1075" s="7">
        <f>Table1[[#This Row],[Net Sales]] * 0.2</f>
        <v>16.192</v>
      </c>
      <c r="D1075" t="s">
        <v>20</v>
      </c>
      <c r="E1075" t="s">
        <v>27</v>
      </c>
      <c r="F1075">
        <v>1</v>
      </c>
      <c r="G1075">
        <v>80.959999999999994</v>
      </c>
      <c r="H1075" t="s">
        <v>32</v>
      </c>
      <c r="I1075" t="s">
        <v>35</v>
      </c>
      <c r="J1075" s="3">
        <v>0</v>
      </c>
      <c r="K1075" t="s">
        <v>42</v>
      </c>
      <c r="L1075">
        <v>80.959999999999994</v>
      </c>
      <c r="M1075" t="s">
        <v>45</v>
      </c>
      <c r="N1075" t="s">
        <v>48</v>
      </c>
      <c r="O1075">
        <v>0</v>
      </c>
      <c r="P1075" t="s">
        <v>1124</v>
      </c>
      <c r="Q1075" t="s">
        <v>2556</v>
      </c>
      <c r="R1075">
        <v>48.07</v>
      </c>
      <c r="S1075" s="5">
        <v>44959</v>
      </c>
      <c r="T1075" s="5">
        <v>44962</v>
      </c>
      <c r="U1075" t="s">
        <v>2923</v>
      </c>
    </row>
    <row r="1076" spans="1:21" x14ac:dyDescent="0.25">
      <c r="A1076" s="5">
        <v>45050</v>
      </c>
      <c r="B1076" s="7">
        <f>Table1[[#This Row],[TotalPrice]] * (1 - Table1[[#This Row],[Discount]])</f>
        <v>608.6339999999999</v>
      </c>
      <c r="C1076" s="7">
        <f>Table1[[#This Row],[Net Sales]] * 0.2</f>
        <v>121.72679999999998</v>
      </c>
      <c r="D1076" t="s">
        <v>19</v>
      </c>
      <c r="E1076" t="s">
        <v>25</v>
      </c>
      <c r="F1076">
        <v>20</v>
      </c>
      <c r="G1076">
        <v>42.12</v>
      </c>
      <c r="H1076" t="s">
        <v>31</v>
      </c>
      <c r="I1076" t="s">
        <v>35</v>
      </c>
      <c r="J1076" s="3">
        <v>0.15</v>
      </c>
      <c r="K1076" t="s">
        <v>38</v>
      </c>
      <c r="L1076">
        <v>716.04</v>
      </c>
      <c r="M1076" t="s">
        <v>45</v>
      </c>
      <c r="O1076">
        <v>0</v>
      </c>
      <c r="P1076" t="s">
        <v>1125</v>
      </c>
      <c r="Q1076" t="s">
        <v>2557</v>
      </c>
      <c r="R1076">
        <v>43.22</v>
      </c>
      <c r="S1076" s="5">
        <v>45050</v>
      </c>
      <c r="T1076" s="5">
        <v>45058</v>
      </c>
      <c r="U1076" t="s">
        <v>2922</v>
      </c>
    </row>
    <row r="1077" spans="1:21" x14ac:dyDescent="0.25">
      <c r="A1077" s="5">
        <v>45070</v>
      </c>
      <c r="B1077" s="7">
        <f>Table1[[#This Row],[TotalPrice]] * (1 - Table1[[#This Row],[Discount]])</f>
        <v>1099.95</v>
      </c>
      <c r="C1077" s="7">
        <f>Table1[[#This Row],[Net Sales]] * 0.2</f>
        <v>219.99</v>
      </c>
      <c r="D1077" t="s">
        <v>23</v>
      </c>
      <c r="E1077" t="s">
        <v>28</v>
      </c>
      <c r="F1077">
        <v>3</v>
      </c>
      <c r="G1077">
        <v>366.65</v>
      </c>
      <c r="H1077" t="s">
        <v>34</v>
      </c>
      <c r="I1077" t="s">
        <v>35</v>
      </c>
      <c r="J1077" s="3">
        <v>0</v>
      </c>
      <c r="K1077" t="s">
        <v>40</v>
      </c>
      <c r="L1077">
        <v>1099.95</v>
      </c>
      <c r="M1077" t="s">
        <v>45</v>
      </c>
      <c r="N1077" t="s">
        <v>49</v>
      </c>
      <c r="O1077">
        <v>0</v>
      </c>
      <c r="P1077" t="s">
        <v>1126</v>
      </c>
      <c r="Q1077" t="s">
        <v>2558</v>
      </c>
      <c r="R1077">
        <v>33.6</v>
      </c>
      <c r="S1077" s="5">
        <v>45070</v>
      </c>
      <c r="T1077" s="5">
        <v>45077</v>
      </c>
      <c r="U1077" t="s">
        <v>2926</v>
      </c>
    </row>
    <row r="1078" spans="1:21" x14ac:dyDescent="0.25">
      <c r="A1078" s="5">
        <v>44960</v>
      </c>
      <c r="B1078" s="7">
        <f>Table1[[#This Row],[TotalPrice]] * (1 - Table1[[#This Row],[Discount]])</f>
        <v>10163.48</v>
      </c>
      <c r="C1078" s="7">
        <f>Table1[[#This Row],[Net Sales]] * 0.2</f>
        <v>2032.6959999999999</v>
      </c>
      <c r="D1078" t="s">
        <v>23</v>
      </c>
      <c r="E1078" t="s">
        <v>28</v>
      </c>
      <c r="F1078">
        <v>19</v>
      </c>
      <c r="G1078">
        <v>534.91999999999996</v>
      </c>
      <c r="H1078" t="s">
        <v>34</v>
      </c>
      <c r="I1078" t="s">
        <v>36</v>
      </c>
      <c r="J1078" s="3">
        <v>0</v>
      </c>
      <c r="K1078" t="s">
        <v>41</v>
      </c>
      <c r="L1078">
        <v>10163.48</v>
      </c>
      <c r="M1078" t="s">
        <v>43</v>
      </c>
      <c r="O1078">
        <v>0</v>
      </c>
      <c r="P1078" t="s">
        <v>1127</v>
      </c>
      <c r="Q1078" t="s">
        <v>2559</v>
      </c>
      <c r="R1078">
        <v>26.97</v>
      </c>
      <c r="S1078" s="5">
        <v>44960</v>
      </c>
      <c r="T1078" s="5">
        <v>44970</v>
      </c>
      <c r="U1078" t="s">
        <v>2926</v>
      </c>
    </row>
    <row r="1079" spans="1:21" x14ac:dyDescent="0.25">
      <c r="A1079" s="5">
        <v>45285</v>
      </c>
      <c r="B1079" s="7">
        <f>Table1[[#This Row],[TotalPrice]] * (1 - Table1[[#This Row],[Discount]])</f>
        <v>494.52</v>
      </c>
      <c r="C1079" s="7">
        <f>Table1[[#This Row],[Net Sales]] * 0.2</f>
        <v>98.903999999999996</v>
      </c>
      <c r="D1079" t="s">
        <v>19</v>
      </c>
      <c r="E1079" t="s">
        <v>27</v>
      </c>
      <c r="F1079">
        <v>1</v>
      </c>
      <c r="G1079">
        <v>494.52</v>
      </c>
      <c r="H1079" t="s">
        <v>34</v>
      </c>
      <c r="I1079" t="s">
        <v>36</v>
      </c>
      <c r="J1079" s="3">
        <v>0</v>
      </c>
      <c r="K1079" t="s">
        <v>42</v>
      </c>
      <c r="L1079">
        <v>494.52</v>
      </c>
      <c r="M1079" t="s">
        <v>45</v>
      </c>
      <c r="O1079">
        <v>0</v>
      </c>
      <c r="P1079" t="s">
        <v>1128</v>
      </c>
      <c r="Q1079" t="s">
        <v>2560</v>
      </c>
      <c r="R1079">
        <v>43.02</v>
      </c>
      <c r="S1079" s="5">
        <v>45285</v>
      </c>
      <c r="T1079" s="5">
        <v>45293</v>
      </c>
      <c r="U1079" t="s">
        <v>2922</v>
      </c>
    </row>
    <row r="1080" spans="1:21" x14ac:dyDescent="0.25">
      <c r="A1080" s="5">
        <v>45133</v>
      </c>
      <c r="B1080" s="7">
        <f>Table1[[#This Row],[TotalPrice]] * (1 - Table1[[#This Row],[Discount]])</f>
        <v>1675.0962000000002</v>
      </c>
      <c r="C1080" s="7">
        <f>Table1[[#This Row],[Net Sales]] * 0.2</f>
        <v>335.01924000000008</v>
      </c>
      <c r="D1080" t="s">
        <v>19</v>
      </c>
      <c r="E1080" t="s">
        <v>28</v>
      </c>
      <c r="F1080">
        <v>6</v>
      </c>
      <c r="G1080">
        <v>344.67</v>
      </c>
      <c r="H1080" t="s">
        <v>34</v>
      </c>
      <c r="I1080" t="s">
        <v>35</v>
      </c>
      <c r="J1080" s="3">
        <v>0.1</v>
      </c>
      <c r="K1080" t="s">
        <v>41</v>
      </c>
      <c r="L1080">
        <v>1861.2180000000001</v>
      </c>
      <c r="M1080" t="s">
        <v>43</v>
      </c>
      <c r="N1080" t="s">
        <v>49</v>
      </c>
      <c r="O1080">
        <v>1</v>
      </c>
      <c r="P1080" t="s">
        <v>1129</v>
      </c>
      <c r="Q1080" t="s">
        <v>2561</v>
      </c>
      <c r="R1080">
        <v>31.13</v>
      </c>
      <c r="S1080" s="5">
        <v>45133</v>
      </c>
      <c r="T1080" s="5">
        <v>45139</v>
      </c>
      <c r="U1080" t="s">
        <v>2922</v>
      </c>
    </row>
    <row r="1081" spans="1:21" x14ac:dyDescent="0.25">
      <c r="A1081" s="5">
        <v>45449</v>
      </c>
      <c r="B1081" s="7">
        <f>Table1[[#This Row],[TotalPrice]] * (1 - Table1[[#This Row],[Discount]])</f>
        <v>4240.8437999999996</v>
      </c>
      <c r="C1081" s="7">
        <f>Table1[[#This Row],[Net Sales]] * 0.2</f>
        <v>848.16876000000002</v>
      </c>
      <c r="D1081" t="s">
        <v>22</v>
      </c>
      <c r="E1081" t="s">
        <v>28</v>
      </c>
      <c r="F1081">
        <v>12</v>
      </c>
      <c r="G1081">
        <v>489.14</v>
      </c>
      <c r="H1081" t="s">
        <v>34</v>
      </c>
      <c r="I1081" t="s">
        <v>36</v>
      </c>
      <c r="J1081" s="3">
        <v>0.15</v>
      </c>
      <c r="K1081" t="s">
        <v>42</v>
      </c>
      <c r="L1081">
        <v>4989.2280000000001</v>
      </c>
      <c r="M1081" t="s">
        <v>43</v>
      </c>
      <c r="N1081" t="s">
        <v>49</v>
      </c>
      <c r="O1081">
        <v>0</v>
      </c>
      <c r="P1081" t="s">
        <v>1130</v>
      </c>
      <c r="Q1081" t="s">
        <v>1626</v>
      </c>
      <c r="R1081">
        <v>29.31</v>
      </c>
      <c r="S1081" s="5">
        <v>45449</v>
      </c>
      <c r="T1081" s="5">
        <v>45458</v>
      </c>
      <c r="U1081" t="s">
        <v>2925</v>
      </c>
    </row>
    <row r="1082" spans="1:21" x14ac:dyDescent="0.25">
      <c r="A1082" s="5">
        <v>45578</v>
      </c>
      <c r="B1082" s="7">
        <f>Table1[[#This Row],[TotalPrice]] * (1 - Table1[[#This Row],[Discount]])</f>
        <v>4162.4563500000004</v>
      </c>
      <c r="C1082" s="7">
        <f>Table1[[#This Row],[Net Sales]] * 0.2</f>
        <v>832.4912700000001</v>
      </c>
      <c r="D1082" t="s">
        <v>20</v>
      </c>
      <c r="E1082" t="s">
        <v>30</v>
      </c>
      <c r="F1082">
        <v>18</v>
      </c>
      <c r="G1082">
        <v>256.23</v>
      </c>
      <c r="H1082" t="s">
        <v>31</v>
      </c>
      <c r="I1082" t="s">
        <v>35</v>
      </c>
      <c r="J1082" s="3">
        <v>0.05</v>
      </c>
      <c r="K1082" t="s">
        <v>37</v>
      </c>
      <c r="L1082">
        <v>4381.5330000000004</v>
      </c>
      <c r="M1082" t="s">
        <v>46</v>
      </c>
      <c r="O1082">
        <v>0</v>
      </c>
      <c r="P1082" t="s">
        <v>1131</v>
      </c>
      <c r="Q1082" t="s">
        <v>2562</v>
      </c>
      <c r="R1082">
        <v>11.21</v>
      </c>
      <c r="S1082" s="5">
        <v>45578</v>
      </c>
      <c r="T1082" s="5">
        <v>45583</v>
      </c>
      <c r="U1082" t="s">
        <v>2923</v>
      </c>
    </row>
    <row r="1083" spans="1:21" x14ac:dyDescent="0.25">
      <c r="A1083" s="5">
        <v>45599</v>
      </c>
      <c r="B1083" s="7">
        <f>Table1[[#This Row],[TotalPrice]] * (1 - Table1[[#This Row],[Discount]])</f>
        <v>1695.92</v>
      </c>
      <c r="C1083" s="7">
        <f>Table1[[#This Row],[Net Sales]] * 0.2</f>
        <v>339.18400000000003</v>
      </c>
      <c r="D1083" t="s">
        <v>21</v>
      </c>
      <c r="E1083" t="s">
        <v>30</v>
      </c>
      <c r="F1083">
        <v>17</v>
      </c>
      <c r="G1083">
        <v>99.76</v>
      </c>
      <c r="H1083" t="s">
        <v>33</v>
      </c>
      <c r="I1083" t="s">
        <v>35</v>
      </c>
      <c r="J1083" s="3">
        <v>0</v>
      </c>
      <c r="K1083" t="s">
        <v>41</v>
      </c>
      <c r="L1083">
        <v>1695.92</v>
      </c>
      <c r="M1083" t="s">
        <v>43</v>
      </c>
      <c r="N1083" t="s">
        <v>48</v>
      </c>
      <c r="O1083">
        <v>1</v>
      </c>
      <c r="P1083" t="s">
        <v>1132</v>
      </c>
      <c r="Q1083" t="s">
        <v>1921</v>
      </c>
      <c r="R1083">
        <v>21.89</v>
      </c>
      <c r="S1083" s="5">
        <v>45599</v>
      </c>
      <c r="T1083" s="5">
        <v>45609</v>
      </c>
      <c r="U1083" t="s">
        <v>2924</v>
      </c>
    </row>
    <row r="1084" spans="1:21" x14ac:dyDescent="0.25">
      <c r="A1084" s="5">
        <v>45325</v>
      </c>
      <c r="B1084" s="7">
        <f>Table1[[#This Row],[TotalPrice]] * (1 - Table1[[#This Row],[Discount]])</f>
        <v>6527.9844000000003</v>
      </c>
      <c r="C1084" s="7">
        <f>Table1[[#This Row],[Net Sales]] * 0.2</f>
        <v>1305.5968800000001</v>
      </c>
      <c r="D1084" t="s">
        <v>21</v>
      </c>
      <c r="E1084" t="s">
        <v>30</v>
      </c>
      <c r="F1084">
        <v>14</v>
      </c>
      <c r="G1084">
        <v>575.66</v>
      </c>
      <c r="H1084" t="s">
        <v>33</v>
      </c>
      <c r="I1084" t="s">
        <v>35</v>
      </c>
      <c r="J1084" s="3">
        <v>0.1</v>
      </c>
      <c r="K1084" t="s">
        <v>39</v>
      </c>
      <c r="L1084">
        <v>7253.3159999999998</v>
      </c>
      <c r="M1084" t="s">
        <v>45</v>
      </c>
      <c r="O1084">
        <v>0</v>
      </c>
      <c r="P1084" t="s">
        <v>1133</v>
      </c>
      <c r="Q1084" t="s">
        <v>2563</v>
      </c>
      <c r="R1084">
        <v>32.53</v>
      </c>
      <c r="S1084" s="5">
        <v>45325</v>
      </c>
      <c r="T1084" s="5">
        <v>45333</v>
      </c>
      <c r="U1084" t="s">
        <v>2924</v>
      </c>
    </row>
    <row r="1085" spans="1:21" x14ac:dyDescent="0.25">
      <c r="A1085" s="5">
        <v>44936</v>
      </c>
      <c r="B1085" s="7">
        <f>Table1[[#This Row],[TotalPrice]] * (1 - Table1[[#This Row],[Discount]])</f>
        <v>765.21420000000001</v>
      </c>
      <c r="C1085" s="7">
        <f>Table1[[#This Row],[Net Sales]] * 0.2</f>
        <v>153.04284000000001</v>
      </c>
      <c r="D1085" t="s">
        <v>19</v>
      </c>
      <c r="E1085" t="s">
        <v>27</v>
      </c>
      <c r="F1085">
        <v>6</v>
      </c>
      <c r="G1085">
        <v>176.52</v>
      </c>
      <c r="H1085" t="s">
        <v>34</v>
      </c>
      <c r="I1085" t="s">
        <v>35</v>
      </c>
      <c r="J1085" s="3">
        <v>0.15</v>
      </c>
      <c r="K1085" t="s">
        <v>38</v>
      </c>
      <c r="L1085">
        <v>900.25200000000007</v>
      </c>
      <c r="M1085" t="s">
        <v>43</v>
      </c>
      <c r="N1085" t="s">
        <v>48</v>
      </c>
      <c r="O1085">
        <v>0</v>
      </c>
      <c r="P1085" t="s">
        <v>1134</v>
      </c>
      <c r="Q1085" t="s">
        <v>2564</v>
      </c>
      <c r="R1085">
        <v>16.98</v>
      </c>
      <c r="S1085" s="5">
        <v>44936</v>
      </c>
      <c r="T1085" s="5">
        <v>44939</v>
      </c>
      <c r="U1085" t="s">
        <v>2922</v>
      </c>
    </row>
    <row r="1086" spans="1:21" x14ac:dyDescent="0.25">
      <c r="A1086" s="5">
        <v>45215</v>
      </c>
      <c r="B1086" s="7">
        <f>Table1[[#This Row],[TotalPrice]] * (1 - Table1[[#This Row],[Discount]])</f>
        <v>2629.8489</v>
      </c>
      <c r="C1086" s="7">
        <f>Table1[[#This Row],[Net Sales]] * 0.2</f>
        <v>525.96978000000001</v>
      </c>
      <c r="D1086" t="s">
        <v>19</v>
      </c>
      <c r="E1086" t="s">
        <v>29</v>
      </c>
      <c r="F1086">
        <v>6</v>
      </c>
      <c r="G1086">
        <v>485.66</v>
      </c>
      <c r="H1086" t="s">
        <v>34</v>
      </c>
      <c r="I1086" t="s">
        <v>35</v>
      </c>
      <c r="J1086" s="3">
        <v>0.05</v>
      </c>
      <c r="K1086" t="s">
        <v>37</v>
      </c>
      <c r="L1086">
        <v>2768.2620000000002</v>
      </c>
      <c r="M1086" t="s">
        <v>44</v>
      </c>
      <c r="N1086" t="s">
        <v>48</v>
      </c>
      <c r="O1086">
        <v>0</v>
      </c>
      <c r="P1086" t="s">
        <v>1135</v>
      </c>
      <c r="Q1086" t="s">
        <v>2565</v>
      </c>
      <c r="R1086">
        <v>30.62</v>
      </c>
      <c r="S1086" s="5">
        <v>45215</v>
      </c>
      <c r="T1086" s="5">
        <v>45221</v>
      </c>
      <c r="U1086" t="s">
        <v>2922</v>
      </c>
    </row>
    <row r="1087" spans="1:21" x14ac:dyDescent="0.25">
      <c r="A1087" s="5">
        <v>45735</v>
      </c>
      <c r="B1087" s="7">
        <f>Table1[[#This Row],[TotalPrice]] * (1 - Table1[[#This Row],[Discount]])</f>
        <v>917.63279999999997</v>
      </c>
      <c r="C1087" s="7">
        <f>Table1[[#This Row],[Net Sales]] * 0.2</f>
        <v>183.52656000000002</v>
      </c>
      <c r="D1087" t="s">
        <v>22</v>
      </c>
      <c r="E1087" t="s">
        <v>24</v>
      </c>
      <c r="F1087">
        <v>8</v>
      </c>
      <c r="G1087">
        <v>141.61000000000001</v>
      </c>
      <c r="H1087" t="s">
        <v>31</v>
      </c>
      <c r="I1087" t="s">
        <v>36</v>
      </c>
      <c r="J1087" s="3">
        <v>0.1</v>
      </c>
      <c r="K1087" t="s">
        <v>42</v>
      </c>
      <c r="L1087">
        <v>1019.592</v>
      </c>
      <c r="M1087" t="s">
        <v>44</v>
      </c>
      <c r="N1087" t="s">
        <v>50</v>
      </c>
      <c r="O1087">
        <v>0</v>
      </c>
      <c r="P1087" t="s">
        <v>1136</v>
      </c>
      <c r="Q1087" t="s">
        <v>2566</v>
      </c>
      <c r="R1087">
        <v>14.02</v>
      </c>
      <c r="S1087" s="5">
        <v>45735</v>
      </c>
      <c r="T1087" s="5">
        <v>45740</v>
      </c>
      <c r="U1087" t="s">
        <v>2925</v>
      </c>
    </row>
    <row r="1088" spans="1:21" x14ac:dyDescent="0.25">
      <c r="A1088" s="5">
        <v>45642</v>
      </c>
      <c r="B1088" s="7">
        <f>Table1[[#This Row],[TotalPrice]] * (1 - Table1[[#This Row],[Discount]])</f>
        <v>1569.4640999999999</v>
      </c>
      <c r="C1088" s="7">
        <f>Table1[[#This Row],[Net Sales]] * 0.2</f>
        <v>313.89282000000003</v>
      </c>
      <c r="D1088" t="s">
        <v>23</v>
      </c>
      <c r="E1088" t="s">
        <v>26</v>
      </c>
      <c r="F1088">
        <v>9</v>
      </c>
      <c r="G1088">
        <v>215.29</v>
      </c>
      <c r="H1088" t="s">
        <v>33</v>
      </c>
      <c r="I1088" t="s">
        <v>35</v>
      </c>
      <c r="J1088" s="3">
        <v>0.1</v>
      </c>
      <c r="K1088" t="s">
        <v>38</v>
      </c>
      <c r="L1088">
        <v>1743.8489999999999</v>
      </c>
      <c r="M1088" t="s">
        <v>45</v>
      </c>
      <c r="N1088" t="s">
        <v>50</v>
      </c>
      <c r="O1088">
        <v>0</v>
      </c>
      <c r="P1088" t="s">
        <v>1137</v>
      </c>
      <c r="Q1088" t="s">
        <v>2567</v>
      </c>
      <c r="R1088">
        <v>5.84</v>
      </c>
      <c r="S1088" s="5">
        <v>45642</v>
      </c>
      <c r="T1088" s="5">
        <v>45645</v>
      </c>
      <c r="U1088" t="s">
        <v>2926</v>
      </c>
    </row>
    <row r="1089" spans="1:21" x14ac:dyDescent="0.25">
      <c r="A1089" s="5">
        <v>45154</v>
      </c>
      <c r="B1089" s="7">
        <f>Table1[[#This Row],[TotalPrice]] * (1 - Table1[[#This Row],[Discount]])</f>
        <v>8077.3389000000006</v>
      </c>
      <c r="C1089" s="7">
        <f>Table1[[#This Row],[Net Sales]] * 0.2</f>
        <v>1615.4677800000002</v>
      </c>
      <c r="D1089" t="s">
        <v>23</v>
      </c>
      <c r="E1089" t="s">
        <v>24</v>
      </c>
      <c r="F1089">
        <v>18</v>
      </c>
      <c r="G1089">
        <v>497.22</v>
      </c>
      <c r="H1089" t="s">
        <v>31</v>
      </c>
      <c r="I1089" t="s">
        <v>35</v>
      </c>
      <c r="J1089" s="3">
        <v>0.05</v>
      </c>
      <c r="K1089" t="s">
        <v>41</v>
      </c>
      <c r="L1089">
        <v>8502.4620000000014</v>
      </c>
      <c r="M1089" t="s">
        <v>45</v>
      </c>
      <c r="N1089" t="s">
        <v>50</v>
      </c>
      <c r="O1089">
        <v>0</v>
      </c>
      <c r="P1089" t="s">
        <v>1138</v>
      </c>
      <c r="Q1089" t="s">
        <v>2568</v>
      </c>
      <c r="R1089">
        <v>17.39</v>
      </c>
      <c r="S1089" s="5">
        <v>45154</v>
      </c>
      <c r="T1089" s="5">
        <v>45158</v>
      </c>
      <c r="U1089" t="s">
        <v>2926</v>
      </c>
    </row>
    <row r="1090" spans="1:21" x14ac:dyDescent="0.25">
      <c r="A1090" s="5">
        <v>44936</v>
      </c>
      <c r="B1090" s="7">
        <f>Table1[[#This Row],[TotalPrice]] * (1 - Table1[[#This Row],[Discount]])</f>
        <v>4079.7422249999991</v>
      </c>
      <c r="C1090" s="7">
        <f>Table1[[#This Row],[Net Sales]] * 0.2</f>
        <v>815.94844499999988</v>
      </c>
      <c r="D1090" t="s">
        <v>19</v>
      </c>
      <c r="E1090" t="s">
        <v>26</v>
      </c>
      <c r="F1090">
        <v>13</v>
      </c>
      <c r="G1090">
        <v>347.73</v>
      </c>
      <c r="H1090" t="s">
        <v>31</v>
      </c>
      <c r="I1090" t="s">
        <v>35</v>
      </c>
      <c r="J1090" s="3">
        <v>0.05</v>
      </c>
      <c r="K1090" t="s">
        <v>41</v>
      </c>
      <c r="L1090">
        <v>4294.4654999999993</v>
      </c>
      <c r="M1090" t="s">
        <v>44</v>
      </c>
      <c r="N1090" t="s">
        <v>48</v>
      </c>
      <c r="O1090">
        <v>1</v>
      </c>
      <c r="P1090" t="s">
        <v>1139</v>
      </c>
      <c r="Q1090" t="s">
        <v>2569</v>
      </c>
      <c r="R1090">
        <v>31.81</v>
      </c>
      <c r="S1090" s="5">
        <v>44936</v>
      </c>
      <c r="T1090" s="5">
        <v>44946</v>
      </c>
      <c r="U1090" t="s">
        <v>2922</v>
      </c>
    </row>
    <row r="1091" spans="1:21" x14ac:dyDescent="0.25">
      <c r="A1091" s="5">
        <v>45786</v>
      </c>
      <c r="B1091" s="7">
        <f>Table1[[#This Row],[TotalPrice]] * (1 - Table1[[#This Row],[Discount]])</f>
        <v>902.04030000000012</v>
      </c>
      <c r="C1091" s="7">
        <f>Table1[[#This Row],[Net Sales]] * 0.2</f>
        <v>180.40806000000003</v>
      </c>
      <c r="D1091" t="s">
        <v>22</v>
      </c>
      <c r="E1091" t="s">
        <v>27</v>
      </c>
      <c r="F1091">
        <v>3</v>
      </c>
      <c r="G1091">
        <v>371.21</v>
      </c>
      <c r="H1091" t="s">
        <v>33</v>
      </c>
      <c r="I1091" t="s">
        <v>35</v>
      </c>
      <c r="J1091" s="3">
        <v>0.1</v>
      </c>
      <c r="K1091" t="s">
        <v>37</v>
      </c>
      <c r="L1091">
        <v>1002.2670000000001</v>
      </c>
      <c r="M1091" t="s">
        <v>44</v>
      </c>
      <c r="N1091" t="s">
        <v>49</v>
      </c>
      <c r="O1091">
        <v>0</v>
      </c>
      <c r="P1091" t="s">
        <v>1140</v>
      </c>
      <c r="Q1091" t="s">
        <v>2570</v>
      </c>
      <c r="R1091">
        <v>20.02</v>
      </c>
      <c r="S1091" s="5">
        <v>45786</v>
      </c>
      <c r="T1091" s="5">
        <v>45795</v>
      </c>
      <c r="U1091" t="s">
        <v>2925</v>
      </c>
    </row>
    <row r="1092" spans="1:21" x14ac:dyDescent="0.25">
      <c r="A1092" s="5">
        <v>45390</v>
      </c>
      <c r="B1092" s="7">
        <f>Table1[[#This Row],[TotalPrice]] * (1 - Table1[[#This Row],[Discount]])</f>
        <v>3765.6410999999998</v>
      </c>
      <c r="C1092" s="7">
        <f>Table1[[#This Row],[Net Sales]] * 0.2</f>
        <v>753.12822000000006</v>
      </c>
      <c r="D1092" t="s">
        <v>19</v>
      </c>
      <c r="E1092" t="s">
        <v>30</v>
      </c>
      <c r="F1092">
        <v>12</v>
      </c>
      <c r="G1092">
        <v>434.33</v>
      </c>
      <c r="H1092" t="s">
        <v>32</v>
      </c>
      <c r="I1092" t="s">
        <v>35</v>
      </c>
      <c r="J1092" s="3">
        <v>0.15</v>
      </c>
      <c r="K1092" t="s">
        <v>42</v>
      </c>
      <c r="L1092">
        <v>4430.1660000000002</v>
      </c>
      <c r="M1092" t="s">
        <v>47</v>
      </c>
      <c r="N1092" t="s">
        <v>48</v>
      </c>
      <c r="O1092">
        <v>0</v>
      </c>
      <c r="P1092" t="s">
        <v>1141</v>
      </c>
      <c r="Q1092" t="s">
        <v>1812</v>
      </c>
      <c r="R1092">
        <v>15.33</v>
      </c>
      <c r="S1092" s="5">
        <v>45390</v>
      </c>
      <c r="T1092" s="5">
        <v>45398</v>
      </c>
      <c r="U1092" t="s">
        <v>2922</v>
      </c>
    </row>
    <row r="1093" spans="1:21" x14ac:dyDescent="0.25">
      <c r="A1093" s="5">
        <v>45783</v>
      </c>
      <c r="B1093" s="7">
        <f>Table1[[#This Row],[TotalPrice]] * (1 - Table1[[#This Row],[Discount]])</f>
        <v>5529.384</v>
      </c>
      <c r="C1093" s="7">
        <f>Table1[[#This Row],[Net Sales]] * 0.2</f>
        <v>1105.8768</v>
      </c>
      <c r="D1093" t="s">
        <v>19</v>
      </c>
      <c r="E1093" t="s">
        <v>28</v>
      </c>
      <c r="F1093">
        <v>16</v>
      </c>
      <c r="G1093">
        <v>426.65</v>
      </c>
      <c r="H1093" t="s">
        <v>32</v>
      </c>
      <c r="I1093" t="s">
        <v>36</v>
      </c>
      <c r="J1093" s="3">
        <v>0.1</v>
      </c>
      <c r="K1093" t="s">
        <v>41</v>
      </c>
      <c r="L1093">
        <v>6143.76</v>
      </c>
      <c r="M1093" t="s">
        <v>44</v>
      </c>
      <c r="O1093">
        <v>0</v>
      </c>
      <c r="P1093" t="s">
        <v>1142</v>
      </c>
      <c r="Q1093" t="s">
        <v>2571</v>
      </c>
      <c r="R1093">
        <v>10.199999999999999</v>
      </c>
      <c r="S1093" s="5">
        <v>45783</v>
      </c>
      <c r="T1093" s="5">
        <v>45792</v>
      </c>
      <c r="U1093" t="s">
        <v>2922</v>
      </c>
    </row>
    <row r="1094" spans="1:21" x14ac:dyDescent="0.25">
      <c r="A1094" s="5">
        <v>45067</v>
      </c>
      <c r="B1094" s="7">
        <f>Table1[[#This Row],[TotalPrice]] * (1 - Table1[[#This Row],[Discount]])</f>
        <v>1597.2625499999999</v>
      </c>
      <c r="C1094" s="7">
        <f>Table1[[#This Row],[Net Sales]] * 0.2</f>
        <v>319.45251000000002</v>
      </c>
      <c r="D1094" t="s">
        <v>23</v>
      </c>
      <c r="E1094" t="s">
        <v>26</v>
      </c>
      <c r="F1094">
        <v>6</v>
      </c>
      <c r="G1094">
        <v>294.97000000000003</v>
      </c>
      <c r="H1094" t="s">
        <v>32</v>
      </c>
      <c r="I1094" t="s">
        <v>35</v>
      </c>
      <c r="J1094" s="3">
        <v>0.05</v>
      </c>
      <c r="K1094" t="s">
        <v>42</v>
      </c>
      <c r="L1094">
        <v>1681.329</v>
      </c>
      <c r="M1094" t="s">
        <v>45</v>
      </c>
      <c r="N1094" t="s">
        <v>50</v>
      </c>
      <c r="O1094">
        <v>0</v>
      </c>
      <c r="P1094" t="s">
        <v>1143</v>
      </c>
      <c r="Q1094" t="s">
        <v>2572</v>
      </c>
      <c r="R1094">
        <v>48.08</v>
      </c>
      <c r="S1094" s="5">
        <v>45067</v>
      </c>
      <c r="T1094" s="5">
        <v>45075</v>
      </c>
      <c r="U1094" t="s">
        <v>2926</v>
      </c>
    </row>
    <row r="1095" spans="1:21" x14ac:dyDescent="0.25">
      <c r="A1095" s="5">
        <v>45253</v>
      </c>
      <c r="B1095" s="7">
        <f>Table1[[#This Row],[TotalPrice]] * (1 - Table1[[#This Row],[Discount]])</f>
        <v>1134.903</v>
      </c>
      <c r="C1095" s="7">
        <f>Table1[[#This Row],[Net Sales]] * 0.2</f>
        <v>226.98060000000001</v>
      </c>
      <c r="D1095" t="s">
        <v>22</v>
      </c>
      <c r="E1095" t="s">
        <v>25</v>
      </c>
      <c r="F1095">
        <v>12</v>
      </c>
      <c r="G1095">
        <v>130.9</v>
      </c>
      <c r="H1095" t="s">
        <v>34</v>
      </c>
      <c r="I1095" t="s">
        <v>36</v>
      </c>
      <c r="J1095" s="3">
        <v>0.15</v>
      </c>
      <c r="K1095" t="s">
        <v>38</v>
      </c>
      <c r="L1095">
        <v>1335.18</v>
      </c>
      <c r="M1095" t="s">
        <v>46</v>
      </c>
      <c r="N1095" t="s">
        <v>49</v>
      </c>
      <c r="O1095">
        <v>0</v>
      </c>
      <c r="P1095" t="s">
        <v>1144</v>
      </c>
      <c r="Q1095" t="s">
        <v>2573</v>
      </c>
      <c r="R1095">
        <v>34.69</v>
      </c>
      <c r="S1095" s="5">
        <v>45253</v>
      </c>
      <c r="T1095" s="5">
        <v>45260</v>
      </c>
      <c r="U1095" t="s">
        <v>2925</v>
      </c>
    </row>
    <row r="1096" spans="1:21" x14ac:dyDescent="0.25">
      <c r="A1096" s="5">
        <v>45377</v>
      </c>
      <c r="B1096" s="7">
        <f>Table1[[#This Row],[TotalPrice]] * (1 - Table1[[#This Row],[Discount]])</f>
        <v>7022.4398999999994</v>
      </c>
      <c r="C1096" s="7">
        <f>Table1[[#This Row],[Net Sales]] * 0.2</f>
        <v>1404.4879799999999</v>
      </c>
      <c r="D1096" t="s">
        <v>21</v>
      </c>
      <c r="E1096" t="s">
        <v>28</v>
      </c>
      <c r="F1096">
        <v>18</v>
      </c>
      <c r="G1096">
        <v>539.98</v>
      </c>
      <c r="H1096" t="s">
        <v>33</v>
      </c>
      <c r="I1096" t="s">
        <v>36</v>
      </c>
      <c r="J1096" s="3">
        <v>0.15</v>
      </c>
      <c r="K1096" t="s">
        <v>37</v>
      </c>
      <c r="L1096">
        <v>8261.6939999999995</v>
      </c>
      <c r="M1096" t="s">
        <v>47</v>
      </c>
      <c r="N1096" t="s">
        <v>48</v>
      </c>
      <c r="O1096">
        <v>1</v>
      </c>
      <c r="P1096" t="s">
        <v>1145</v>
      </c>
      <c r="Q1096" t="s">
        <v>2574</v>
      </c>
      <c r="R1096">
        <v>34.44</v>
      </c>
      <c r="S1096" s="5">
        <v>45377</v>
      </c>
      <c r="T1096" s="5">
        <v>45387</v>
      </c>
      <c r="U1096" t="s">
        <v>2924</v>
      </c>
    </row>
    <row r="1097" spans="1:21" x14ac:dyDescent="0.25">
      <c r="A1097" s="5">
        <v>45560</v>
      </c>
      <c r="B1097" s="7">
        <f>Table1[[#This Row],[TotalPrice]] * (1 - Table1[[#This Row],[Discount]])</f>
        <v>1451.8763999999999</v>
      </c>
      <c r="C1097" s="7">
        <f>Table1[[#This Row],[Net Sales]] * 0.2</f>
        <v>290.37527999999998</v>
      </c>
      <c r="D1097" t="s">
        <v>20</v>
      </c>
      <c r="E1097" t="s">
        <v>26</v>
      </c>
      <c r="F1097">
        <v>12</v>
      </c>
      <c r="G1097">
        <v>149.37</v>
      </c>
      <c r="H1097" t="s">
        <v>34</v>
      </c>
      <c r="I1097" t="s">
        <v>36</v>
      </c>
      <c r="J1097" s="3">
        <v>0.1</v>
      </c>
      <c r="K1097" t="s">
        <v>42</v>
      </c>
      <c r="L1097">
        <v>1613.1959999999999</v>
      </c>
      <c r="M1097" t="s">
        <v>45</v>
      </c>
      <c r="O1097">
        <v>0</v>
      </c>
      <c r="P1097" t="s">
        <v>1146</v>
      </c>
      <c r="Q1097" t="s">
        <v>2575</v>
      </c>
      <c r="R1097">
        <v>20.21</v>
      </c>
      <c r="S1097" s="5">
        <v>45560</v>
      </c>
      <c r="T1097" s="5">
        <v>45567</v>
      </c>
      <c r="U1097" t="s">
        <v>2923</v>
      </c>
    </row>
    <row r="1098" spans="1:21" x14ac:dyDescent="0.25">
      <c r="A1098" s="5">
        <v>45022</v>
      </c>
      <c r="B1098" s="7">
        <f>Table1[[#This Row],[TotalPrice]] * (1 - Table1[[#This Row],[Discount]])</f>
        <v>1485.6044999999999</v>
      </c>
      <c r="C1098" s="7">
        <f>Table1[[#This Row],[Net Sales]] * 0.2</f>
        <v>297.12090000000001</v>
      </c>
      <c r="D1098" t="s">
        <v>19</v>
      </c>
      <c r="E1098" t="s">
        <v>27</v>
      </c>
      <c r="F1098">
        <v>5</v>
      </c>
      <c r="G1098">
        <v>411.24</v>
      </c>
      <c r="H1098" t="s">
        <v>32</v>
      </c>
      <c r="I1098" t="s">
        <v>35</v>
      </c>
      <c r="J1098" s="3">
        <v>0.15</v>
      </c>
      <c r="K1098" t="s">
        <v>42</v>
      </c>
      <c r="L1098">
        <v>1747.77</v>
      </c>
      <c r="M1098" t="s">
        <v>47</v>
      </c>
      <c r="N1098" t="s">
        <v>50</v>
      </c>
      <c r="O1098">
        <v>1</v>
      </c>
      <c r="P1098" t="s">
        <v>1147</v>
      </c>
      <c r="Q1098" t="s">
        <v>2576</v>
      </c>
      <c r="R1098">
        <v>5.35</v>
      </c>
      <c r="S1098" s="5">
        <v>45022</v>
      </c>
      <c r="T1098" s="5">
        <v>45026</v>
      </c>
      <c r="U1098" t="s">
        <v>2922</v>
      </c>
    </row>
    <row r="1099" spans="1:21" x14ac:dyDescent="0.25">
      <c r="A1099" s="5">
        <v>45467</v>
      </c>
      <c r="B1099" s="7">
        <f>Table1[[#This Row],[TotalPrice]] * (1 - Table1[[#This Row],[Discount]])</f>
        <v>6683.6983999999993</v>
      </c>
      <c r="C1099" s="7">
        <f>Table1[[#This Row],[Net Sales]] * 0.2</f>
        <v>1336.7396799999999</v>
      </c>
      <c r="D1099" t="s">
        <v>21</v>
      </c>
      <c r="E1099" t="s">
        <v>27</v>
      </c>
      <c r="F1099">
        <v>16</v>
      </c>
      <c r="G1099">
        <v>462.86</v>
      </c>
      <c r="H1099" t="s">
        <v>34</v>
      </c>
      <c r="I1099" t="s">
        <v>36</v>
      </c>
      <c r="J1099" s="3">
        <v>0.05</v>
      </c>
      <c r="K1099" t="s">
        <v>42</v>
      </c>
      <c r="L1099">
        <v>7035.4719999999998</v>
      </c>
      <c r="M1099" t="s">
        <v>47</v>
      </c>
      <c r="O1099">
        <v>1</v>
      </c>
      <c r="P1099" t="s">
        <v>1148</v>
      </c>
      <c r="Q1099" t="s">
        <v>2577</v>
      </c>
      <c r="R1099">
        <v>17.43</v>
      </c>
      <c r="S1099" s="5">
        <v>45467</v>
      </c>
      <c r="T1099" s="5">
        <v>45469</v>
      </c>
      <c r="U1099" t="s">
        <v>2924</v>
      </c>
    </row>
    <row r="1100" spans="1:21" x14ac:dyDescent="0.25">
      <c r="A1100" s="5">
        <v>45641</v>
      </c>
      <c r="B1100" s="7">
        <f>Table1[[#This Row],[TotalPrice]] * (1 - Table1[[#This Row],[Discount]])</f>
        <v>8608.4599999999991</v>
      </c>
      <c r="C1100" s="7">
        <f>Table1[[#This Row],[Net Sales]] * 0.2</f>
        <v>1721.692</v>
      </c>
      <c r="D1100" t="s">
        <v>20</v>
      </c>
      <c r="E1100" t="s">
        <v>24</v>
      </c>
      <c r="F1100">
        <v>17</v>
      </c>
      <c r="G1100">
        <v>506.38</v>
      </c>
      <c r="H1100" t="s">
        <v>31</v>
      </c>
      <c r="I1100" t="s">
        <v>35</v>
      </c>
      <c r="J1100" s="3">
        <v>0</v>
      </c>
      <c r="K1100" t="s">
        <v>40</v>
      </c>
      <c r="L1100">
        <v>8608.4599999999991</v>
      </c>
      <c r="M1100" t="s">
        <v>47</v>
      </c>
      <c r="N1100" t="s">
        <v>50</v>
      </c>
      <c r="O1100">
        <v>1</v>
      </c>
      <c r="P1100" t="s">
        <v>1149</v>
      </c>
      <c r="Q1100" t="s">
        <v>2578</v>
      </c>
      <c r="R1100">
        <v>33.36</v>
      </c>
      <c r="S1100" s="5">
        <v>45641</v>
      </c>
      <c r="T1100" s="5">
        <v>45649</v>
      </c>
      <c r="U1100" t="s">
        <v>2923</v>
      </c>
    </row>
    <row r="1101" spans="1:21" x14ac:dyDescent="0.25">
      <c r="A1101" s="5">
        <v>45568</v>
      </c>
      <c r="B1101" s="7">
        <f>Table1[[#This Row],[TotalPrice]] * (1 - Table1[[#This Row],[Discount]])</f>
        <v>486.59</v>
      </c>
      <c r="C1101" s="7">
        <f>Table1[[#This Row],[Net Sales]] * 0.2</f>
        <v>97.317999999999998</v>
      </c>
      <c r="D1101" t="s">
        <v>21</v>
      </c>
      <c r="E1101" t="s">
        <v>26</v>
      </c>
      <c r="F1101">
        <v>19</v>
      </c>
      <c r="G1101">
        <v>25.61</v>
      </c>
      <c r="H1101" t="s">
        <v>31</v>
      </c>
      <c r="I1101" t="s">
        <v>36</v>
      </c>
      <c r="J1101" s="3">
        <v>0</v>
      </c>
      <c r="K1101" t="s">
        <v>42</v>
      </c>
      <c r="L1101">
        <v>486.59</v>
      </c>
      <c r="M1101" t="s">
        <v>44</v>
      </c>
      <c r="O1101">
        <v>0</v>
      </c>
      <c r="P1101" t="s">
        <v>1150</v>
      </c>
      <c r="Q1101" t="s">
        <v>2048</v>
      </c>
      <c r="R1101">
        <v>30.32</v>
      </c>
      <c r="S1101" s="5">
        <v>45568</v>
      </c>
      <c r="T1101" s="5">
        <v>45576</v>
      </c>
      <c r="U1101" t="s">
        <v>2924</v>
      </c>
    </row>
    <row r="1102" spans="1:21" x14ac:dyDescent="0.25">
      <c r="A1102" s="5">
        <v>45172</v>
      </c>
      <c r="B1102" s="7">
        <f>Table1[[#This Row],[TotalPrice]] * (1 - Table1[[#This Row],[Discount]])</f>
        <v>1687.4944999999998</v>
      </c>
      <c r="C1102" s="7">
        <f>Table1[[#This Row],[Net Sales]] * 0.2</f>
        <v>337.49889999999999</v>
      </c>
      <c r="D1102" t="s">
        <v>20</v>
      </c>
      <c r="E1102" t="s">
        <v>26</v>
      </c>
      <c r="F1102">
        <v>4</v>
      </c>
      <c r="G1102">
        <v>467.45</v>
      </c>
      <c r="H1102" t="s">
        <v>33</v>
      </c>
      <c r="I1102" t="s">
        <v>35</v>
      </c>
      <c r="J1102" s="3">
        <v>0.05</v>
      </c>
      <c r="K1102" t="s">
        <v>39</v>
      </c>
      <c r="L1102">
        <v>1776.31</v>
      </c>
      <c r="M1102" t="s">
        <v>44</v>
      </c>
      <c r="N1102" t="s">
        <v>50</v>
      </c>
      <c r="O1102">
        <v>0</v>
      </c>
      <c r="P1102" t="s">
        <v>1151</v>
      </c>
      <c r="Q1102" t="s">
        <v>2579</v>
      </c>
      <c r="R1102">
        <v>25.05</v>
      </c>
      <c r="S1102" s="5">
        <v>45172</v>
      </c>
      <c r="T1102" s="5">
        <v>45182</v>
      </c>
      <c r="U1102" t="s">
        <v>2923</v>
      </c>
    </row>
    <row r="1103" spans="1:21" x14ac:dyDescent="0.25">
      <c r="A1103" s="5">
        <v>44955</v>
      </c>
      <c r="B1103" s="7">
        <f>Table1[[#This Row],[TotalPrice]] * (1 - Table1[[#This Row],[Discount]])</f>
        <v>1015.1125</v>
      </c>
      <c r="C1103" s="7">
        <f>Table1[[#This Row],[Net Sales]] * 0.2</f>
        <v>203.02250000000001</v>
      </c>
      <c r="D1103" t="s">
        <v>21</v>
      </c>
      <c r="E1103" t="s">
        <v>30</v>
      </c>
      <c r="F1103">
        <v>10</v>
      </c>
      <c r="G1103">
        <v>140.5</v>
      </c>
      <c r="H1103" t="s">
        <v>31</v>
      </c>
      <c r="I1103" t="s">
        <v>36</v>
      </c>
      <c r="J1103" s="3">
        <v>0.15</v>
      </c>
      <c r="K1103" t="s">
        <v>40</v>
      </c>
      <c r="L1103">
        <v>1194.25</v>
      </c>
      <c r="M1103" t="s">
        <v>43</v>
      </c>
      <c r="N1103" t="s">
        <v>48</v>
      </c>
      <c r="O1103">
        <v>0</v>
      </c>
      <c r="P1103" t="s">
        <v>1152</v>
      </c>
      <c r="Q1103" t="s">
        <v>2253</v>
      </c>
      <c r="R1103">
        <v>43.81</v>
      </c>
      <c r="S1103" s="5">
        <v>44955</v>
      </c>
      <c r="T1103" s="5">
        <v>44962</v>
      </c>
      <c r="U1103" t="s">
        <v>2924</v>
      </c>
    </row>
    <row r="1104" spans="1:21" x14ac:dyDescent="0.25">
      <c r="A1104" s="5">
        <v>45455</v>
      </c>
      <c r="B1104" s="7">
        <f>Table1[[#This Row],[TotalPrice]] * (1 - Table1[[#This Row],[Discount]])</f>
        <v>462.8</v>
      </c>
      <c r="C1104" s="7">
        <f>Table1[[#This Row],[Net Sales]] * 0.2</f>
        <v>92.56</v>
      </c>
      <c r="D1104" t="s">
        <v>21</v>
      </c>
      <c r="E1104" t="s">
        <v>25</v>
      </c>
      <c r="F1104">
        <v>8</v>
      </c>
      <c r="G1104">
        <v>57.85</v>
      </c>
      <c r="H1104" t="s">
        <v>34</v>
      </c>
      <c r="I1104" t="s">
        <v>35</v>
      </c>
      <c r="J1104" s="3">
        <v>0</v>
      </c>
      <c r="K1104" t="s">
        <v>39</v>
      </c>
      <c r="L1104">
        <v>462.8</v>
      </c>
      <c r="M1104" t="s">
        <v>43</v>
      </c>
      <c r="N1104" t="s">
        <v>50</v>
      </c>
      <c r="O1104">
        <v>1</v>
      </c>
      <c r="P1104" t="s">
        <v>1153</v>
      </c>
      <c r="Q1104" t="s">
        <v>2580</v>
      </c>
      <c r="R1104">
        <v>49.82</v>
      </c>
      <c r="S1104" s="5">
        <v>45455</v>
      </c>
      <c r="T1104" s="5">
        <v>45463</v>
      </c>
      <c r="U1104" t="s">
        <v>2924</v>
      </c>
    </row>
    <row r="1105" spans="1:21" x14ac:dyDescent="0.25">
      <c r="A1105" s="5">
        <v>45620</v>
      </c>
      <c r="B1105" s="7">
        <f>Table1[[#This Row],[TotalPrice]] * (1 - Table1[[#This Row],[Discount]])</f>
        <v>3509.0090999999998</v>
      </c>
      <c r="C1105" s="7">
        <f>Table1[[#This Row],[Net Sales]] * 0.2</f>
        <v>701.80182000000002</v>
      </c>
      <c r="D1105" t="s">
        <v>21</v>
      </c>
      <c r="E1105" t="s">
        <v>28</v>
      </c>
      <c r="F1105">
        <v>9</v>
      </c>
      <c r="G1105">
        <v>539.64</v>
      </c>
      <c r="H1105" t="s">
        <v>32</v>
      </c>
      <c r="I1105" t="s">
        <v>36</v>
      </c>
      <c r="J1105" s="3">
        <v>0.15</v>
      </c>
      <c r="K1105" t="s">
        <v>38</v>
      </c>
      <c r="L1105">
        <v>4128.2460000000001</v>
      </c>
      <c r="M1105" t="s">
        <v>44</v>
      </c>
      <c r="O1105">
        <v>0</v>
      </c>
      <c r="P1105" t="s">
        <v>1154</v>
      </c>
      <c r="Q1105" t="s">
        <v>2581</v>
      </c>
      <c r="R1105">
        <v>16.079999999999998</v>
      </c>
      <c r="S1105" s="5">
        <v>45620</v>
      </c>
      <c r="T1105" s="5">
        <v>45629</v>
      </c>
      <c r="U1105" t="s">
        <v>2924</v>
      </c>
    </row>
    <row r="1106" spans="1:21" x14ac:dyDescent="0.25">
      <c r="A1106" s="5">
        <v>45153</v>
      </c>
      <c r="B1106" s="7">
        <f>Table1[[#This Row],[TotalPrice]] * (1 - Table1[[#This Row],[Discount]])</f>
        <v>8573.76</v>
      </c>
      <c r="C1106" s="7">
        <f>Table1[[#This Row],[Net Sales]] * 0.2</f>
        <v>1714.7520000000002</v>
      </c>
      <c r="D1106" t="s">
        <v>23</v>
      </c>
      <c r="E1106" t="s">
        <v>28</v>
      </c>
      <c r="F1106">
        <v>18</v>
      </c>
      <c r="G1106">
        <v>476.32</v>
      </c>
      <c r="H1106" t="s">
        <v>32</v>
      </c>
      <c r="I1106" t="s">
        <v>35</v>
      </c>
      <c r="J1106" s="3">
        <v>0</v>
      </c>
      <c r="K1106" t="s">
        <v>41</v>
      </c>
      <c r="L1106">
        <v>8573.76</v>
      </c>
      <c r="M1106" t="s">
        <v>45</v>
      </c>
      <c r="N1106" t="s">
        <v>49</v>
      </c>
      <c r="O1106">
        <v>1</v>
      </c>
      <c r="P1106" t="s">
        <v>1155</v>
      </c>
      <c r="Q1106" t="s">
        <v>2582</v>
      </c>
      <c r="R1106">
        <v>47.43</v>
      </c>
      <c r="S1106" s="5">
        <v>45153</v>
      </c>
      <c r="T1106" s="5">
        <v>45158</v>
      </c>
      <c r="U1106" t="s">
        <v>2926</v>
      </c>
    </row>
    <row r="1107" spans="1:21" x14ac:dyDescent="0.25">
      <c r="A1107" s="5">
        <v>45525</v>
      </c>
      <c r="B1107" s="7">
        <f>Table1[[#This Row],[TotalPrice]] * (1 - Table1[[#This Row],[Discount]])</f>
        <v>1281.7035000000001</v>
      </c>
      <c r="C1107" s="7">
        <f>Table1[[#This Row],[Net Sales]] * 0.2</f>
        <v>256.34070000000003</v>
      </c>
      <c r="D1107" t="s">
        <v>22</v>
      </c>
      <c r="E1107" t="s">
        <v>29</v>
      </c>
      <c r="F1107">
        <v>11</v>
      </c>
      <c r="G1107">
        <v>143.85</v>
      </c>
      <c r="H1107" t="s">
        <v>32</v>
      </c>
      <c r="I1107" t="s">
        <v>35</v>
      </c>
      <c r="J1107" s="3">
        <v>0.1</v>
      </c>
      <c r="K1107" t="s">
        <v>37</v>
      </c>
      <c r="L1107">
        <v>1424.115</v>
      </c>
      <c r="M1107" t="s">
        <v>46</v>
      </c>
      <c r="N1107" t="s">
        <v>48</v>
      </c>
      <c r="O1107">
        <v>0</v>
      </c>
      <c r="P1107" t="s">
        <v>1156</v>
      </c>
      <c r="Q1107" t="s">
        <v>2583</v>
      </c>
      <c r="R1107">
        <v>6.85</v>
      </c>
      <c r="S1107" s="5">
        <v>45525</v>
      </c>
      <c r="T1107" s="5">
        <v>45534</v>
      </c>
      <c r="U1107" t="s">
        <v>2925</v>
      </c>
    </row>
    <row r="1108" spans="1:21" x14ac:dyDescent="0.25">
      <c r="A1108" s="5">
        <v>45070</v>
      </c>
      <c r="B1108" s="7">
        <f>Table1[[#This Row],[TotalPrice]] * (1 - Table1[[#This Row],[Discount]])</f>
        <v>1048.5612000000001</v>
      </c>
      <c r="C1108" s="7">
        <f>Table1[[#This Row],[Net Sales]] * 0.2</f>
        <v>209.71224000000004</v>
      </c>
      <c r="D1108" t="s">
        <v>23</v>
      </c>
      <c r="E1108" t="s">
        <v>28</v>
      </c>
      <c r="F1108">
        <v>4</v>
      </c>
      <c r="G1108">
        <v>323.63</v>
      </c>
      <c r="H1108" t="s">
        <v>33</v>
      </c>
      <c r="I1108" t="s">
        <v>36</v>
      </c>
      <c r="J1108" s="3">
        <v>0.1</v>
      </c>
      <c r="K1108" t="s">
        <v>40</v>
      </c>
      <c r="L1108">
        <v>1165.068</v>
      </c>
      <c r="M1108" t="s">
        <v>45</v>
      </c>
      <c r="N1108" t="s">
        <v>48</v>
      </c>
      <c r="O1108">
        <v>0</v>
      </c>
      <c r="P1108" t="s">
        <v>1157</v>
      </c>
      <c r="Q1108" t="s">
        <v>2584</v>
      </c>
      <c r="R1108">
        <v>32.92</v>
      </c>
      <c r="S1108" s="5">
        <v>45070</v>
      </c>
      <c r="T1108" s="5">
        <v>45078</v>
      </c>
      <c r="U1108" t="s">
        <v>2926</v>
      </c>
    </row>
    <row r="1109" spans="1:21" x14ac:dyDescent="0.25">
      <c r="A1109" s="5">
        <v>45043</v>
      </c>
      <c r="B1109" s="7">
        <f>Table1[[#This Row],[TotalPrice]] * (1 - Table1[[#This Row],[Discount]])</f>
        <v>540.05599999999993</v>
      </c>
      <c r="C1109" s="7">
        <f>Table1[[#This Row],[Net Sales]] * 0.2</f>
        <v>108.01119999999999</v>
      </c>
      <c r="D1109" t="s">
        <v>23</v>
      </c>
      <c r="E1109" t="s">
        <v>28</v>
      </c>
      <c r="F1109">
        <v>16</v>
      </c>
      <c r="G1109">
        <v>37.4</v>
      </c>
      <c r="H1109" t="s">
        <v>32</v>
      </c>
      <c r="I1109" t="s">
        <v>35</v>
      </c>
      <c r="J1109" s="3">
        <v>0.05</v>
      </c>
      <c r="K1109" t="s">
        <v>42</v>
      </c>
      <c r="L1109">
        <v>568.4799999999999</v>
      </c>
      <c r="M1109" t="s">
        <v>45</v>
      </c>
      <c r="N1109" t="s">
        <v>48</v>
      </c>
      <c r="O1109">
        <v>0</v>
      </c>
      <c r="P1109" t="s">
        <v>1158</v>
      </c>
      <c r="Q1109" t="s">
        <v>2585</v>
      </c>
      <c r="R1109">
        <v>49.55</v>
      </c>
      <c r="S1109" s="5">
        <v>45043</v>
      </c>
      <c r="T1109" s="5">
        <v>45047</v>
      </c>
      <c r="U1109" t="s">
        <v>2926</v>
      </c>
    </row>
    <row r="1110" spans="1:21" x14ac:dyDescent="0.25">
      <c r="A1110" s="5">
        <v>45067</v>
      </c>
      <c r="B1110" s="7">
        <f>Table1[[#This Row],[TotalPrice]] * (1 - Table1[[#This Row],[Discount]])</f>
        <v>339.37380000000013</v>
      </c>
      <c r="C1110" s="7">
        <f>Table1[[#This Row],[Net Sales]] * 0.2</f>
        <v>67.874760000000023</v>
      </c>
      <c r="D1110" t="s">
        <v>19</v>
      </c>
      <c r="E1110" t="s">
        <v>29</v>
      </c>
      <c r="F1110">
        <v>1</v>
      </c>
      <c r="G1110">
        <v>418.98</v>
      </c>
      <c r="H1110" t="s">
        <v>31</v>
      </c>
      <c r="I1110" t="s">
        <v>36</v>
      </c>
      <c r="J1110" s="3">
        <v>0.1</v>
      </c>
      <c r="K1110" t="s">
        <v>40</v>
      </c>
      <c r="L1110">
        <v>377.08200000000011</v>
      </c>
      <c r="M1110" t="s">
        <v>44</v>
      </c>
      <c r="N1110" t="s">
        <v>48</v>
      </c>
      <c r="O1110">
        <v>0</v>
      </c>
      <c r="P1110" t="s">
        <v>1159</v>
      </c>
      <c r="Q1110" t="s">
        <v>2586</v>
      </c>
      <c r="R1110">
        <v>43.72</v>
      </c>
      <c r="S1110" s="5">
        <v>45067</v>
      </c>
      <c r="T1110" s="5">
        <v>45072</v>
      </c>
      <c r="U1110" t="s">
        <v>2922</v>
      </c>
    </row>
    <row r="1111" spans="1:21" x14ac:dyDescent="0.25">
      <c r="A1111" s="5">
        <v>45704</v>
      </c>
      <c r="B1111" s="7">
        <f>Table1[[#This Row],[TotalPrice]] * (1 - Table1[[#This Row],[Discount]])</f>
        <v>1300.2</v>
      </c>
      <c r="C1111" s="7">
        <f>Table1[[#This Row],[Net Sales]] * 0.2</f>
        <v>260.04000000000002</v>
      </c>
      <c r="D1111" t="s">
        <v>19</v>
      </c>
      <c r="E1111" t="s">
        <v>28</v>
      </c>
      <c r="F1111">
        <v>12</v>
      </c>
      <c r="G1111">
        <v>108.35</v>
      </c>
      <c r="H1111" t="s">
        <v>32</v>
      </c>
      <c r="I1111" t="s">
        <v>35</v>
      </c>
      <c r="J1111" s="3">
        <v>0</v>
      </c>
      <c r="K1111" t="s">
        <v>41</v>
      </c>
      <c r="L1111">
        <v>1300.2</v>
      </c>
      <c r="M1111" t="s">
        <v>43</v>
      </c>
      <c r="N1111" t="s">
        <v>48</v>
      </c>
      <c r="O1111">
        <v>0</v>
      </c>
      <c r="P1111" t="s">
        <v>1160</v>
      </c>
      <c r="Q1111" t="s">
        <v>2587</v>
      </c>
      <c r="R1111">
        <v>42.06</v>
      </c>
      <c r="S1111" s="5">
        <v>45704</v>
      </c>
      <c r="T1111" s="5">
        <v>45713</v>
      </c>
      <c r="U1111" t="s">
        <v>2922</v>
      </c>
    </row>
    <row r="1112" spans="1:21" x14ac:dyDescent="0.25">
      <c r="A1112" s="5">
        <v>45162</v>
      </c>
      <c r="B1112" s="7">
        <f>Table1[[#This Row],[TotalPrice]] * (1 - Table1[[#This Row],[Discount]])</f>
        <v>1282.0999999999999</v>
      </c>
      <c r="C1112" s="7">
        <f>Table1[[#This Row],[Net Sales]] * 0.2</f>
        <v>256.42</v>
      </c>
      <c r="D1112" t="s">
        <v>19</v>
      </c>
      <c r="E1112" t="s">
        <v>29</v>
      </c>
      <c r="F1112">
        <v>5</v>
      </c>
      <c r="G1112">
        <v>256.42</v>
      </c>
      <c r="H1112" t="s">
        <v>31</v>
      </c>
      <c r="I1112" t="s">
        <v>36</v>
      </c>
      <c r="J1112" s="3">
        <v>0</v>
      </c>
      <c r="K1112" t="s">
        <v>38</v>
      </c>
      <c r="L1112">
        <v>1282.0999999999999</v>
      </c>
      <c r="M1112" t="s">
        <v>44</v>
      </c>
      <c r="N1112" t="s">
        <v>48</v>
      </c>
      <c r="O1112">
        <v>0</v>
      </c>
      <c r="P1112" t="s">
        <v>1161</v>
      </c>
      <c r="Q1112" t="s">
        <v>2588</v>
      </c>
      <c r="R1112">
        <v>28.74</v>
      </c>
      <c r="S1112" s="5">
        <v>45162</v>
      </c>
      <c r="T1112" s="5">
        <v>45167</v>
      </c>
      <c r="U1112" t="s">
        <v>2922</v>
      </c>
    </row>
    <row r="1113" spans="1:21" x14ac:dyDescent="0.25">
      <c r="A1113" s="5">
        <v>45365</v>
      </c>
      <c r="B1113" s="7">
        <f>Table1[[#This Row],[TotalPrice]] * (1 - Table1[[#This Row],[Discount]])</f>
        <v>7062.0335999999998</v>
      </c>
      <c r="C1113" s="7">
        <f>Table1[[#This Row],[Net Sales]] * 0.2</f>
        <v>1412.40672</v>
      </c>
      <c r="D1113" t="s">
        <v>19</v>
      </c>
      <c r="E1113" t="s">
        <v>26</v>
      </c>
      <c r="F1113">
        <v>16</v>
      </c>
      <c r="G1113">
        <v>544.91</v>
      </c>
      <c r="H1113" t="s">
        <v>31</v>
      </c>
      <c r="I1113" t="s">
        <v>36</v>
      </c>
      <c r="J1113" s="3">
        <v>0.1</v>
      </c>
      <c r="K1113" t="s">
        <v>39</v>
      </c>
      <c r="L1113">
        <v>7846.7039999999997</v>
      </c>
      <c r="M1113" t="s">
        <v>45</v>
      </c>
      <c r="N1113" t="s">
        <v>48</v>
      </c>
      <c r="O1113">
        <v>0</v>
      </c>
      <c r="P1113" t="s">
        <v>1162</v>
      </c>
      <c r="Q1113" t="s">
        <v>2589</v>
      </c>
      <c r="R1113">
        <v>39.26</v>
      </c>
      <c r="S1113" s="5">
        <v>45365</v>
      </c>
      <c r="T1113" s="5">
        <v>45372</v>
      </c>
      <c r="U1113" t="s">
        <v>2922</v>
      </c>
    </row>
    <row r="1114" spans="1:21" x14ac:dyDescent="0.25">
      <c r="A1114" s="5">
        <v>45320</v>
      </c>
      <c r="B1114" s="7">
        <f>Table1[[#This Row],[TotalPrice]] * (1 - Table1[[#This Row],[Discount]])</f>
        <v>2154.98</v>
      </c>
      <c r="C1114" s="7">
        <f>Table1[[#This Row],[Net Sales]] * 0.2</f>
        <v>430.99600000000004</v>
      </c>
      <c r="D1114" t="s">
        <v>21</v>
      </c>
      <c r="E1114" t="s">
        <v>26</v>
      </c>
      <c r="F1114">
        <v>19</v>
      </c>
      <c r="G1114">
        <v>113.42</v>
      </c>
      <c r="H1114" t="s">
        <v>32</v>
      </c>
      <c r="I1114" t="s">
        <v>36</v>
      </c>
      <c r="J1114" s="3">
        <v>0</v>
      </c>
      <c r="K1114" t="s">
        <v>37</v>
      </c>
      <c r="L1114">
        <v>2154.98</v>
      </c>
      <c r="M1114" t="s">
        <v>46</v>
      </c>
      <c r="N1114" t="s">
        <v>50</v>
      </c>
      <c r="O1114">
        <v>0</v>
      </c>
      <c r="P1114" t="s">
        <v>1163</v>
      </c>
      <c r="Q1114" t="s">
        <v>2590</v>
      </c>
      <c r="R1114">
        <v>44.96</v>
      </c>
      <c r="S1114" s="5">
        <v>45320</v>
      </c>
      <c r="T1114" s="5">
        <v>45329</v>
      </c>
      <c r="U1114" t="s">
        <v>2924</v>
      </c>
    </row>
    <row r="1115" spans="1:21" x14ac:dyDescent="0.25">
      <c r="A1115" s="5">
        <v>45513</v>
      </c>
      <c r="B1115" s="7">
        <f>Table1[[#This Row],[TotalPrice]] * (1 - Table1[[#This Row],[Discount]])</f>
        <v>4234.1130000000003</v>
      </c>
      <c r="C1115" s="7">
        <f>Table1[[#This Row],[Net Sales]] * 0.2</f>
        <v>846.82260000000008</v>
      </c>
      <c r="D1115" t="s">
        <v>20</v>
      </c>
      <c r="E1115" t="s">
        <v>25</v>
      </c>
      <c r="F1115">
        <v>10</v>
      </c>
      <c r="G1115">
        <v>522.73</v>
      </c>
      <c r="H1115" t="s">
        <v>33</v>
      </c>
      <c r="I1115" t="s">
        <v>36</v>
      </c>
      <c r="J1115" s="3">
        <v>0.1</v>
      </c>
      <c r="K1115" t="s">
        <v>42</v>
      </c>
      <c r="L1115">
        <v>4704.5700000000006</v>
      </c>
      <c r="M1115" t="s">
        <v>45</v>
      </c>
      <c r="O1115">
        <v>0</v>
      </c>
      <c r="P1115" t="s">
        <v>1164</v>
      </c>
      <c r="Q1115" t="s">
        <v>2591</v>
      </c>
      <c r="R1115">
        <v>20.059999999999999</v>
      </c>
      <c r="S1115" s="5">
        <v>45513</v>
      </c>
      <c r="T1115" s="5">
        <v>45519</v>
      </c>
      <c r="U1115" t="s">
        <v>2923</v>
      </c>
    </row>
    <row r="1116" spans="1:21" x14ac:dyDescent="0.25">
      <c r="A1116" s="5">
        <v>45481</v>
      </c>
      <c r="B1116" s="7">
        <f>Table1[[#This Row],[TotalPrice]] * (1 - Table1[[#This Row],[Discount]])</f>
        <v>5826.630149999999</v>
      </c>
      <c r="C1116" s="7">
        <f>Table1[[#This Row],[Net Sales]] * 0.2</f>
        <v>1165.3260299999999</v>
      </c>
      <c r="D1116" t="s">
        <v>21</v>
      </c>
      <c r="E1116" t="s">
        <v>29</v>
      </c>
      <c r="F1116">
        <v>18</v>
      </c>
      <c r="G1116">
        <v>448.03</v>
      </c>
      <c r="H1116" t="s">
        <v>31</v>
      </c>
      <c r="I1116" t="s">
        <v>36</v>
      </c>
      <c r="J1116" s="3">
        <v>0.15</v>
      </c>
      <c r="K1116" t="s">
        <v>39</v>
      </c>
      <c r="L1116">
        <v>6854.8589999999986</v>
      </c>
      <c r="M1116" t="s">
        <v>47</v>
      </c>
      <c r="N1116" t="s">
        <v>50</v>
      </c>
      <c r="O1116">
        <v>1</v>
      </c>
      <c r="P1116" t="s">
        <v>1165</v>
      </c>
      <c r="Q1116" t="s">
        <v>2592</v>
      </c>
      <c r="R1116">
        <v>13.23</v>
      </c>
      <c r="S1116" s="5">
        <v>45481</v>
      </c>
      <c r="T1116" s="5">
        <v>45490</v>
      </c>
      <c r="U1116" t="s">
        <v>2924</v>
      </c>
    </row>
    <row r="1117" spans="1:21" x14ac:dyDescent="0.25">
      <c r="A1117" s="5">
        <v>45524</v>
      </c>
      <c r="B1117" s="7">
        <f>Table1[[#This Row],[TotalPrice]] * (1 - Table1[[#This Row],[Discount]])</f>
        <v>2822.7041249999988</v>
      </c>
      <c r="C1117" s="7">
        <f>Table1[[#This Row],[Net Sales]] * 0.2</f>
        <v>564.54082499999981</v>
      </c>
      <c r="D1117" t="s">
        <v>21</v>
      </c>
      <c r="E1117" t="s">
        <v>28</v>
      </c>
      <c r="F1117">
        <v>15</v>
      </c>
      <c r="G1117">
        <v>208.51</v>
      </c>
      <c r="H1117" t="s">
        <v>32</v>
      </c>
      <c r="I1117" t="s">
        <v>36</v>
      </c>
      <c r="J1117" s="3">
        <v>0.05</v>
      </c>
      <c r="K1117" t="s">
        <v>40</v>
      </c>
      <c r="L1117">
        <v>2971.267499999999</v>
      </c>
      <c r="M1117" t="s">
        <v>44</v>
      </c>
      <c r="O1117">
        <v>0</v>
      </c>
      <c r="P1117" t="s">
        <v>1166</v>
      </c>
      <c r="Q1117" t="s">
        <v>2593</v>
      </c>
      <c r="R1117">
        <v>37.81</v>
      </c>
      <c r="S1117" s="5">
        <v>45524</v>
      </c>
      <c r="T1117" s="5">
        <v>45533</v>
      </c>
      <c r="U1117" t="s">
        <v>2924</v>
      </c>
    </row>
    <row r="1118" spans="1:21" x14ac:dyDescent="0.25">
      <c r="A1118" s="5">
        <v>45103</v>
      </c>
      <c r="B1118" s="7">
        <f>Table1[[#This Row],[TotalPrice]] * (1 - Table1[[#This Row],[Discount]])</f>
        <v>4460.9291999999996</v>
      </c>
      <c r="C1118" s="7">
        <f>Table1[[#This Row],[Net Sales]] * 0.2</f>
        <v>892.18583999999998</v>
      </c>
      <c r="D1118" t="s">
        <v>22</v>
      </c>
      <c r="E1118" t="s">
        <v>24</v>
      </c>
      <c r="F1118">
        <v>13</v>
      </c>
      <c r="G1118">
        <v>423.64</v>
      </c>
      <c r="H1118" t="s">
        <v>33</v>
      </c>
      <c r="I1118" t="s">
        <v>36</v>
      </c>
      <c r="J1118" s="3">
        <v>0.1</v>
      </c>
      <c r="K1118" t="s">
        <v>38</v>
      </c>
      <c r="L1118">
        <v>4956.5879999999997</v>
      </c>
      <c r="M1118" t="s">
        <v>46</v>
      </c>
      <c r="O1118">
        <v>1</v>
      </c>
      <c r="P1118" t="s">
        <v>1167</v>
      </c>
      <c r="Q1118" t="s">
        <v>2594</v>
      </c>
      <c r="R1118">
        <v>23.31</v>
      </c>
      <c r="S1118" s="5">
        <v>45103</v>
      </c>
      <c r="T1118" s="5">
        <v>45105</v>
      </c>
      <c r="U1118" t="s">
        <v>2925</v>
      </c>
    </row>
    <row r="1119" spans="1:21" x14ac:dyDescent="0.25">
      <c r="A1119" s="5">
        <v>45283</v>
      </c>
      <c r="B1119" s="7">
        <f>Table1[[#This Row],[TotalPrice]] * (1 - Table1[[#This Row],[Discount]])</f>
        <v>1995.03925</v>
      </c>
      <c r="C1119" s="7">
        <f>Table1[[#This Row],[Net Sales]] * 0.2</f>
        <v>399.00785000000002</v>
      </c>
      <c r="D1119" t="s">
        <v>19</v>
      </c>
      <c r="E1119" t="s">
        <v>27</v>
      </c>
      <c r="F1119">
        <v>5</v>
      </c>
      <c r="G1119">
        <v>552.26</v>
      </c>
      <c r="H1119" t="s">
        <v>34</v>
      </c>
      <c r="I1119" t="s">
        <v>35</v>
      </c>
      <c r="J1119" s="3">
        <v>0.15</v>
      </c>
      <c r="K1119" t="s">
        <v>38</v>
      </c>
      <c r="L1119">
        <v>2347.105</v>
      </c>
      <c r="M1119" t="s">
        <v>46</v>
      </c>
      <c r="N1119" t="s">
        <v>50</v>
      </c>
      <c r="O1119">
        <v>0</v>
      </c>
      <c r="P1119" t="s">
        <v>1168</v>
      </c>
      <c r="Q1119" t="s">
        <v>2595</v>
      </c>
      <c r="R1119">
        <v>26.5</v>
      </c>
      <c r="S1119" s="5">
        <v>45283</v>
      </c>
      <c r="T1119" s="5">
        <v>45285</v>
      </c>
      <c r="U1119" t="s">
        <v>2922</v>
      </c>
    </row>
    <row r="1120" spans="1:21" x14ac:dyDescent="0.25">
      <c r="A1120" s="5">
        <v>45158</v>
      </c>
      <c r="B1120" s="7">
        <f>Table1[[#This Row],[TotalPrice]] * (1 - Table1[[#This Row],[Discount]])</f>
        <v>147.50910000000002</v>
      </c>
      <c r="C1120" s="7">
        <f>Table1[[#This Row],[Net Sales]] * 0.2</f>
        <v>29.501820000000006</v>
      </c>
      <c r="D1120" t="s">
        <v>22</v>
      </c>
      <c r="E1120" t="s">
        <v>26</v>
      </c>
      <c r="F1120">
        <v>1</v>
      </c>
      <c r="G1120">
        <v>182.11</v>
      </c>
      <c r="H1120" t="s">
        <v>32</v>
      </c>
      <c r="I1120" t="s">
        <v>36</v>
      </c>
      <c r="J1120" s="3">
        <v>0.1</v>
      </c>
      <c r="K1120" t="s">
        <v>40</v>
      </c>
      <c r="L1120">
        <v>163.899</v>
      </c>
      <c r="M1120" t="s">
        <v>45</v>
      </c>
      <c r="N1120" t="s">
        <v>50</v>
      </c>
      <c r="O1120">
        <v>0</v>
      </c>
      <c r="P1120" t="s">
        <v>1169</v>
      </c>
      <c r="Q1120" t="s">
        <v>2596</v>
      </c>
      <c r="R1120">
        <v>7.31</v>
      </c>
      <c r="S1120" s="5">
        <v>45158</v>
      </c>
      <c r="T1120" s="5">
        <v>45165</v>
      </c>
      <c r="U1120" t="s">
        <v>2925</v>
      </c>
    </row>
    <row r="1121" spans="1:21" x14ac:dyDescent="0.25">
      <c r="A1121" s="5">
        <v>45593</v>
      </c>
      <c r="B1121" s="7">
        <f>Table1[[#This Row],[TotalPrice]] * (1 - Table1[[#This Row],[Discount]])</f>
        <v>2946.2292999999995</v>
      </c>
      <c r="C1121" s="7">
        <f>Table1[[#This Row],[Net Sales]] * 0.2</f>
        <v>589.24585999999988</v>
      </c>
      <c r="D1121" t="s">
        <v>23</v>
      </c>
      <c r="E1121" t="s">
        <v>26</v>
      </c>
      <c r="F1121">
        <v>7</v>
      </c>
      <c r="G1121">
        <v>466.36</v>
      </c>
      <c r="H1121" t="s">
        <v>34</v>
      </c>
      <c r="I1121" t="s">
        <v>35</v>
      </c>
      <c r="J1121" s="3">
        <v>0.05</v>
      </c>
      <c r="K1121" t="s">
        <v>42</v>
      </c>
      <c r="L1121">
        <v>3101.2939999999999</v>
      </c>
      <c r="M1121" t="s">
        <v>43</v>
      </c>
      <c r="N1121" t="s">
        <v>49</v>
      </c>
      <c r="O1121">
        <v>1</v>
      </c>
      <c r="P1121" t="s">
        <v>1170</v>
      </c>
      <c r="Q1121" t="s">
        <v>2597</v>
      </c>
      <c r="R1121">
        <v>11.45</v>
      </c>
      <c r="S1121" s="5">
        <v>45593</v>
      </c>
      <c r="T1121" s="5">
        <v>45602</v>
      </c>
      <c r="U1121" t="s">
        <v>2926</v>
      </c>
    </row>
    <row r="1122" spans="1:21" x14ac:dyDescent="0.25">
      <c r="A1122" s="5">
        <v>45607</v>
      </c>
      <c r="B1122" s="7">
        <f>Table1[[#This Row],[TotalPrice]] * (1 - Table1[[#This Row],[Discount]])</f>
        <v>1707.5609999999999</v>
      </c>
      <c r="C1122" s="7">
        <f>Table1[[#This Row],[Net Sales]] * 0.2</f>
        <v>341.51220000000001</v>
      </c>
      <c r="D1122" t="s">
        <v>19</v>
      </c>
      <c r="E1122" t="s">
        <v>30</v>
      </c>
      <c r="F1122">
        <v>15</v>
      </c>
      <c r="G1122">
        <v>140.54</v>
      </c>
      <c r="H1122" t="s">
        <v>32</v>
      </c>
      <c r="I1122" t="s">
        <v>35</v>
      </c>
      <c r="J1122" s="3">
        <v>0.1</v>
      </c>
      <c r="K1122" t="s">
        <v>37</v>
      </c>
      <c r="L1122">
        <v>1897.29</v>
      </c>
      <c r="M1122" t="s">
        <v>45</v>
      </c>
      <c r="N1122" t="s">
        <v>49</v>
      </c>
      <c r="O1122">
        <v>0</v>
      </c>
      <c r="P1122" t="s">
        <v>1171</v>
      </c>
      <c r="Q1122" t="s">
        <v>2598</v>
      </c>
      <c r="R1122">
        <v>49.91</v>
      </c>
      <c r="S1122" s="5">
        <v>45607</v>
      </c>
      <c r="T1122" s="5">
        <v>45617</v>
      </c>
      <c r="U1122" t="s">
        <v>2922</v>
      </c>
    </row>
    <row r="1123" spans="1:21" x14ac:dyDescent="0.25">
      <c r="A1123" s="5">
        <v>45267</v>
      </c>
      <c r="B1123" s="7">
        <f>Table1[[#This Row],[TotalPrice]] * (1 - Table1[[#This Row],[Discount]])</f>
        <v>5653.7575750000005</v>
      </c>
      <c r="C1123" s="7">
        <f>Table1[[#This Row],[Net Sales]] * 0.2</f>
        <v>1130.7515150000002</v>
      </c>
      <c r="D1123" t="s">
        <v>23</v>
      </c>
      <c r="E1123" t="s">
        <v>26</v>
      </c>
      <c r="F1123">
        <v>17</v>
      </c>
      <c r="G1123">
        <v>460.31</v>
      </c>
      <c r="H1123" t="s">
        <v>32</v>
      </c>
      <c r="I1123" t="s">
        <v>36</v>
      </c>
      <c r="J1123" s="3">
        <v>0.15</v>
      </c>
      <c r="K1123" t="s">
        <v>41</v>
      </c>
      <c r="L1123">
        <v>6651.4795000000004</v>
      </c>
      <c r="M1123" t="s">
        <v>43</v>
      </c>
      <c r="N1123" t="s">
        <v>50</v>
      </c>
      <c r="O1123">
        <v>0</v>
      </c>
      <c r="P1123" t="s">
        <v>1172</v>
      </c>
      <c r="Q1123" t="s">
        <v>2599</v>
      </c>
      <c r="R1123">
        <v>40.18</v>
      </c>
      <c r="S1123" s="5">
        <v>45267</v>
      </c>
      <c r="T1123" s="5">
        <v>45275</v>
      </c>
      <c r="U1123" t="s">
        <v>2926</v>
      </c>
    </row>
    <row r="1124" spans="1:21" x14ac:dyDescent="0.25">
      <c r="A1124" s="5">
        <v>45374</v>
      </c>
      <c r="B1124" s="7">
        <f>Table1[[#This Row],[TotalPrice]] * (1 - Table1[[#This Row],[Discount]])</f>
        <v>664.35</v>
      </c>
      <c r="C1124" s="7">
        <f>Table1[[#This Row],[Net Sales]] * 0.2</f>
        <v>132.87</v>
      </c>
      <c r="D1124" t="s">
        <v>23</v>
      </c>
      <c r="E1124" t="s">
        <v>24</v>
      </c>
      <c r="F1124">
        <v>5</v>
      </c>
      <c r="G1124">
        <v>132.87</v>
      </c>
      <c r="H1124" t="s">
        <v>31</v>
      </c>
      <c r="I1124" t="s">
        <v>36</v>
      </c>
      <c r="J1124" s="3">
        <v>0</v>
      </c>
      <c r="K1124" t="s">
        <v>42</v>
      </c>
      <c r="L1124">
        <v>664.35</v>
      </c>
      <c r="M1124" t="s">
        <v>46</v>
      </c>
      <c r="N1124" t="s">
        <v>50</v>
      </c>
      <c r="O1124">
        <v>0</v>
      </c>
      <c r="P1124" t="s">
        <v>1173</v>
      </c>
      <c r="Q1124" t="s">
        <v>2600</v>
      </c>
      <c r="R1124">
        <v>37.909999999999997</v>
      </c>
      <c r="S1124" s="5">
        <v>45374</v>
      </c>
      <c r="T1124" s="5">
        <v>45384</v>
      </c>
      <c r="U1124" t="s">
        <v>2926</v>
      </c>
    </row>
    <row r="1125" spans="1:21" x14ac:dyDescent="0.25">
      <c r="A1125" s="5">
        <v>45594</v>
      </c>
      <c r="B1125" s="7">
        <f>Table1[[#This Row],[TotalPrice]] * (1 - Table1[[#This Row],[Discount]])</f>
        <v>2272.7837999999997</v>
      </c>
      <c r="C1125" s="7">
        <f>Table1[[#This Row],[Net Sales]] * 0.2</f>
        <v>454.55675999999994</v>
      </c>
      <c r="D1125" t="s">
        <v>23</v>
      </c>
      <c r="E1125" t="s">
        <v>29</v>
      </c>
      <c r="F1125">
        <v>12</v>
      </c>
      <c r="G1125">
        <v>209.86</v>
      </c>
      <c r="H1125" t="s">
        <v>34</v>
      </c>
      <c r="I1125" t="s">
        <v>36</v>
      </c>
      <c r="J1125" s="3">
        <v>0.05</v>
      </c>
      <c r="K1125" t="s">
        <v>42</v>
      </c>
      <c r="L1125">
        <v>2392.404</v>
      </c>
      <c r="M1125" t="s">
        <v>43</v>
      </c>
      <c r="N1125" t="s">
        <v>50</v>
      </c>
      <c r="O1125">
        <v>0</v>
      </c>
      <c r="P1125" t="s">
        <v>1174</v>
      </c>
      <c r="Q1125" t="s">
        <v>2601</v>
      </c>
      <c r="R1125">
        <v>8.7799999999999994</v>
      </c>
      <c r="S1125" s="5">
        <v>45594</v>
      </c>
      <c r="T1125" s="5">
        <v>45598</v>
      </c>
      <c r="U1125" t="s">
        <v>2926</v>
      </c>
    </row>
    <row r="1126" spans="1:21" x14ac:dyDescent="0.25">
      <c r="A1126" s="5">
        <v>45825</v>
      </c>
      <c r="B1126" s="7">
        <f>Table1[[#This Row],[TotalPrice]] * (1 - Table1[[#This Row],[Discount]])</f>
        <v>228.54150000000001</v>
      </c>
      <c r="C1126" s="7">
        <f>Table1[[#This Row],[Net Sales]] * 0.2</f>
        <v>45.708300000000008</v>
      </c>
      <c r="D1126" t="s">
        <v>19</v>
      </c>
      <c r="E1126" t="s">
        <v>24</v>
      </c>
      <c r="F1126">
        <v>9</v>
      </c>
      <c r="G1126">
        <v>31.35</v>
      </c>
      <c r="H1126" t="s">
        <v>31</v>
      </c>
      <c r="I1126" t="s">
        <v>36</v>
      </c>
      <c r="J1126" s="3">
        <v>0.1</v>
      </c>
      <c r="K1126" t="s">
        <v>41</v>
      </c>
      <c r="L1126">
        <v>253.935</v>
      </c>
      <c r="M1126" t="s">
        <v>47</v>
      </c>
      <c r="N1126" t="s">
        <v>49</v>
      </c>
      <c r="O1126">
        <v>0</v>
      </c>
      <c r="P1126" t="s">
        <v>1175</v>
      </c>
      <c r="Q1126" t="s">
        <v>2602</v>
      </c>
      <c r="R1126">
        <v>39.32</v>
      </c>
      <c r="S1126" s="5">
        <v>45825</v>
      </c>
      <c r="T1126" s="5">
        <v>45830</v>
      </c>
      <c r="U1126" t="s">
        <v>2922</v>
      </c>
    </row>
    <row r="1127" spans="1:21" x14ac:dyDescent="0.25">
      <c r="A1127" s="5">
        <v>45003</v>
      </c>
      <c r="B1127" s="7">
        <f>Table1[[#This Row],[TotalPrice]] * (1 - Table1[[#This Row],[Discount]])</f>
        <v>3686.21</v>
      </c>
      <c r="C1127" s="7">
        <f>Table1[[#This Row],[Net Sales]] * 0.2</f>
        <v>737.24200000000008</v>
      </c>
      <c r="D1127" t="s">
        <v>21</v>
      </c>
      <c r="E1127" t="s">
        <v>27</v>
      </c>
      <c r="F1127">
        <v>11</v>
      </c>
      <c r="G1127">
        <v>335.11</v>
      </c>
      <c r="H1127" t="s">
        <v>33</v>
      </c>
      <c r="I1127" t="s">
        <v>36</v>
      </c>
      <c r="J1127" s="3">
        <v>0</v>
      </c>
      <c r="K1127" t="s">
        <v>39</v>
      </c>
      <c r="L1127">
        <v>3686.21</v>
      </c>
      <c r="M1127" t="s">
        <v>44</v>
      </c>
      <c r="N1127" t="s">
        <v>48</v>
      </c>
      <c r="O1127">
        <v>0</v>
      </c>
      <c r="P1127" t="s">
        <v>1176</v>
      </c>
      <c r="Q1127" t="s">
        <v>2603</v>
      </c>
      <c r="R1127">
        <v>29.95</v>
      </c>
      <c r="S1127" s="5">
        <v>45003</v>
      </c>
      <c r="T1127" s="5">
        <v>45011</v>
      </c>
      <c r="U1127" t="s">
        <v>2924</v>
      </c>
    </row>
    <row r="1128" spans="1:21" x14ac:dyDescent="0.25">
      <c r="A1128" s="5">
        <v>44945</v>
      </c>
      <c r="B1128" s="7">
        <f>Table1[[#This Row],[TotalPrice]] * (1 - Table1[[#This Row],[Discount]])</f>
        <v>2219.44</v>
      </c>
      <c r="C1128" s="7">
        <f>Table1[[#This Row],[Net Sales]] * 0.2</f>
        <v>443.88800000000003</v>
      </c>
      <c r="D1128" t="s">
        <v>19</v>
      </c>
      <c r="E1128" t="s">
        <v>25</v>
      </c>
      <c r="F1128">
        <v>8</v>
      </c>
      <c r="G1128">
        <v>277.43</v>
      </c>
      <c r="H1128" t="s">
        <v>34</v>
      </c>
      <c r="I1128" t="s">
        <v>35</v>
      </c>
      <c r="J1128" s="3">
        <v>0</v>
      </c>
      <c r="K1128" t="s">
        <v>40</v>
      </c>
      <c r="L1128">
        <v>2219.44</v>
      </c>
      <c r="M1128" t="s">
        <v>43</v>
      </c>
      <c r="N1128" t="s">
        <v>49</v>
      </c>
      <c r="O1128">
        <v>0</v>
      </c>
      <c r="P1128" t="s">
        <v>1177</v>
      </c>
      <c r="Q1128" t="s">
        <v>2604</v>
      </c>
      <c r="R1128">
        <v>36.380000000000003</v>
      </c>
      <c r="S1128" s="5">
        <v>44945</v>
      </c>
      <c r="T1128" s="5">
        <v>44949</v>
      </c>
      <c r="U1128" t="s">
        <v>2922</v>
      </c>
    </row>
    <row r="1129" spans="1:21" x14ac:dyDescent="0.25">
      <c r="A1129" s="5">
        <v>45116</v>
      </c>
      <c r="B1129" s="7">
        <f>Table1[[#This Row],[TotalPrice]] * (1 - Table1[[#This Row],[Discount]])</f>
        <v>1558.0037999999997</v>
      </c>
      <c r="C1129" s="7">
        <f>Table1[[#This Row],[Net Sales]] * 0.2</f>
        <v>311.60075999999998</v>
      </c>
      <c r="D1129" t="s">
        <v>23</v>
      </c>
      <c r="E1129" t="s">
        <v>26</v>
      </c>
      <c r="F1129">
        <v>6</v>
      </c>
      <c r="G1129">
        <v>287.72000000000003</v>
      </c>
      <c r="H1129" t="s">
        <v>32</v>
      </c>
      <c r="I1129" t="s">
        <v>36</v>
      </c>
      <c r="J1129" s="3">
        <v>0.05</v>
      </c>
      <c r="K1129" t="s">
        <v>42</v>
      </c>
      <c r="L1129">
        <v>1640.0039999999999</v>
      </c>
      <c r="M1129" t="s">
        <v>46</v>
      </c>
      <c r="N1129" t="s">
        <v>50</v>
      </c>
      <c r="O1129">
        <v>0</v>
      </c>
      <c r="P1129" t="s">
        <v>1178</v>
      </c>
      <c r="Q1129" t="s">
        <v>2605</v>
      </c>
      <c r="R1129">
        <v>17.14</v>
      </c>
      <c r="S1129" s="5">
        <v>45116</v>
      </c>
      <c r="T1129" s="5">
        <v>45121</v>
      </c>
      <c r="U1129" t="s">
        <v>2926</v>
      </c>
    </row>
    <row r="1130" spans="1:21" x14ac:dyDescent="0.25">
      <c r="A1130" s="5">
        <v>45732</v>
      </c>
      <c r="B1130" s="7">
        <f>Table1[[#This Row],[TotalPrice]] * (1 - Table1[[#This Row],[Discount]])</f>
        <v>5807.1723499999998</v>
      </c>
      <c r="C1130" s="7">
        <f>Table1[[#This Row],[Net Sales]] * 0.2</f>
        <v>1161.4344699999999</v>
      </c>
      <c r="D1130" t="s">
        <v>19</v>
      </c>
      <c r="E1130" t="s">
        <v>24</v>
      </c>
      <c r="F1130">
        <v>14</v>
      </c>
      <c r="G1130">
        <v>459.61</v>
      </c>
      <c r="H1130" t="s">
        <v>31</v>
      </c>
      <c r="I1130" t="s">
        <v>36</v>
      </c>
      <c r="J1130" s="3">
        <v>0.05</v>
      </c>
      <c r="K1130" t="s">
        <v>39</v>
      </c>
      <c r="L1130">
        <v>6112.8130000000001</v>
      </c>
      <c r="M1130" t="s">
        <v>43</v>
      </c>
      <c r="O1130">
        <v>1</v>
      </c>
      <c r="P1130" t="s">
        <v>1179</v>
      </c>
      <c r="Q1130" t="s">
        <v>2606</v>
      </c>
      <c r="R1130">
        <v>43.41</v>
      </c>
      <c r="S1130" s="5">
        <v>45732</v>
      </c>
      <c r="T1130" s="5">
        <v>45742</v>
      </c>
      <c r="U1130" t="s">
        <v>2922</v>
      </c>
    </row>
    <row r="1131" spans="1:21" x14ac:dyDescent="0.25">
      <c r="A1131" s="5">
        <v>45696</v>
      </c>
      <c r="B1131" s="7">
        <f>Table1[[#This Row],[TotalPrice]] * (1 - Table1[[#This Row],[Discount]])</f>
        <v>3213.5130000000004</v>
      </c>
      <c r="C1131" s="7">
        <f>Table1[[#This Row],[Net Sales]] * 0.2</f>
        <v>642.70260000000007</v>
      </c>
      <c r="D1131" t="s">
        <v>21</v>
      </c>
      <c r="E1131" t="s">
        <v>29</v>
      </c>
      <c r="F1131">
        <v>10</v>
      </c>
      <c r="G1131">
        <v>396.73</v>
      </c>
      <c r="H1131" t="s">
        <v>31</v>
      </c>
      <c r="I1131" t="s">
        <v>36</v>
      </c>
      <c r="J1131" s="3">
        <v>0.1</v>
      </c>
      <c r="K1131" t="s">
        <v>37</v>
      </c>
      <c r="L1131">
        <v>3570.57</v>
      </c>
      <c r="M1131" t="s">
        <v>43</v>
      </c>
      <c r="N1131" t="s">
        <v>48</v>
      </c>
      <c r="O1131">
        <v>0</v>
      </c>
      <c r="P1131" t="s">
        <v>1180</v>
      </c>
      <c r="Q1131" t="s">
        <v>2607</v>
      </c>
      <c r="R1131">
        <v>18.13</v>
      </c>
      <c r="S1131" s="5">
        <v>45696</v>
      </c>
      <c r="T1131" s="5">
        <v>45701</v>
      </c>
      <c r="U1131" t="s">
        <v>2924</v>
      </c>
    </row>
    <row r="1132" spans="1:21" x14ac:dyDescent="0.25">
      <c r="A1132" s="5">
        <v>45402</v>
      </c>
      <c r="B1132" s="7">
        <f>Table1[[#This Row],[TotalPrice]] * (1 - Table1[[#This Row],[Discount]])</f>
        <v>10328.6</v>
      </c>
      <c r="C1132" s="7">
        <f>Table1[[#This Row],[Net Sales]] * 0.2</f>
        <v>2065.7200000000003</v>
      </c>
      <c r="D1132" t="s">
        <v>20</v>
      </c>
      <c r="E1132" t="s">
        <v>30</v>
      </c>
      <c r="F1132">
        <v>20</v>
      </c>
      <c r="G1132">
        <v>516.42999999999995</v>
      </c>
      <c r="H1132" t="s">
        <v>31</v>
      </c>
      <c r="I1132" t="s">
        <v>36</v>
      </c>
      <c r="J1132" s="3">
        <v>0</v>
      </c>
      <c r="K1132" t="s">
        <v>42</v>
      </c>
      <c r="L1132">
        <v>10328.6</v>
      </c>
      <c r="M1132" t="s">
        <v>43</v>
      </c>
      <c r="N1132" t="s">
        <v>48</v>
      </c>
      <c r="O1132">
        <v>0</v>
      </c>
      <c r="P1132" t="s">
        <v>1181</v>
      </c>
      <c r="Q1132" t="s">
        <v>1669</v>
      </c>
      <c r="R1132">
        <v>36.229999999999997</v>
      </c>
      <c r="S1132" s="5">
        <v>45402</v>
      </c>
      <c r="T1132" s="5">
        <v>45404</v>
      </c>
      <c r="U1132" t="s">
        <v>2923</v>
      </c>
    </row>
    <row r="1133" spans="1:21" x14ac:dyDescent="0.25">
      <c r="A1133" s="5">
        <v>45813</v>
      </c>
      <c r="B1133" s="7">
        <f>Table1[[#This Row],[TotalPrice]] * (1 - Table1[[#This Row],[Discount]])</f>
        <v>242.72460000000001</v>
      </c>
      <c r="C1133" s="7">
        <f>Table1[[#This Row],[Net Sales]] * 0.2</f>
        <v>48.544920000000005</v>
      </c>
      <c r="D1133" t="s">
        <v>19</v>
      </c>
      <c r="E1133" t="s">
        <v>24</v>
      </c>
      <c r="F1133">
        <v>1</v>
      </c>
      <c r="G1133">
        <v>299.66000000000003</v>
      </c>
      <c r="H1133" t="s">
        <v>32</v>
      </c>
      <c r="I1133" t="s">
        <v>36</v>
      </c>
      <c r="J1133" s="3">
        <v>0.1</v>
      </c>
      <c r="K1133" t="s">
        <v>41</v>
      </c>
      <c r="L1133">
        <v>269.69400000000002</v>
      </c>
      <c r="M1133" t="s">
        <v>47</v>
      </c>
      <c r="N1133" t="s">
        <v>49</v>
      </c>
      <c r="O1133">
        <v>0</v>
      </c>
      <c r="P1133" t="s">
        <v>1182</v>
      </c>
      <c r="Q1133" t="s">
        <v>2608</v>
      </c>
      <c r="R1133">
        <v>38.94</v>
      </c>
      <c r="S1133" s="5">
        <v>45813</v>
      </c>
      <c r="T1133" s="5">
        <v>45815</v>
      </c>
      <c r="U1133" t="s">
        <v>2922</v>
      </c>
    </row>
    <row r="1134" spans="1:21" x14ac:dyDescent="0.25">
      <c r="A1134" s="5">
        <v>45772</v>
      </c>
      <c r="B1134" s="7">
        <f>Table1[[#This Row],[TotalPrice]] * (1 - Table1[[#This Row],[Discount]])</f>
        <v>380.64</v>
      </c>
      <c r="C1134" s="7">
        <f>Table1[[#This Row],[Net Sales]] * 0.2</f>
        <v>76.128</v>
      </c>
      <c r="D1134" t="s">
        <v>20</v>
      </c>
      <c r="E1134" t="s">
        <v>27</v>
      </c>
      <c r="F1134">
        <v>12</v>
      </c>
      <c r="G1134">
        <v>31.72</v>
      </c>
      <c r="H1134" t="s">
        <v>31</v>
      </c>
      <c r="I1134" t="s">
        <v>36</v>
      </c>
      <c r="J1134" s="3">
        <v>0</v>
      </c>
      <c r="K1134" t="s">
        <v>38</v>
      </c>
      <c r="L1134">
        <v>380.64</v>
      </c>
      <c r="M1134" t="s">
        <v>46</v>
      </c>
      <c r="N1134" t="s">
        <v>49</v>
      </c>
      <c r="O1134">
        <v>0</v>
      </c>
      <c r="P1134" t="s">
        <v>1183</v>
      </c>
      <c r="Q1134" t="s">
        <v>2609</v>
      </c>
      <c r="R1134">
        <v>30.78</v>
      </c>
      <c r="S1134" s="5">
        <v>45772</v>
      </c>
      <c r="T1134" s="5">
        <v>45780</v>
      </c>
      <c r="U1134" t="s">
        <v>2923</v>
      </c>
    </row>
    <row r="1135" spans="1:21" x14ac:dyDescent="0.25">
      <c r="A1135" s="5">
        <v>45175</v>
      </c>
      <c r="B1135" s="7">
        <f>Table1[[#This Row],[TotalPrice]] * (1 - Table1[[#This Row],[Discount]])</f>
        <v>9030.2886500000004</v>
      </c>
      <c r="C1135" s="7">
        <f>Table1[[#This Row],[Net Sales]] * 0.2</f>
        <v>1806.0577300000002</v>
      </c>
      <c r="D1135" t="s">
        <v>22</v>
      </c>
      <c r="E1135" t="s">
        <v>25</v>
      </c>
      <c r="F1135">
        <v>17</v>
      </c>
      <c r="G1135">
        <v>588.58000000000004</v>
      </c>
      <c r="H1135" t="s">
        <v>34</v>
      </c>
      <c r="I1135" t="s">
        <v>35</v>
      </c>
      <c r="J1135" s="3">
        <v>0.05</v>
      </c>
      <c r="K1135" t="s">
        <v>41</v>
      </c>
      <c r="L1135">
        <v>9505.5670000000009</v>
      </c>
      <c r="M1135" t="s">
        <v>46</v>
      </c>
      <c r="N1135" t="s">
        <v>49</v>
      </c>
      <c r="O1135">
        <v>1</v>
      </c>
      <c r="P1135" t="s">
        <v>1184</v>
      </c>
      <c r="Q1135" t="s">
        <v>2610</v>
      </c>
      <c r="R1135">
        <v>25.31</v>
      </c>
      <c r="S1135" s="5">
        <v>45175</v>
      </c>
      <c r="T1135" s="5">
        <v>45182</v>
      </c>
      <c r="U1135" t="s">
        <v>2925</v>
      </c>
    </row>
    <row r="1136" spans="1:21" x14ac:dyDescent="0.25">
      <c r="A1136" s="5">
        <v>45198</v>
      </c>
      <c r="B1136" s="7">
        <f>Table1[[#This Row],[TotalPrice]] * (1 - Table1[[#This Row],[Discount]])</f>
        <v>1810.0664999999999</v>
      </c>
      <c r="C1136" s="7">
        <f>Table1[[#This Row],[Net Sales]] * 0.2</f>
        <v>362.01330000000002</v>
      </c>
      <c r="D1136" t="s">
        <v>19</v>
      </c>
      <c r="E1136" t="s">
        <v>24</v>
      </c>
      <c r="F1136">
        <v>11</v>
      </c>
      <c r="G1136">
        <v>203.15</v>
      </c>
      <c r="H1136" t="s">
        <v>33</v>
      </c>
      <c r="I1136" t="s">
        <v>36</v>
      </c>
      <c r="J1136" s="3">
        <v>0.1</v>
      </c>
      <c r="K1136" t="s">
        <v>37</v>
      </c>
      <c r="L1136">
        <v>2011.1849999999999</v>
      </c>
      <c r="M1136" t="s">
        <v>43</v>
      </c>
      <c r="N1136" t="s">
        <v>48</v>
      </c>
      <c r="O1136">
        <v>0</v>
      </c>
      <c r="P1136" t="s">
        <v>1185</v>
      </c>
      <c r="Q1136" t="s">
        <v>2611</v>
      </c>
      <c r="R1136">
        <v>30.97</v>
      </c>
      <c r="S1136" s="5">
        <v>45198</v>
      </c>
      <c r="T1136" s="5">
        <v>45201</v>
      </c>
      <c r="U1136" t="s">
        <v>2922</v>
      </c>
    </row>
    <row r="1137" spans="1:21" x14ac:dyDescent="0.25">
      <c r="A1137" s="5">
        <v>45433</v>
      </c>
      <c r="B1137" s="7">
        <f>Table1[[#This Row],[TotalPrice]] * (1 - Table1[[#This Row],[Discount]])</f>
        <v>2504.52</v>
      </c>
      <c r="C1137" s="7">
        <f>Table1[[#This Row],[Net Sales]] * 0.2</f>
        <v>500.904</v>
      </c>
      <c r="D1137" t="s">
        <v>22</v>
      </c>
      <c r="E1137" t="s">
        <v>28</v>
      </c>
      <c r="F1137">
        <v>18</v>
      </c>
      <c r="G1137">
        <v>139.13999999999999</v>
      </c>
      <c r="H1137" t="s">
        <v>32</v>
      </c>
      <c r="I1137" t="s">
        <v>35</v>
      </c>
      <c r="J1137" s="3">
        <v>0</v>
      </c>
      <c r="K1137" t="s">
        <v>40</v>
      </c>
      <c r="L1137">
        <v>2504.52</v>
      </c>
      <c r="M1137" t="s">
        <v>43</v>
      </c>
      <c r="N1137" t="s">
        <v>48</v>
      </c>
      <c r="O1137">
        <v>1</v>
      </c>
      <c r="P1137" t="s">
        <v>1186</v>
      </c>
      <c r="Q1137" t="s">
        <v>2612</v>
      </c>
      <c r="R1137">
        <v>10.56</v>
      </c>
      <c r="S1137" s="5">
        <v>45433</v>
      </c>
      <c r="T1137" s="5">
        <v>45435</v>
      </c>
      <c r="U1137" t="s">
        <v>2925</v>
      </c>
    </row>
    <row r="1138" spans="1:21" x14ac:dyDescent="0.25">
      <c r="A1138" s="5">
        <v>45760</v>
      </c>
      <c r="B1138" s="7">
        <f>Table1[[#This Row],[TotalPrice]] * (1 - Table1[[#This Row],[Discount]])</f>
        <v>317.98</v>
      </c>
      <c r="C1138" s="7">
        <f>Table1[[#This Row],[Net Sales]] * 0.2</f>
        <v>63.596000000000004</v>
      </c>
      <c r="D1138" t="s">
        <v>23</v>
      </c>
      <c r="E1138" t="s">
        <v>28</v>
      </c>
      <c r="F1138">
        <v>2</v>
      </c>
      <c r="G1138">
        <v>158.99</v>
      </c>
      <c r="H1138" t="s">
        <v>32</v>
      </c>
      <c r="I1138" t="s">
        <v>35</v>
      </c>
      <c r="J1138" s="3">
        <v>0</v>
      </c>
      <c r="K1138" t="s">
        <v>42</v>
      </c>
      <c r="L1138">
        <v>317.98</v>
      </c>
      <c r="M1138" t="s">
        <v>43</v>
      </c>
      <c r="O1138">
        <v>0</v>
      </c>
      <c r="P1138" t="s">
        <v>1187</v>
      </c>
      <c r="Q1138" t="s">
        <v>2613</v>
      </c>
      <c r="R1138">
        <v>48.32</v>
      </c>
      <c r="S1138" s="5">
        <v>45760</v>
      </c>
      <c r="T1138" s="5">
        <v>45766</v>
      </c>
      <c r="U1138" t="s">
        <v>2926</v>
      </c>
    </row>
    <row r="1139" spans="1:21" x14ac:dyDescent="0.25">
      <c r="A1139" s="5">
        <v>45612</v>
      </c>
      <c r="B1139" s="7">
        <f>Table1[[#This Row],[TotalPrice]] * (1 - Table1[[#This Row],[Discount]])</f>
        <v>1162.8900000000001</v>
      </c>
      <c r="C1139" s="7">
        <f>Table1[[#This Row],[Net Sales]] * 0.2</f>
        <v>232.57800000000003</v>
      </c>
      <c r="D1139" t="s">
        <v>19</v>
      </c>
      <c r="E1139" t="s">
        <v>27</v>
      </c>
      <c r="F1139">
        <v>3</v>
      </c>
      <c r="G1139">
        <v>387.63</v>
      </c>
      <c r="H1139" t="s">
        <v>32</v>
      </c>
      <c r="I1139" t="s">
        <v>35</v>
      </c>
      <c r="J1139" s="3">
        <v>0</v>
      </c>
      <c r="K1139" t="s">
        <v>41</v>
      </c>
      <c r="L1139">
        <v>1162.8900000000001</v>
      </c>
      <c r="M1139" t="s">
        <v>45</v>
      </c>
      <c r="N1139" t="s">
        <v>50</v>
      </c>
      <c r="O1139">
        <v>0</v>
      </c>
      <c r="P1139" t="s">
        <v>1188</v>
      </c>
      <c r="Q1139" t="s">
        <v>2614</v>
      </c>
      <c r="R1139">
        <v>30.08</v>
      </c>
      <c r="S1139" s="5">
        <v>45612</v>
      </c>
      <c r="T1139" s="5">
        <v>45616</v>
      </c>
      <c r="U1139" t="s">
        <v>2922</v>
      </c>
    </row>
    <row r="1140" spans="1:21" x14ac:dyDescent="0.25">
      <c r="A1140" s="5">
        <v>45493</v>
      </c>
      <c r="B1140" s="7">
        <f>Table1[[#This Row],[TotalPrice]] * (1 - Table1[[#This Row],[Discount]])</f>
        <v>818.58600000000013</v>
      </c>
      <c r="C1140" s="7">
        <f>Table1[[#This Row],[Net Sales]] * 0.2</f>
        <v>163.71720000000005</v>
      </c>
      <c r="D1140" t="s">
        <v>21</v>
      </c>
      <c r="E1140" t="s">
        <v>26</v>
      </c>
      <c r="F1140">
        <v>5</v>
      </c>
      <c r="G1140">
        <v>202.12</v>
      </c>
      <c r="H1140" t="s">
        <v>32</v>
      </c>
      <c r="I1140" t="s">
        <v>36</v>
      </c>
      <c r="J1140" s="3">
        <v>0.1</v>
      </c>
      <c r="K1140" t="s">
        <v>41</v>
      </c>
      <c r="L1140">
        <v>909.54000000000008</v>
      </c>
      <c r="M1140" t="s">
        <v>43</v>
      </c>
      <c r="N1140" t="s">
        <v>48</v>
      </c>
      <c r="O1140">
        <v>1</v>
      </c>
      <c r="P1140" t="s">
        <v>1189</v>
      </c>
      <c r="Q1140" t="s">
        <v>2593</v>
      </c>
      <c r="R1140">
        <v>45.61</v>
      </c>
      <c r="S1140" s="5">
        <v>45493</v>
      </c>
      <c r="T1140" s="5">
        <v>45501</v>
      </c>
      <c r="U1140" t="s">
        <v>2924</v>
      </c>
    </row>
    <row r="1141" spans="1:21" x14ac:dyDescent="0.25">
      <c r="A1141" s="5">
        <v>45066</v>
      </c>
      <c r="B1141" s="7">
        <f>Table1[[#This Row],[TotalPrice]] * (1 - Table1[[#This Row],[Discount]])</f>
        <v>966.90729999999996</v>
      </c>
      <c r="C1141" s="7">
        <f>Table1[[#This Row],[Net Sales]] * 0.2</f>
        <v>193.38146</v>
      </c>
      <c r="D1141" t="s">
        <v>21</v>
      </c>
      <c r="E1141" t="s">
        <v>26</v>
      </c>
      <c r="F1141">
        <v>4</v>
      </c>
      <c r="G1141">
        <v>334.57</v>
      </c>
      <c r="H1141" t="s">
        <v>33</v>
      </c>
      <c r="I1141" t="s">
        <v>36</v>
      </c>
      <c r="J1141" s="3">
        <v>0.15</v>
      </c>
      <c r="K1141" t="s">
        <v>40</v>
      </c>
      <c r="L1141">
        <v>1137.538</v>
      </c>
      <c r="M1141" t="s">
        <v>44</v>
      </c>
      <c r="O1141">
        <v>0</v>
      </c>
      <c r="P1141" t="s">
        <v>1190</v>
      </c>
      <c r="Q1141" t="s">
        <v>2615</v>
      </c>
      <c r="R1141">
        <v>11.49</v>
      </c>
      <c r="S1141" s="5">
        <v>45066</v>
      </c>
      <c r="T1141" s="5">
        <v>45073</v>
      </c>
      <c r="U1141" t="s">
        <v>2924</v>
      </c>
    </row>
    <row r="1142" spans="1:21" x14ac:dyDescent="0.25">
      <c r="A1142" s="5">
        <v>45221</v>
      </c>
      <c r="B1142" s="7">
        <f>Table1[[#This Row],[TotalPrice]] * (1 - Table1[[#This Row],[Discount]])</f>
        <v>5626.3675999999996</v>
      </c>
      <c r="C1142" s="7">
        <f>Table1[[#This Row],[Net Sales]] * 0.2</f>
        <v>1125.27352</v>
      </c>
      <c r="D1142" t="s">
        <v>23</v>
      </c>
      <c r="E1142" t="s">
        <v>25</v>
      </c>
      <c r="F1142">
        <v>16</v>
      </c>
      <c r="G1142">
        <v>486.71</v>
      </c>
      <c r="H1142" t="s">
        <v>31</v>
      </c>
      <c r="I1142" t="s">
        <v>35</v>
      </c>
      <c r="J1142" s="3">
        <v>0.15</v>
      </c>
      <c r="K1142" t="s">
        <v>40</v>
      </c>
      <c r="L1142">
        <v>6619.2559999999994</v>
      </c>
      <c r="M1142" t="s">
        <v>43</v>
      </c>
      <c r="N1142" t="s">
        <v>48</v>
      </c>
      <c r="O1142">
        <v>1</v>
      </c>
      <c r="P1142" t="s">
        <v>1191</v>
      </c>
      <c r="Q1142" t="s">
        <v>2616</v>
      </c>
      <c r="R1142">
        <v>12.53</v>
      </c>
      <c r="S1142" s="5">
        <v>45221</v>
      </c>
      <c r="T1142" s="5">
        <v>45225</v>
      </c>
      <c r="U1142" t="s">
        <v>2926</v>
      </c>
    </row>
    <row r="1143" spans="1:21" x14ac:dyDescent="0.25">
      <c r="A1143" s="5">
        <v>45795</v>
      </c>
      <c r="B1143" s="7">
        <f>Table1[[#This Row],[TotalPrice]] * (1 - Table1[[#This Row],[Discount]])</f>
        <v>272.07905</v>
      </c>
      <c r="C1143" s="7">
        <f>Table1[[#This Row],[Net Sales]] * 0.2</f>
        <v>54.41581</v>
      </c>
      <c r="D1143" t="s">
        <v>21</v>
      </c>
      <c r="E1143" t="s">
        <v>28</v>
      </c>
      <c r="F1143">
        <v>2</v>
      </c>
      <c r="G1143">
        <v>188.29</v>
      </c>
      <c r="H1143" t="s">
        <v>34</v>
      </c>
      <c r="I1143" t="s">
        <v>35</v>
      </c>
      <c r="J1143" s="3">
        <v>0.15</v>
      </c>
      <c r="K1143" t="s">
        <v>42</v>
      </c>
      <c r="L1143">
        <v>320.09300000000002</v>
      </c>
      <c r="M1143" t="s">
        <v>45</v>
      </c>
      <c r="N1143" t="s">
        <v>49</v>
      </c>
      <c r="O1143">
        <v>0</v>
      </c>
      <c r="P1143" t="s">
        <v>1192</v>
      </c>
      <c r="Q1143" t="s">
        <v>2617</v>
      </c>
      <c r="R1143">
        <v>32.22</v>
      </c>
      <c r="S1143" s="5">
        <v>45795</v>
      </c>
      <c r="T1143" s="5">
        <v>45798</v>
      </c>
      <c r="U1143" t="s">
        <v>2924</v>
      </c>
    </row>
    <row r="1144" spans="1:21" x14ac:dyDescent="0.25">
      <c r="A1144" s="5">
        <v>45354</v>
      </c>
      <c r="B1144" s="7">
        <f>Table1[[#This Row],[TotalPrice]] * (1 - Table1[[#This Row],[Discount]])</f>
        <v>565.11059999999998</v>
      </c>
      <c r="C1144" s="7">
        <f>Table1[[#This Row],[Net Sales]] * 0.2</f>
        <v>113.02212</v>
      </c>
      <c r="D1144" t="s">
        <v>20</v>
      </c>
      <c r="E1144" t="s">
        <v>24</v>
      </c>
      <c r="F1144">
        <v>3</v>
      </c>
      <c r="G1144">
        <v>260.72000000000003</v>
      </c>
      <c r="H1144" t="s">
        <v>31</v>
      </c>
      <c r="I1144" t="s">
        <v>35</v>
      </c>
      <c r="J1144" s="3">
        <v>0.15</v>
      </c>
      <c r="K1144" t="s">
        <v>39</v>
      </c>
      <c r="L1144">
        <v>664.83600000000001</v>
      </c>
      <c r="M1144" t="s">
        <v>43</v>
      </c>
      <c r="N1144" t="s">
        <v>50</v>
      </c>
      <c r="O1144">
        <v>0</v>
      </c>
      <c r="P1144" t="s">
        <v>1193</v>
      </c>
      <c r="Q1144" t="s">
        <v>2618</v>
      </c>
      <c r="R1144">
        <v>19.41</v>
      </c>
      <c r="S1144" s="5">
        <v>45354</v>
      </c>
      <c r="T1144" s="5">
        <v>45357</v>
      </c>
      <c r="U1144" t="s">
        <v>2923</v>
      </c>
    </row>
    <row r="1145" spans="1:21" x14ac:dyDescent="0.25">
      <c r="A1145" s="5">
        <v>45130</v>
      </c>
      <c r="B1145" s="7">
        <f>Table1[[#This Row],[TotalPrice]] * (1 - Table1[[#This Row],[Discount]])</f>
        <v>1741.1922</v>
      </c>
      <c r="C1145" s="7">
        <f>Table1[[#This Row],[Net Sales]] * 0.2</f>
        <v>348.23844000000003</v>
      </c>
      <c r="D1145" t="s">
        <v>19</v>
      </c>
      <c r="E1145" t="s">
        <v>26</v>
      </c>
      <c r="F1145">
        <v>6</v>
      </c>
      <c r="G1145">
        <v>358.27</v>
      </c>
      <c r="H1145" t="s">
        <v>31</v>
      </c>
      <c r="I1145" t="s">
        <v>36</v>
      </c>
      <c r="J1145" s="3">
        <v>0.1</v>
      </c>
      <c r="K1145" t="s">
        <v>39</v>
      </c>
      <c r="L1145">
        <v>1934.6579999999999</v>
      </c>
      <c r="M1145" t="s">
        <v>44</v>
      </c>
      <c r="O1145">
        <v>0</v>
      </c>
      <c r="P1145" t="s">
        <v>1194</v>
      </c>
      <c r="Q1145" t="s">
        <v>2556</v>
      </c>
      <c r="R1145">
        <v>7.34</v>
      </c>
      <c r="S1145" s="5">
        <v>45130</v>
      </c>
      <c r="T1145" s="5">
        <v>45140</v>
      </c>
      <c r="U1145" t="s">
        <v>2922</v>
      </c>
    </row>
    <row r="1146" spans="1:21" x14ac:dyDescent="0.25">
      <c r="A1146" s="5">
        <v>45697</v>
      </c>
      <c r="B1146" s="7">
        <f>Table1[[#This Row],[TotalPrice]] * (1 - Table1[[#This Row],[Discount]])</f>
        <v>5187.7098000000005</v>
      </c>
      <c r="C1146" s="7">
        <f>Table1[[#This Row],[Net Sales]] * 0.2</f>
        <v>1037.5419600000002</v>
      </c>
      <c r="D1146" t="s">
        <v>21</v>
      </c>
      <c r="E1146" t="s">
        <v>26</v>
      </c>
      <c r="F1146">
        <v>13</v>
      </c>
      <c r="G1146">
        <v>492.66</v>
      </c>
      <c r="H1146" t="s">
        <v>31</v>
      </c>
      <c r="I1146" t="s">
        <v>36</v>
      </c>
      <c r="J1146" s="3">
        <v>0.1</v>
      </c>
      <c r="K1146" t="s">
        <v>39</v>
      </c>
      <c r="L1146">
        <v>5764.1220000000003</v>
      </c>
      <c r="M1146" t="s">
        <v>44</v>
      </c>
      <c r="N1146" t="s">
        <v>48</v>
      </c>
      <c r="O1146">
        <v>0</v>
      </c>
      <c r="P1146" t="s">
        <v>1195</v>
      </c>
      <c r="Q1146" t="s">
        <v>2619</v>
      </c>
      <c r="R1146">
        <v>46.21</v>
      </c>
      <c r="S1146" s="5">
        <v>45697</v>
      </c>
      <c r="T1146" s="5">
        <v>45702</v>
      </c>
      <c r="U1146" t="s">
        <v>2924</v>
      </c>
    </row>
    <row r="1147" spans="1:21" x14ac:dyDescent="0.25">
      <c r="A1147" s="5">
        <v>44943</v>
      </c>
      <c r="B1147" s="7">
        <f>Table1[[#This Row],[TotalPrice]] * (1 - Table1[[#This Row],[Discount]])</f>
        <v>1045.1400000000001</v>
      </c>
      <c r="C1147" s="7">
        <f>Table1[[#This Row],[Net Sales]] * 0.2</f>
        <v>209.02800000000002</v>
      </c>
      <c r="D1147" t="s">
        <v>20</v>
      </c>
      <c r="E1147" t="s">
        <v>27</v>
      </c>
      <c r="F1147">
        <v>3</v>
      </c>
      <c r="G1147">
        <v>348.38</v>
      </c>
      <c r="H1147" t="s">
        <v>31</v>
      </c>
      <c r="I1147" t="s">
        <v>35</v>
      </c>
      <c r="J1147" s="3">
        <v>0</v>
      </c>
      <c r="K1147" t="s">
        <v>40</v>
      </c>
      <c r="L1147">
        <v>1045.1400000000001</v>
      </c>
      <c r="M1147" t="s">
        <v>44</v>
      </c>
      <c r="N1147" t="s">
        <v>48</v>
      </c>
      <c r="O1147">
        <v>0</v>
      </c>
      <c r="P1147" t="s">
        <v>1196</v>
      </c>
      <c r="Q1147" t="s">
        <v>2620</v>
      </c>
      <c r="R1147">
        <v>26.25</v>
      </c>
      <c r="S1147" s="5">
        <v>44943</v>
      </c>
      <c r="T1147" s="5">
        <v>44949</v>
      </c>
      <c r="U1147" t="s">
        <v>2923</v>
      </c>
    </row>
    <row r="1148" spans="1:21" x14ac:dyDescent="0.25">
      <c r="A1148" s="5">
        <v>45186</v>
      </c>
      <c r="B1148" s="7">
        <f>Table1[[#This Row],[TotalPrice]] * (1 - Table1[[#This Row],[Discount]])</f>
        <v>2369.5498499999999</v>
      </c>
      <c r="C1148" s="7">
        <f>Table1[[#This Row],[Net Sales]] * 0.2</f>
        <v>473.90996999999999</v>
      </c>
      <c r="D1148" t="s">
        <v>21</v>
      </c>
      <c r="E1148" t="s">
        <v>25</v>
      </c>
      <c r="F1148">
        <v>6</v>
      </c>
      <c r="G1148">
        <v>437.59</v>
      </c>
      <c r="H1148" t="s">
        <v>34</v>
      </c>
      <c r="I1148" t="s">
        <v>35</v>
      </c>
      <c r="J1148" s="3">
        <v>0.05</v>
      </c>
      <c r="K1148" t="s">
        <v>41</v>
      </c>
      <c r="L1148">
        <v>2494.2629999999999</v>
      </c>
      <c r="M1148" t="s">
        <v>44</v>
      </c>
      <c r="N1148" t="s">
        <v>50</v>
      </c>
      <c r="O1148">
        <v>1</v>
      </c>
      <c r="P1148" t="s">
        <v>1197</v>
      </c>
      <c r="Q1148" t="s">
        <v>2621</v>
      </c>
      <c r="R1148">
        <v>39.4</v>
      </c>
      <c r="S1148" s="5">
        <v>45186</v>
      </c>
      <c r="T1148" s="5">
        <v>45195</v>
      </c>
      <c r="U1148" t="s">
        <v>2924</v>
      </c>
    </row>
    <row r="1149" spans="1:21" x14ac:dyDescent="0.25">
      <c r="A1149" s="5">
        <v>45703</v>
      </c>
      <c r="B1149" s="7">
        <f>Table1[[#This Row],[TotalPrice]] * (1 - Table1[[#This Row],[Discount]])</f>
        <v>1817.4050999999999</v>
      </c>
      <c r="C1149" s="7">
        <f>Table1[[#This Row],[Net Sales]] * 0.2</f>
        <v>363.48102</v>
      </c>
      <c r="D1149" t="s">
        <v>21</v>
      </c>
      <c r="E1149" t="s">
        <v>30</v>
      </c>
      <c r="F1149">
        <v>19</v>
      </c>
      <c r="G1149">
        <v>118.09</v>
      </c>
      <c r="H1149" t="s">
        <v>34</v>
      </c>
      <c r="I1149" t="s">
        <v>35</v>
      </c>
      <c r="J1149" s="3">
        <v>0.1</v>
      </c>
      <c r="K1149" t="s">
        <v>38</v>
      </c>
      <c r="L1149">
        <v>2019.3389999999999</v>
      </c>
      <c r="M1149" t="s">
        <v>43</v>
      </c>
      <c r="N1149" t="s">
        <v>49</v>
      </c>
      <c r="O1149">
        <v>0</v>
      </c>
      <c r="P1149" t="s">
        <v>1198</v>
      </c>
      <c r="Q1149" t="s">
        <v>2622</v>
      </c>
      <c r="R1149">
        <v>10.77</v>
      </c>
      <c r="S1149" s="5">
        <v>45703</v>
      </c>
      <c r="T1149" s="5">
        <v>45711</v>
      </c>
      <c r="U1149" t="s">
        <v>2924</v>
      </c>
    </row>
    <row r="1150" spans="1:21" x14ac:dyDescent="0.25">
      <c r="A1150" s="5">
        <v>45206</v>
      </c>
      <c r="B1150" s="7">
        <f>Table1[[#This Row],[TotalPrice]] * (1 - Table1[[#This Row],[Discount]])</f>
        <v>2552.7663749999988</v>
      </c>
      <c r="C1150" s="7">
        <f>Table1[[#This Row],[Net Sales]] * 0.2</f>
        <v>510.55327499999976</v>
      </c>
      <c r="D1150" t="s">
        <v>23</v>
      </c>
      <c r="E1150" t="s">
        <v>29</v>
      </c>
      <c r="F1150">
        <v>15</v>
      </c>
      <c r="G1150">
        <v>188.57</v>
      </c>
      <c r="H1150" t="s">
        <v>33</v>
      </c>
      <c r="I1150" t="s">
        <v>35</v>
      </c>
      <c r="J1150" s="3">
        <v>0.05</v>
      </c>
      <c r="K1150" t="s">
        <v>42</v>
      </c>
      <c r="L1150">
        <v>2687.122499999999</v>
      </c>
      <c r="M1150" t="s">
        <v>45</v>
      </c>
      <c r="N1150" t="s">
        <v>48</v>
      </c>
      <c r="O1150">
        <v>1</v>
      </c>
      <c r="P1150" t="s">
        <v>1199</v>
      </c>
      <c r="Q1150" t="s">
        <v>2623</v>
      </c>
      <c r="R1150">
        <v>38.61</v>
      </c>
      <c r="S1150" s="5">
        <v>45206</v>
      </c>
      <c r="T1150" s="5">
        <v>45208</v>
      </c>
      <c r="U1150" t="s">
        <v>2926</v>
      </c>
    </row>
    <row r="1151" spans="1:21" x14ac:dyDescent="0.25">
      <c r="A1151" s="5">
        <v>45146</v>
      </c>
      <c r="B1151" s="7">
        <f>Table1[[#This Row],[TotalPrice]] * (1 - Table1[[#This Row],[Discount]])</f>
        <v>1605.92</v>
      </c>
      <c r="C1151" s="7">
        <f>Table1[[#This Row],[Net Sales]] * 0.2</f>
        <v>321.18400000000003</v>
      </c>
      <c r="D1151" t="s">
        <v>23</v>
      </c>
      <c r="E1151" t="s">
        <v>25</v>
      </c>
      <c r="F1151">
        <v>8</v>
      </c>
      <c r="G1151">
        <v>200.74</v>
      </c>
      <c r="H1151" t="s">
        <v>32</v>
      </c>
      <c r="I1151" t="s">
        <v>35</v>
      </c>
      <c r="J1151" s="3">
        <v>0</v>
      </c>
      <c r="K1151" t="s">
        <v>41</v>
      </c>
      <c r="L1151">
        <v>1605.92</v>
      </c>
      <c r="M1151" t="s">
        <v>44</v>
      </c>
      <c r="N1151" t="s">
        <v>49</v>
      </c>
      <c r="O1151">
        <v>1</v>
      </c>
      <c r="P1151" t="s">
        <v>1200</v>
      </c>
      <c r="Q1151" t="s">
        <v>2624</v>
      </c>
      <c r="R1151">
        <v>30.7</v>
      </c>
      <c r="S1151" s="5">
        <v>45146</v>
      </c>
      <c r="T1151" s="5">
        <v>45148</v>
      </c>
      <c r="U1151" t="s">
        <v>2926</v>
      </c>
    </row>
    <row r="1152" spans="1:21" x14ac:dyDescent="0.25">
      <c r="A1152" s="5">
        <v>45159</v>
      </c>
      <c r="B1152" s="7">
        <f>Table1[[#This Row],[TotalPrice]] * (1 - Table1[[#This Row],[Discount]])</f>
        <v>307.980075</v>
      </c>
      <c r="C1152" s="7">
        <f>Table1[[#This Row],[Net Sales]] * 0.2</f>
        <v>61.596015000000001</v>
      </c>
      <c r="D1152" t="s">
        <v>19</v>
      </c>
      <c r="E1152" t="s">
        <v>24</v>
      </c>
      <c r="F1152">
        <v>3</v>
      </c>
      <c r="G1152">
        <v>142.09</v>
      </c>
      <c r="H1152" t="s">
        <v>33</v>
      </c>
      <c r="I1152" t="s">
        <v>35</v>
      </c>
      <c r="J1152" s="3">
        <v>0.15</v>
      </c>
      <c r="K1152" t="s">
        <v>39</v>
      </c>
      <c r="L1152">
        <v>362.3295</v>
      </c>
      <c r="M1152" t="s">
        <v>44</v>
      </c>
      <c r="N1152" t="s">
        <v>50</v>
      </c>
      <c r="O1152">
        <v>0</v>
      </c>
      <c r="P1152" t="s">
        <v>1201</v>
      </c>
      <c r="Q1152" t="s">
        <v>1919</v>
      </c>
      <c r="R1152">
        <v>26.04</v>
      </c>
      <c r="S1152" s="5">
        <v>45159</v>
      </c>
      <c r="T1152" s="5">
        <v>45165</v>
      </c>
      <c r="U1152" t="s">
        <v>2922</v>
      </c>
    </row>
    <row r="1153" spans="1:21" x14ac:dyDescent="0.25">
      <c r="A1153" s="5">
        <v>45480</v>
      </c>
      <c r="B1153" s="7">
        <f>Table1[[#This Row],[TotalPrice]] * (1 - Table1[[#This Row],[Discount]])</f>
        <v>6999.8580000000002</v>
      </c>
      <c r="C1153" s="7">
        <f>Table1[[#This Row],[Net Sales]] * 0.2</f>
        <v>1399.9716000000001</v>
      </c>
      <c r="D1153" t="s">
        <v>21</v>
      </c>
      <c r="E1153" t="s">
        <v>29</v>
      </c>
      <c r="F1153">
        <v>15</v>
      </c>
      <c r="G1153">
        <v>576.12</v>
      </c>
      <c r="H1153" t="s">
        <v>34</v>
      </c>
      <c r="I1153" t="s">
        <v>36</v>
      </c>
      <c r="J1153" s="3">
        <v>0.1</v>
      </c>
      <c r="K1153" t="s">
        <v>38</v>
      </c>
      <c r="L1153">
        <v>7777.62</v>
      </c>
      <c r="M1153" t="s">
        <v>43</v>
      </c>
      <c r="N1153" t="s">
        <v>50</v>
      </c>
      <c r="O1153">
        <v>0</v>
      </c>
      <c r="P1153" t="s">
        <v>1202</v>
      </c>
      <c r="Q1153" t="s">
        <v>2625</v>
      </c>
      <c r="R1153">
        <v>29.31</v>
      </c>
      <c r="S1153" s="5">
        <v>45480</v>
      </c>
      <c r="T1153" s="5">
        <v>45484</v>
      </c>
      <c r="U1153" t="s">
        <v>2924</v>
      </c>
    </row>
    <row r="1154" spans="1:21" x14ac:dyDescent="0.25">
      <c r="A1154" s="5">
        <v>45674</v>
      </c>
      <c r="B1154" s="7">
        <f>Table1[[#This Row],[TotalPrice]] * (1 - Table1[[#This Row],[Discount]])</f>
        <v>630.54742499999998</v>
      </c>
      <c r="C1154" s="7">
        <f>Table1[[#This Row],[Net Sales]] * 0.2</f>
        <v>126.10948500000001</v>
      </c>
      <c r="D1154" t="s">
        <v>20</v>
      </c>
      <c r="E1154" t="s">
        <v>26</v>
      </c>
      <c r="F1154">
        <v>9</v>
      </c>
      <c r="G1154">
        <v>96.97</v>
      </c>
      <c r="H1154" t="s">
        <v>34</v>
      </c>
      <c r="I1154" t="s">
        <v>36</v>
      </c>
      <c r="J1154" s="3">
        <v>0.15</v>
      </c>
      <c r="K1154" t="s">
        <v>42</v>
      </c>
      <c r="L1154">
        <v>741.82050000000004</v>
      </c>
      <c r="M1154" t="s">
        <v>45</v>
      </c>
      <c r="N1154" t="s">
        <v>50</v>
      </c>
      <c r="O1154">
        <v>1</v>
      </c>
      <c r="P1154" t="s">
        <v>1203</v>
      </c>
      <c r="Q1154" t="s">
        <v>2626</v>
      </c>
      <c r="R1154">
        <v>30.87</v>
      </c>
      <c r="S1154" s="5">
        <v>45674</v>
      </c>
      <c r="T1154" s="5">
        <v>45681</v>
      </c>
      <c r="U1154" t="s">
        <v>2923</v>
      </c>
    </row>
    <row r="1155" spans="1:21" x14ac:dyDescent="0.25">
      <c r="A1155" s="5">
        <v>45266</v>
      </c>
      <c r="B1155" s="7">
        <f>Table1[[#This Row],[TotalPrice]] * (1 - Table1[[#This Row],[Discount]])</f>
        <v>2678.0762999999997</v>
      </c>
      <c r="C1155" s="7">
        <f>Table1[[#This Row],[Net Sales]] * 0.2</f>
        <v>535.61525999999992</v>
      </c>
      <c r="D1155" t="s">
        <v>21</v>
      </c>
      <c r="E1155" t="s">
        <v>29</v>
      </c>
      <c r="F1155">
        <v>17</v>
      </c>
      <c r="G1155">
        <v>218.04</v>
      </c>
      <c r="H1155" t="s">
        <v>34</v>
      </c>
      <c r="I1155" t="s">
        <v>35</v>
      </c>
      <c r="J1155" s="3">
        <v>0.15</v>
      </c>
      <c r="K1155" t="s">
        <v>42</v>
      </c>
      <c r="L1155">
        <v>3150.6779999999999</v>
      </c>
      <c r="M1155" t="s">
        <v>47</v>
      </c>
      <c r="O1155">
        <v>0</v>
      </c>
      <c r="P1155" t="s">
        <v>1204</v>
      </c>
      <c r="Q1155" t="s">
        <v>2627</v>
      </c>
      <c r="R1155">
        <v>16</v>
      </c>
      <c r="S1155" s="5">
        <v>45266</v>
      </c>
      <c r="T1155" s="5">
        <v>45276</v>
      </c>
      <c r="U1155" t="s">
        <v>2924</v>
      </c>
    </row>
    <row r="1156" spans="1:21" x14ac:dyDescent="0.25">
      <c r="A1156" s="5">
        <v>44986</v>
      </c>
      <c r="B1156" s="7">
        <f>Table1[[#This Row],[TotalPrice]] * (1 - Table1[[#This Row],[Discount]])</f>
        <v>276.76065</v>
      </c>
      <c r="C1156" s="7">
        <f>Table1[[#This Row],[Net Sales]] * 0.2</f>
        <v>55.352130000000002</v>
      </c>
      <c r="D1156" t="s">
        <v>20</v>
      </c>
      <c r="E1156" t="s">
        <v>26</v>
      </c>
      <c r="F1156">
        <v>2</v>
      </c>
      <c r="G1156">
        <v>153.33000000000001</v>
      </c>
      <c r="H1156" t="s">
        <v>33</v>
      </c>
      <c r="I1156" t="s">
        <v>35</v>
      </c>
      <c r="J1156" s="3">
        <v>0.05</v>
      </c>
      <c r="K1156" t="s">
        <v>40</v>
      </c>
      <c r="L1156">
        <v>291.327</v>
      </c>
      <c r="M1156" t="s">
        <v>47</v>
      </c>
      <c r="O1156">
        <v>0</v>
      </c>
      <c r="P1156" t="s">
        <v>1205</v>
      </c>
      <c r="Q1156" t="s">
        <v>2628</v>
      </c>
      <c r="R1156">
        <v>31.55</v>
      </c>
      <c r="S1156" s="5">
        <v>44986</v>
      </c>
      <c r="T1156" s="5">
        <v>44989</v>
      </c>
      <c r="U1156" t="s">
        <v>2923</v>
      </c>
    </row>
    <row r="1157" spans="1:21" x14ac:dyDescent="0.25">
      <c r="A1157" s="5">
        <v>45699</v>
      </c>
      <c r="B1157" s="7">
        <f>Table1[[#This Row],[TotalPrice]] * (1 - Table1[[#This Row],[Discount]])</f>
        <v>2048.4575999999997</v>
      </c>
      <c r="C1157" s="7">
        <f>Table1[[#This Row],[Net Sales]] * 0.2</f>
        <v>409.69151999999997</v>
      </c>
      <c r="D1157" t="s">
        <v>21</v>
      </c>
      <c r="E1157" t="s">
        <v>30</v>
      </c>
      <c r="F1157">
        <v>8</v>
      </c>
      <c r="G1157">
        <v>316.12</v>
      </c>
      <c r="H1157" t="s">
        <v>31</v>
      </c>
      <c r="I1157" t="s">
        <v>35</v>
      </c>
      <c r="J1157" s="3">
        <v>0.1</v>
      </c>
      <c r="K1157" t="s">
        <v>41</v>
      </c>
      <c r="L1157">
        <v>2276.0639999999999</v>
      </c>
      <c r="M1157" t="s">
        <v>44</v>
      </c>
      <c r="N1157" t="s">
        <v>50</v>
      </c>
      <c r="O1157">
        <v>0</v>
      </c>
      <c r="P1157" t="s">
        <v>1206</v>
      </c>
      <c r="Q1157" t="s">
        <v>2629</v>
      </c>
      <c r="R1157">
        <v>6.28</v>
      </c>
      <c r="S1157" s="5">
        <v>45699</v>
      </c>
      <c r="T1157" s="5">
        <v>45703</v>
      </c>
      <c r="U1157" t="s">
        <v>2924</v>
      </c>
    </row>
    <row r="1158" spans="1:21" x14ac:dyDescent="0.25">
      <c r="A1158" s="5">
        <v>45097</v>
      </c>
      <c r="B1158" s="7">
        <f>Table1[[#This Row],[TotalPrice]] * (1 - Table1[[#This Row],[Discount]])</f>
        <v>1801.760025</v>
      </c>
      <c r="C1158" s="7">
        <f>Table1[[#This Row],[Net Sales]] * 0.2</f>
        <v>360.35200500000002</v>
      </c>
      <c r="D1158" t="s">
        <v>22</v>
      </c>
      <c r="E1158" t="s">
        <v>30</v>
      </c>
      <c r="F1158">
        <v>13</v>
      </c>
      <c r="G1158">
        <v>153.57</v>
      </c>
      <c r="H1158" t="s">
        <v>31</v>
      </c>
      <c r="I1158" t="s">
        <v>35</v>
      </c>
      <c r="J1158" s="3">
        <v>0.05</v>
      </c>
      <c r="K1158" t="s">
        <v>40</v>
      </c>
      <c r="L1158">
        <v>1896.5895</v>
      </c>
      <c r="M1158" t="s">
        <v>44</v>
      </c>
      <c r="O1158">
        <v>0</v>
      </c>
      <c r="P1158" t="s">
        <v>1207</v>
      </c>
      <c r="Q1158" t="s">
        <v>2630</v>
      </c>
      <c r="R1158">
        <v>27.98</v>
      </c>
      <c r="S1158" s="5">
        <v>45097</v>
      </c>
      <c r="T1158" s="5">
        <v>45102</v>
      </c>
      <c r="U1158" t="s">
        <v>2925</v>
      </c>
    </row>
    <row r="1159" spans="1:21" x14ac:dyDescent="0.25">
      <c r="A1159" s="5">
        <v>45351</v>
      </c>
      <c r="B1159" s="7">
        <f>Table1[[#This Row],[TotalPrice]] * (1 - Table1[[#This Row],[Discount]])</f>
        <v>1315.998425</v>
      </c>
      <c r="C1159" s="7">
        <f>Table1[[#This Row],[Net Sales]] * 0.2</f>
        <v>263.19968499999999</v>
      </c>
      <c r="D1159" t="s">
        <v>23</v>
      </c>
      <c r="E1159" t="s">
        <v>30</v>
      </c>
      <c r="F1159">
        <v>7</v>
      </c>
      <c r="G1159">
        <v>208.31</v>
      </c>
      <c r="H1159" t="s">
        <v>33</v>
      </c>
      <c r="I1159" t="s">
        <v>35</v>
      </c>
      <c r="J1159" s="3">
        <v>0.05</v>
      </c>
      <c r="K1159" t="s">
        <v>39</v>
      </c>
      <c r="L1159">
        <v>1385.2615000000001</v>
      </c>
      <c r="M1159" t="s">
        <v>43</v>
      </c>
      <c r="N1159" t="s">
        <v>49</v>
      </c>
      <c r="O1159">
        <v>0</v>
      </c>
      <c r="P1159" t="s">
        <v>1208</v>
      </c>
      <c r="Q1159" t="s">
        <v>2631</v>
      </c>
      <c r="R1159">
        <v>26.57</v>
      </c>
      <c r="S1159" s="5">
        <v>45351</v>
      </c>
      <c r="T1159" s="5">
        <v>45354</v>
      </c>
      <c r="U1159" t="s">
        <v>2926</v>
      </c>
    </row>
    <row r="1160" spans="1:21" x14ac:dyDescent="0.25">
      <c r="A1160" s="5">
        <v>45838</v>
      </c>
      <c r="B1160" s="7">
        <f>Table1[[#This Row],[TotalPrice]] * (1 - Table1[[#This Row],[Discount]])</f>
        <v>260.7552</v>
      </c>
      <c r="C1160" s="7">
        <f>Table1[[#This Row],[Net Sales]] * 0.2</f>
        <v>52.151040000000002</v>
      </c>
      <c r="D1160" t="s">
        <v>21</v>
      </c>
      <c r="E1160" t="s">
        <v>27</v>
      </c>
      <c r="F1160">
        <v>2</v>
      </c>
      <c r="G1160">
        <v>160.96</v>
      </c>
      <c r="H1160" t="s">
        <v>33</v>
      </c>
      <c r="I1160" t="s">
        <v>35</v>
      </c>
      <c r="J1160" s="3">
        <v>0.1</v>
      </c>
      <c r="K1160" t="s">
        <v>37</v>
      </c>
      <c r="L1160">
        <v>289.72800000000001</v>
      </c>
      <c r="M1160" t="s">
        <v>44</v>
      </c>
      <c r="N1160" t="s">
        <v>50</v>
      </c>
      <c r="O1160">
        <v>0</v>
      </c>
      <c r="P1160" t="s">
        <v>1209</v>
      </c>
      <c r="Q1160" t="s">
        <v>2632</v>
      </c>
      <c r="R1160">
        <v>44.97</v>
      </c>
      <c r="S1160" s="5">
        <v>45838</v>
      </c>
      <c r="T1160" s="5">
        <v>45843</v>
      </c>
      <c r="U1160" t="s">
        <v>2924</v>
      </c>
    </row>
    <row r="1161" spans="1:21" x14ac:dyDescent="0.25">
      <c r="A1161" s="5">
        <v>45523</v>
      </c>
      <c r="B1161" s="7">
        <f>Table1[[#This Row],[TotalPrice]] * (1 - Table1[[#This Row],[Discount]])</f>
        <v>908.26109999999994</v>
      </c>
      <c r="C1161" s="7">
        <f>Table1[[#This Row],[Net Sales]] * 0.2</f>
        <v>181.65222</v>
      </c>
      <c r="D1161" t="s">
        <v>21</v>
      </c>
      <c r="E1161" t="s">
        <v>28</v>
      </c>
      <c r="F1161">
        <v>3</v>
      </c>
      <c r="G1161">
        <v>373.77</v>
      </c>
      <c r="H1161" t="s">
        <v>31</v>
      </c>
      <c r="I1161" t="s">
        <v>36</v>
      </c>
      <c r="J1161" s="3">
        <v>0.1</v>
      </c>
      <c r="K1161" t="s">
        <v>37</v>
      </c>
      <c r="L1161">
        <v>1009.179</v>
      </c>
      <c r="M1161" t="s">
        <v>47</v>
      </c>
      <c r="N1161" t="s">
        <v>50</v>
      </c>
      <c r="O1161">
        <v>1</v>
      </c>
      <c r="P1161" t="s">
        <v>1210</v>
      </c>
      <c r="Q1161" t="s">
        <v>2633</v>
      </c>
      <c r="R1161">
        <v>17.62</v>
      </c>
      <c r="S1161" s="5">
        <v>45523</v>
      </c>
      <c r="T1161" s="5">
        <v>45529</v>
      </c>
      <c r="U1161" t="s">
        <v>2924</v>
      </c>
    </row>
    <row r="1162" spans="1:21" x14ac:dyDescent="0.25">
      <c r="A1162" s="5">
        <v>45306</v>
      </c>
      <c r="B1162" s="7">
        <f>Table1[[#This Row],[TotalPrice]] * (1 - Table1[[#This Row],[Discount]])</f>
        <v>3251.34</v>
      </c>
      <c r="C1162" s="7">
        <f>Table1[[#This Row],[Net Sales]] * 0.2</f>
        <v>650.26800000000003</v>
      </c>
      <c r="D1162" t="s">
        <v>22</v>
      </c>
      <c r="E1162" t="s">
        <v>30</v>
      </c>
      <c r="F1162">
        <v>20</v>
      </c>
      <c r="G1162">
        <v>200.7</v>
      </c>
      <c r="H1162" t="s">
        <v>34</v>
      </c>
      <c r="I1162" t="s">
        <v>36</v>
      </c>
      <c r="J1162" s="3">
        <v>0.1</v>
      </c>
      <c r="K1162" t="s">
        <v>38</v>
      </c>
      <c r="L1162">
        <v>3612.6</v>
      </c>
      <c r="M1162" t="s">
        <v>43</v>
      </c>
      <c r="N1162" t="s">
        <v>48</v>
      </c>
      <c r="O1162">
        <v>0</v>
      </c>
      <c r="P1162" t="s">
        <v>1211</v>
      </c>
      <c r="Q1162" t="s">
        <v>2634</v>
      </c>
      <c r="R1162">
        <v>29.6</v>
      </c>
      <c r="S1162" s="5">
        <v>45306</v>
      </c>
      <c r="T1162" s="5">
        <v>45310</v>
      </c>
      <c r="U1162" t="s">
        <v>2925</v>
      </c>
    </row>
    <row r="1163" spans="1:21" x14ac:dyDescent="0.25">
      <c r="A1163" s="5">
        <v>45512</v>
      </c>
      <c r="B1163" s="7">
        <f>Table1[[#This Row],[TotalPrice]] * (1 - Table1[[#This Row],[Discount]])</f>
        <v>1171.0135499999999</v>
      </c>
      <c r="C1163" s="7">
        <f>Table1[[#This Row],[Net Sales]] * 0.2</f>
        <v>234.20271</v>
      </c>
      <c r="D1163" t="s">
        <v>22</v>
      </c>
      <c r="E1163" t="s">
        <v>26</v>
      </c>
      <c r="F1163">
        <v>14</v>
      </c>
      <c r="G1163">
        <v>115.77</v>
      </c>
      <c r="H1163" t="s">
        <v>31</v>
      </c>
      <c r="I1163" t="s">
        <v>35</v>
      </c>
      <c r="J1163" s="3">
        <v>0.15</v>
      </c>
      <c r="K1163" t="s">
        <v>39</v>
      </c>
      <c r="L1163">
        <v>1377.663</v>
      </c>
      <c r="M1163" t="s">
        <v>45</v>
      </c>
      <c r="N1163" t="s">
        <v>49</v>
      </c>
      <c r="O1163">
        <v>1</v>
      </c>
      <c r="P1163" t="s">
        <v>1212</v>
      </c>
      <c r="Q1163" t="s">
        <v>2635</v>
      </c>
      <c r="R1163">
        <v>20.12</v>
      </c>
      <c r="S1163" s="5">
        <v>45512</v>
      </c>
      <c r="T1163" s="5">
        <v>45515</v>
      </c>
      <c r="U1163" t="s">
        <v>2925</v>
      </c>
    </row>
    <row r="1164" spans="1:21" x14ac:dyDescent="0.25">
      <c r="A1164" s="5">
        <v>45570</v>
      </c>
      <c r="B1164" s="7">
        <f>Table1[[#This Row],[TotalPrice]] * (1 - Table1[[#This Row],[Discount]])</f>
        <v>5204.1851999999999</v>
      </c>
      <c r="C1164" s="7">
        <f>Table1[[#This Row],[Net Sales]] * 0.2</f>
        <v>1040.8370400000001</v>
      </c>
      <c r="D1164" t="s">
        <v>23</v>
      </c>
      <c r="E1164" t="s">
        <v>25</v>
      </c>
      <c r="F1164">
        <v>12</v>
      </c>
      <c r="G1164">
        <v>535.41</v>
      </c>
      <c r="H1164" t="s">
        <v>33</v>
      </c>
      <c r="I1164" t="s">
        <v>36</v>
      </c>
      <c r="J1164" s="3">
        <v>0.1</v>
      </c>
      <c r="K1164" t="s">
        <v>39</v>
      </c>
      <c r="L1164">
        <v>5782.4279999999999</v>
      </c>
      <c r="M1164" t="s">
        <v>44</v>
      </c>
      <c r="O1164">
        <v>0</v>
      </c>
      <c r="P1164" t="s">
        <v>1213</v>
      </c>
      <c r="Q1164" t="s">
        <v>2636</v>
      </c>
      <c r="R1164">
        <v>27.82</v>
      </c>
      <c r="S1164" s="5">
        <v>45570</v>
      </c>
      <c r="T1164" s="5">
        <v>45572</v>
      </c>
      <c r="U1164" t="s">
        <v>2926</v>
      </c>
    </row>
    <row r="1165" spans="1:21" x14ac:dyDescent="0.25">
      <c r="A1165" s="5">
        <v>45304</v>
      </c>
      <c r="B1165" s="7">
        <f>Table1[[#This Row],[TotalPrice]] * (1 - Table1[[#This Row],[Discount]])</f>
        <v>1006.8947999999999</v>
      </c>
      <c r="C1165" s="7">
        <f>Table1[[#This Row],[Net Sales]] * 0.2</f>
        <v>201.37896000000001</v>
      </c>
      <c r="D1165" t="s">
        <v>20</v>
      </c>
      <c r="E1165" t="s">
        <v>26</v>
      </c>
      <c r="F1165">
        <v>12</v>
      </c>
      <c r="G1165">
        <v>103.59</v>
      </c>
      <c r="H1165" t="s">
        <v>32</v>
      </c>
      <c r="I1165" t="s">
        <v>36</v>
      </c>
      <c r="J1165" s="3">
        <v>0.1</v>
      </c>
      <c r="K1165" t="s">
        <v>39</v>
      </c>
      <c r="L1165">
        <v>1118.7719999999999</v>
      </c>
      <c r="M1165" t="s">
        <v>46</v>
      </c>
      <c r="N1165" t="s">
        <v>48</v>
      </c>
      <c r="O1165">
        <v>0</v>
      </c>
      <c r="P1165" t="s">
        <v>1214</v>
      </c>
      <c r="Q1165" t="s">
        <v>2637</v>
      </c>
      <c r="R1165">
        <v>48.11</v>
      </c>
      <c r="S1165" s="5">
        <v>45304</v>
      </c>
      <c r="T1165" s="5">
        <v>45312</v>
      </c>
      <c r="U1165" t="s">
        <v>2923</v>
      </c>
    </row>
    <row r="1166" spans="1:21" x14ac:dyDescent="0.25">
      <c r="A1166" s="5">
        <v>45014</v>
      </c>
      <c r="B1166" s="7">
        <f>Table1[[#This Row],[TotalPrice]] * (1 - Table1[[#This Row],[Discount]])</f>
        <v>2864.3184000000001</v>
      </c>
      <c r="C1166" s="7">
        <f>Table1[[#This Row],[Net Sales]] * 0.2</f>
        <v>572.86368000000004</v>
      </c>
      <c r="D1166" t="s">
        <v>23</v>
      </c>
      <c r="E1166" t="s">
        <v>24</v>
      </c>
      <c r="F1166">
        <v>18</v>
      </c>
      <c r="G1166">
        <v>176.32</v>
      </c>
      <c r="H1166" t="s">
        <v>31</v>
      </c>
      <c r="I1166" t="s">
        <v>35</v>
      </c>
      <c r="J1166" s="3">
        <v>0.05</v>
      </c>
      <c r="K1166" t="s">
        <v>41</v>
      </c>
      <c r="L1166">
        <v>3015.0720000000001</v>
      </c>
      <c r="M1166" t="s">
        <v>46</v>
      </c>
      <c r="O1166">
        <v>0</v>
      </c>
      <c r="P1166" t="s">
        <v>1215</v>
      </c>
      <c r="Q1166" t="s">
        <v>2638</v>
      </c>
      <c r="R1166">
        <v>36.35</v>
      </c>
      <c r="S1166" s="5">
        <v>45014</v>
      </c>
      <c r="T1166" s="5">
        <v>45020</v>
      </c>
      <c r="U1166" t="s">
        <v>2926</v>
      </c>
    </row>
    <row r="1167" spans="1:21" x14ac:dyDescent="0.25">
      <c r="A1167" s="5">
        <v>45218</v>
      </c>
      <c r="B1167" s="7">
        <f>Table1[[#This Row],[TotalPrice]] * (1 - Table1[[#This Row],[Discount]])</f>
        <v>455.38200000000006</v>
      </c>
      <c r="C1167" s="7">
        <f>Table1[[#This Row],[Net Sales]] * 0.2</f>
        <v>91.076400000000021</v>
      </c>
      <c r="D1167" t="s">
        <v>21</v>
      </c>
      <c r="E1167" t="s">
        <v>30</v>
      </c>
      <c r="F1167">
        <v>5</v>
      </c>
      <c r="G1167">
        <v>112.44</v>
      </c>
      <c r="H1167" t="s">
        <v>34</v>
      </c>
      <c r="I1167" t="s">
        <v>36</v>
      </c>
      <c r="J1167" s="3">
        <v>0.1</v>
      </c>
      <c r="K1167" t="s">
        <v>42</v>
      </c>
      <c r="L1167">
        <v>505.98000000000008</v>
      </c>
      <c r="M1167" t="s">
        <v>45</v>
      </c>
      <c r="O1167">
        <v>1</v>
      </c>
      <c r="P1167" t="s">
        <v>1216</v>
      </c>
      <c r="Q1167" t="s">
        <v>1703</v>
      </c>
      <c r="R1167">
        <v>7.46</v>
      </c>
      <c r="S1167" s="5">
        <v>45218</v>
      </c>
      <c r="T1167" s="5">
        <v>45222</v>
      </c>
      <c r="U1167" t="s">
        <v>2924</v>
      </c>
    </row>
    <row r="1168" spans="1:21" x14ac:dyDescent="0.25">
      <c r="A1168" s="5">
        <v>45222</v>
      </c>
      <c r="B1168" s="7">
        <f>Table1[[#This Row],[TotalPrice]] * (1 - Table1[[#This Row],[Discount]])</f>
        <v>386</v>
      </c>
      <c r="C1168" s="7">
        <f>Table1[[#This Row],[Net Sales]] * 0.2</f>
        <v>77.2</v>
      </c>
      <c r="D1168" t="s">
        <v>23</v>
      </c>
      <c r="E1168" t="s">
        <v>27</v>
      </c>
      <c r="F1168">
        <v>20</v>
      </c>
      <c r="G1168">
        <v>19.3</v>
      </c>
      <c r="H1168" t="s">
        <v>33</v>
      </c>
      <c r="I1168" t="s">
        <v>35</v>
      </c>
      <c r="J1168" s="3">
        <v>0</v>
      </c>
      <c r="K1168" t="s">
        <v>42</v>
      </c>
      <c r="L1168">
        <v>386</v>
      </c>
      <c r="M1168" t="s">
        <v>46</v>
      </c>
      <c r="N1168" t="s">
        <v>49</v>
      </c>
      <c r="O1168">
        <v>0</v>
      </c>
      <c r="P1168" t="s">
        <v>1217</v>
      </c>
      <c r="Q1168" t="s">
        <v>2639</v>
      </c>
      <c r="R1168">
        <v>47.23</v>
      </c>
      <c r="S1168" s="5">
        <v>45222</v>
      </c>
      <c r="T1168" s="5">
        <v>45231</v>
      </c>
      <c r="U1168" t="s">
        <v>2926</v>
      </c>
    </row>
    <row r="1169" spans="1:21" x14ac:dyDescent="0.25">
      <c r="A1169" s="5">
        <v>45009</v>
      </c>
      <c r="B1169" s="7">
        <f>Table1[[#This Row],[TotalPrice]] * (1 - Table1[[#This Row],[Discount]])</f>
        <v>1893.4359749999999</v>
      </c>
      <c r="C1169" s="7">
        <f>Table1[[#This Row],[Net Sales]] * 0.2</f>
        <v>378.68719499999997</v>
      </c>
      <c r="D1169" t="s">
        <v>20</v>
      </c>
      <c r="E1169" t="s">
        <v>25</v>
      </c>
      <c r="F1169">
        <v>9</v>
      </c>
      <c r="G1169">
        <v>233.11</v>
      </c>
      <c r="H1169" t="s">
        <v>31</v>
      </c>
      <c r="I1169" t="s">
        <v>36</v>
      </c>
      <c r="J1169" s="3">
        <v>0.05</v>
      </c>
      <c r="K1169" t="s">
        <v>37</v>
      </c>
      <c r="L1169">
        <v>1993.0905</v>
      </c>
      <c r="M1169" t="s">
        <v>46</v>
      </c>
      <c r="N1169" t="s">
        <v>50</v>
      </c>
      <c r="O1169">
        <v>0</v>
      </c>
      <c r="P1169" t="s">
        <v>1218</v>
      </c>
      <c r="Q1169" t="s">
        <v>2640</v>
      </c>
      <c r="R1169">
        <v>31.43</v>
      </c>
      <c r="S1169" s="5">
        <v>45009</v>
      </c>
      <c r="T1169" s="5">
        <v>45013</v>
      </c>
      <c r="U1169" t="s">
        <v>2923</v>
      </c>
    </row>
    <row r="1170" spans="1:21" x14ac:dyDescent="0.25">
      <c r="A1170" s="5">
        <v>45513</v>
      </c>
      <c r="B1170" s="7">
        <f>Table1[[#This Row],[TotalPrice]] * (1 - Table1[[#This Row],[Discount]])</f>
        <v>816.54060000000004</v>
      </c>
      <c r="C1170" s="7">
        <f>Table1[[#This Row],[Net Sales]] * 0.2</f>
        <v>163.30812000000003</v>
      </c>
      <c r="D1170" t="s">
        <v>23</v>
      </c>
      <c r="E1170" t="s">
        <v>30</v>
      </c>
      <c r="F1170">
        <v>17</v>
      </c>
      <c r="G1170">
        <v>66.48</v>
      </c>
      <c r="H1170" t="s">
        <v>33</v>
      </c>
      <c r="I1170" t="s">
        <v>35</v>
      </c>
      <c r="J1170" s="3">
        <v>0.15</v>
      </c>
      <c r="K1170" t="s">
        <v>37</v>
      </c>
      <c r="L1170">
        <v>960.63600000000008</v>
      </c>
      <c r="M1170" t="s">
        <v>44</v>
      </c>
      <c r="N1170" t="s">
        <v>50</v>
      </c>
      <c r="O1170">
        <v>1</v>
      </c>
      <c r="P1170" t="s">
        <v>1219</v>
      </c>
      <c r="Q1170" t="s">
        <v>2641</v>
      </c>
      <c r="R1170">
        <v>10.79</v>
      </c>
      <c r="S1170" s="5">
        <v>45513</v>
      </c>
      <c r="T1170" s="5">
        <v>45518</v>
      </c>
      <c r="U1170" t="s">
        <v>2926</v>
      </c>
    </row>
    <row r="1171" spans="1:21" x14ac:dyDescent="0.25">
      <c r="A1171" s="5">
        <v>45042</v>
      </c>
      <c r="B1171" s="7">
        <f>Table1[[#This Row],[TotalPrice]] * (1 - Table1[[#This Row],[Discount]])</f>
        <v>6948.7550999999994</v>
      </c>
      <c r="C1171" s="7">
        <f>Table1[[#This Row],[Net Sales]] * 0.2</f>
        <v>1389.7510199999999</v>
      </c>
      <c r="D1171" t="s">
        <v>20</v>
      </c>
      <c r="E1171" t="s">
        <v>24</v>
      </c>
      <c r="F1171">
        <v>17</v>
      </c>
      <c r="G1171">
        <v>504.63</v>
      </c>
      <c r="H1171" t="s">
        <v>32</v>
      </c>
      <c r="I1171" t="s">
        <v>35</v>
      </c>
      <c r="J1171" s="3">
        <v>0.1</v>
      </c>
      <c r="K1171" t="s">
        <v>40</v>
      </c>
      <c r="L1171">
        <v>7720.838999999999</v>
      </c>
      <c r="M1171" t="s">
        <v>43</v>
      </c>
      <c r="N1171" t="s">
        <v>50</v>
      </c>
      <c r="O1171">
        <v>1</v>
      </c>
      <c r="P1171" t="s">
        <v>1220</v>
      </c>
      <c r="Q1171" t="s">
        <v>2642</v>
      </c>
      <c r="R1171">
        <v>48.33</v>
      </c>
      <c r="S1171" s="5">
        <v>45042</v>
      </c>
      <c r="T1171" s="5">
        <v>45052</v>
      </c>
      <c r="U1171" t="s">
        <v>2923</v>
      </c>
    </row>
    <row r="1172" spans="1:21" x14ac:dyDescent="0.25">
      <c r="A1172" s="5">
        <v>45355</v>
      </c>
      <c r="B1172" s="7">
        <f>Table1[[#This Row],[TotalPrice]] * (1 - Table1[[#This Row],[Discount]])</f>
        <v>971.3066</v>
      </c>
      <c r="C1172" s="7">
        <f>Table1[[#This Row],[Net Sales]] * 0.2</f>
        <v>194.26132000000001</v>
      </c>
      <c r="D1172" t="s">
        <v>23</v>
      </c>
      <c r="E1172" t="s">
        <v>29</v>
      </c>
      <c r="F1172">
        <v>11</v>
      </c>
      <c r="G1172">
        <v>97.84</v>
      </c>
      <c r="H1172" t="s">
        <v>31</v>
      </c>
      <c r="I1172" t="s">
        <v>36</v>
      </c>
      <c r="J1172" s="3">
        <v>0.05</v>
      </c>
      <c r="K1172" t="s">
        <v>38</v>
      </c>
      <c r="L1172">
        <v>1022.428</v>
      </c>
      <c r="M1172" t="s">
        <v>46</v>
      </c>
      <c r="N1172" t="s">
        <v>49</v>
      </c>
      <c r="O1172">
        <v>1</v>
      </c>
      <c r="P1172" t="s">
        <v>1221</v>
      </c>
      <c r="Q1172" t="s">
        <v>2643</v>
      </c>
      <c r="R1172">
        <v>45.97</v>
      </c>
      <c r="S1172" s="5">
        <v>45355</v>
      </c>
      <c r="T1172" s="5">
        <v>45363</v>
      </c>
      <c r="U1172" t="s">
        <v>2926</v>
      </c>
    </row>
    <row r="1173" spans="1:21" x14ac:dyDescent="0.25">
      <c r="A1173" s="5">
        <v>44971</v>
      </c>
      <c r="B1173" s="7">
        <f>Table1[[#This Row],[TotalPrice]] * (1 - Table1[[#This Row],[Discount]])</f>
        <v>2367.61805</v>
      </c>
      <c r="C1173" s="7">
        <f>Table1[[#This Row],[Net Sales]] * 0.2</f>
        <v>473.52361000000002</v>
      </c>
      <c r="D1173" t="s">
        <v>19</v>
      </c>
      <c r="E1173" t="s">
        <v>29</v>
      </c>
      <c r="F1173">
        <v>7</v>
      </c>
      <c r="G1173">
        <v>468.14</v>
      </c>
      <c r="H1173" t="s">
        <v>32</v>
      </c>
      <c r="I1173" t="s">
        <v>36</v>
      </c>
      <c r="J1173" s="3">
        <v>0.15</v>
      </c>
      <c r="K1173" t="s">
        <v>42</v>
      </c>
      <c r="L1173">
        <v>2785.433</v>
      </c>
      <c r="M1173" t="s">
        <v>47</v>
      </c>
      <c r="N1173" t="s">
        <v>49</v>
      </c>
      <c r="O1173">
        <v>0</v>
      </c>
      <c r="P1173" t="s">
        <v>1222</v>
      </c>
      <c r="Q1173" t="s">
        <v>2644</v>
      </c>
      <c r="R1173">
        <v>47.56</v>
      </c>
      <c r="S1173" s="5">
        <v>44971</v>
      </c>
      <c r="T1173" s="5">
        <v>44974</v>
      </c>
      <c r="U1173" t="s">
        <v>2922</v>
      </c>
    </row>
    <row r="1174" spans="1:21" x14ac:dyDescent="0.25">
      <c r="A1174" s="5">
        <v>45044</v>
      </c>
      <c r="B1174" s="7">
        <f>Table1[[#This Row],[TotalPrice]] * (1 - Table1[[#This Row],[Discount]])</f>
        <v>8604.2544999999991</v>
      </c>
      <c r="C1174" s="7">
        <f>Table1[[#This Row],[Net Sales]] * 0.2</f>
        <v>1720.8508999999999</v>
      </c>
      <c r="D1174" t="s">
        <v>23</v>
      </c>
      <c r="E1174" t="s">
        <v>29</v>
      </c>
      <c r="F1174">
        <v>20</v>
      </c>
      <c r="G1174">
        <v>476.69</v>
      </c>
      <c r="H1174" t="s">
        <v>31</v>
      </c>
      <c r="I1174" t="s">
        <v>35</v>
      </c>
      <c r="J1174" s="3">
        <v>0.05</v>
      </c>
      <c r="K1174" t="s">
        <v>42</v>
      </c>
      <c r="L1174">
        <v>9057.1099999999988</v>
      </c>
      <c r="M1174" t="s">
        <v>43</v>
      </c>
      <c r="N1174" t="s">
        <v>50</v>
      </c>
      <c r="O1174">
        <v>0</v>
      </c>
      <c r="P1174" t="s">
        <v>1223</v>
      </c>
      <c r="Q1174" t="s">
        <v>2645</v>
      </c>
      <c r="R1174">
        <v>10.199999999999999</v>
      </c>
      <c r="S1174" s="5">
        <v>45044</v>
      </c>
      <c r="T1174" s="5">
        <v>45049</v>
      </c>
      <c r="U1174" t="s">
        <v>2926</v>
      </c>
    </row>
    <row r="1175" spans="1:21" x14ac:dyDescent="0.25">
      <c r="A1175" s="5">
        <v>45354</v>
      </c>
      <c r="B1175" s="7">
        <f>Table1[[#This Row],[TotalPrice]] * (1 - Table1[[#This Row],[Discount]])</f>
        <v>232.25484999999998</v>
      </c>
      <c r="C1175" s="7">
        <f>Table1[[#This Row],[Net Sales]] * 0.2</f>
        <v>46.450969999999998</v>
      </c>
      <c r="D1175" t="s">
        <v>21</v>
      </c>
      <c r="E1175" t="s">
        <v>25</v>
      </c>
      <c r="F1175">
        <v>2</v>
      </c>
      <c r="G1175">
        <v>160.72999999999999</v>
      </c>
      <c r="H1175" t="s">
        <v>32</v>
      </c>
      <c r="I1175" t="s">
        <v>35</v>
      </c>
      <c r="J1175" s="3">
        <v>0.15</v>
      </c>
      <c r="K1175" t="s">
        <v>39</v>
      </c>
      <c r="L1175">
        <v>273.24099999999999</v>
      </c>
      <c r="M1175" t="s">
        <v>47</v>
      </c>
      <c r="N1175" t="s">
        <v>48</v>
      </c>
      <c r="O1175">
        <v>0</v>
      </c>
      <c r="P1175" t="s">
        <v>1224</v>
      </c>
      <c r="Q1175" t="s">
        <v>2646</v>
      </c>
      <c r="R1175">
        <v>20.18</v>
      </c>
      <c r="S1175" s="5">
        <v>45354</v>
      </c>
      <c r="T1175" s="5">
        <v>45362</v>
      </c>
      <c r="U1175" t="s">
        <v>2924</v>
      </c>
    </row>
    <row r="1176" spans="1:21" x14ac:dyDescent="0.25">
      <c r="A1176" s="5">
        <v>45539</v>
      </c>
      <c r="B1176" s="7">
        <f>Table1[[#This Row],[TotalPrice]] * (1 - Table1[[#This Row],[Discount]])</f>
        <v>1488.9424499999998</v>
      </c>
      <c r="C1176" s="7">
        <f>Table1[[#This Row],[Net Sales]] * 0.2</f>
        <v>297.78848999999997</v>
      </c>
      <c r="D1176" t="s">
        <v>23</v>
      </c>
      <c r="E1176" t="s">
        <v>29</v>
      </c>
      <c r="F1176">
        <v>9</v>
      </c>
      <c r="G1176">
        <v>228.98</v>
      </c>
      <c r="H1176" t="s">
        <v>34</v>
      </c>
      <c r="I1176" t="s">
        <v>36</v>
      </c>
      <c r="J1176" s="3">
        <v>0.15</v>
      </c>
      <c r="K1176" t="s">
        <v>39</v>
      </c>
      <c r="L1176">
        <v>1751.6969999999999</v>
      </c>
      <c r="M1176" t="s">
        <v>43</v>
      </c>
      <c r="N1176" t="s">
        <v>50</v>
      </c>
      <c r="O1176">
        <v>0</v>
      </c>
      <c r="P1176" t="s">
        <v>1225</v>
      </c>
      <c r="Q1176" t="s">
        <v>2647</v>
      </c>
      <c r="R1176">
        <v>45.79</v>
      </c>
      <c r="S1176" s="5">
        <v>45539</v>
      </c>
      <c r="T1176" s="5">
        <v>45543</v>
      </c>
      <c r="U1176" t="s">
        <v>2926</v>
      </c>
    </row>
    <row r="1177" spans="1:21" x14ac:dyDescent="0.25">
      <c r="A1177" s="5">
        <v>45656</v>
      </c>
      <c r="B1177" s="7">
        <f>Table1[[#This Row],[TotalPrice]] * (1 - Table1[[#This Row],[Discount]])</f>
        <v>6393.5</v>
      </c>
      <c r="C1177" s="7">
        <f>Table1[[#This Row],[Net Sales]] * 0.2</f>
        <v>1278.7</v>
      </c>
      <c r="D1177" t="s">
        <v>19</v>
      </c>
      <c r="E1177" t="s">
        <v>29</v>
      </c>
      <c r="F1177">
        <v>19</v>
      </c>
      <c r="G1177">
        <v>336.5</v>
      </c>
      <c r="H1177" t="s">
        <v>31</v>
      </c>
      <c r="I1177" t="s">
        <v>35</v>
      </c>
      <c r="J1177" s="3">
        <v>0</v>
      </c>
      <c r="K1177" t="s">
        <v>38</v>
      </c>
      <c r="L1177">
        <v>6393.5</v>
      </c>
      <c r="M1177" t="s">
        <v>43</v>
      </c>
      <c r="N1177" t="s">
        <v>50</v>
      </c>
      <c r="O1177">
        <v>0</v>
      </c>
      <c r="P1177" t="s">
        <v>1226</v>
      </c>
      <c r="Q1177" t="s">
        <v>2648</v>
      </c>
      <c r="R1177">
        <v>27.43</v>
      </c>
      <c r="S1177" s="5">
        <v>45656</v>
      </c>
      <c r="T1177" s="5">
        <v>45664</v>
      </c>
      <c r="U1177" t="s">
        <v>2922</v>
      </c>
    </row>
    <row r="1178" spans="1:21" x14ac:dyDescent="0.25">
      <c r="A1178" s="5">
        <v>45332</v>
      </c>
      <c r="B1178" s="7">
        <f>Table1[[#This Row],[TotalPrice]] * (1 - Table1[[#This Row],[Discount]])</f>
        <v>7408.62</v>
      </c>
      <c r="C1178" s="7">
        <f>Table1[[#This Row],[Net Sales]] * 0.2</f>
        <v>1481.7240000000002</v>
      </c>
      <c r="D1178" t="s">
        <v>19</v>
      </c>
      <c r="E1178" t="s">
        <v>30</v>
      </c>
      <c r="F1178">
        <v>18</v>
      </c>
      <c r="G1178">
        <v>411.59</v>
      </c>
      <c r="H1178" t="s">
        <v>32</v>
      </c>
      <c r="I1178" t="s">
        <v>35</v>
      </c>
      <c r="J1178" s="3">
        <v>0</v>
      </c>
      <c r="K1178" t="s">
        <v>42</v>
      </c>
      <c r="L1178">
        <v>7408.62</v>
      </c>
      <c r="M1178" t="s">
        <v>45</v>
      </c>
      <c r="N1178" t="s">
        <v>50</v>
      </c>
      <c r="O1178">
        <v>0</v>
      </c>
      <c r="P1178" t="s">
        <v>1227</v>
      </c>
      <c r="Q1178" t="s">
        <v>2649</v>
      </c>
      <c r="R1178">
        <v>9.6199999999999992</v>
      </c>
      <c r="S1178" s="5">
        <v>45332</v>
      </c>
      <c r="T1178" s="5">
        <v>45338</v>
      </c>
      <c r="U1178" t="s">
        <v>2922</v>
      </c>
    </row>
    <row r="1179" spans="1:21" x14ac:dyDescent="0.25">
      <c r="A1179" s="5">
        <v>45176</v>
      </c>
      <c r="B1179" s="7">
        <f>Table1[[#This Row],[TotalPrice]] * (1 - Table1[[#This Row],[Discount]])</f>
        <v>311.75152500000002</v>
      </c>
      <c r="C1179" s="7">
        <f>Table1[[#This Row],[Net Sales]] * 0.2</f>
        <v>62.350305000000006</v>
      </c>
      <c r="D1179" t="s">
        <v>22</v>
      </c>
      <c r="E1179" t="s">
        <v>30</v>
      </c>
      <c r="F1179">
        <v>1</v>
      </c>
      <c r="G1179">
        <v>431.49</v>
      </c>
      <c r="H1179" t="s">
        <v>33</v>
      </c>
      <c r="I1179" t="s">
        <v>35</v>
      </c>
      <c r="J1179" s="3">
        <v>0.15</v>
      </c>
      <c r="K1179" t="s">
        <v>38</v>
      </c>
      <c r="L1179">
        <v>366.76650000000001</v>
      </c>
      <c r="M1179" t="s">
        <v>47</v>
      </c>
      <c r="N1179" t="s">
        <v>49</v>
      </c>
      <c r="O1179">
        <v>0</v>
      </c>
      <c r="P1179" t="s">
        <v>1228</v>
      </c>
      <c r="Q1179" t="s">
        <v>2650</v>
      </c>
      <c r="R1179">
        <v>17.53</v>
      </c>
      <c r="S1179" s="5">
        <v>45176</v>
      </c>
      <c r="T1179" s="5">
        <v>45184</v>
      </c>
      <c r="U1179" t="s">
        <v>2925</v>
      </c>
    </row>
    <row r="1180" spans="1:21" x14ac:dyDescent="0.25">
      <c r="A1180" s="5">
        <v>45149</v>
      </c>
      <c r="B1180" s="7">
        <f>Table1[[#This Row],[TotalPrice]] * (1 - Table1[[#This Row],[Discount]])</f>
        <v>8917.02</v>
      </c>
      <c r="C1180" s="7">
        <f>Table1[[#This Row],[Net Sales]] * 0.2</f>
        <v>1783.4040000000002</v>
      </c>
      <c r="D1180" t="s">
        <v>19</v>
      </c>
      <c r="E1180" t="s">
        <v>24</v>
      </c>
      <c r="F1180">
        <v>18</v>
      </c>
      <c r="G1180">
        <v>495.39</v>
      </c>
      <c r="H1180" t="s">
        <v>32</v>
      </c>
      <c r="I1180" t="s">
        <v>35</v>
      </c>
      <c r="J1180" s="3">
        <v>0</v>
      </c>
      <c r="K1180" t="s">
        <v>40</v>
      </c>
      <c r="L1180">
        <v>8917.02</v>
      </c>
      <c r="M1180" t="s">
        <v>44</v>
      </c>
      <c r="N1180" t="s">
        <v>49</v>
      </c>
      <c r="O1180">
        <v>0</v>
      </c>
      <c r="P1180" t="s">
        <v>1229</v>
      </c>
      <c r="Q1180" t="s">
        <v>2651</v>
      </c>
      <c r="R1180">
        <v>14.88</v>
      </c>
      <c r="S1180" s="5">
        <v>45149</v>
      </c>
      <c r="T1180" s="5">
        <v>45153</v>
      </c>
      <c r="U1180" t="s">
        <v>2922</v>
      </c>
    </row>
    <row r="1181" spans="1:21" x14ac:dyDescent="0.25">
      <c r="A1181" s="5">
        <v>44997</v>
      </c>
      <c r="B1181" s="7">
        <f>Table1[[#This Row],[TotalPrice]] * (1 - Table1[[#This Row],[Discount]])</f>
        <v>483.73200000000003</v>
      </c>
      <c r="C1181" s="7">
        <f>Table1[[#This Row],[Net Sales]] * 0.2</f>
        <v>96.746400000000008</v>
      </c>
      <c r="D1181" t="s">
        <v>23</v>
      </c>
      <c r="E1181" t="s">
        <v>25</v>
      </c>
      <c r="F1181">
        <v>4</v>
      </c>
      <c r="G1181">
        <v>149.30000000000001</v>
      </c>
      <c r="H1181" t="s">
        <v>32</v>
      </c>
      <c r="I1181" t="s">
        <v>35</v>
      </c>
      <c r="J1181" s="3">
        <v>0.1</v>
      </c>
      <c r="K1181" t="s">
        <v>41</v>
      </c>
      <c r="L1181">
        <v>537.48</v>
      </c>
      <c r="M1181" t="s">
        <v>46</v>
      </c>
      <c r="N1181" t="s">
        <v>48</v>
      </c>
      <c r="O1181">
        <v>0</v>
      </c>
      <c r="P1181" t="s">
        <v>1230</v>
      </c>
      <c r="Q1181" t="s">
        <v>2652</v>
      </c>
      <c r="R1181">
        <v>47.84</v>
      </c>
      <c r="S1181" s="5">
        <v>44997</v>
      </c>
      <c r="T1181" s="5">
        <v>45001</v>
      </c>
      <c r="U1181" t="s">
        <v>2926</v>
      </c>
    </row>
    <row r="1182" spans="1:21" x14ac:dyDescent="0.25">
      <c r="A1182" s="5">
        <v>45014</v>
      </c>
      <c r="B1182" s="7">
        <f>Table1[[#This Row],[TotalPrice]] * (1 - Table1[[#This Row],[Discount]])</f>
        <v>2623.9626000000003</v>
      </c>
      <c r="C1182" s="7">
        <f>Table1[[#This Row],[Net Sales]] * 0.2</f>
        <v>524.79252000000008</v>
      </c>
      <c r="D1182" t="s">
        <v>22</v>
      </c>
      <c r="E1182" t="s">
        <v>26</v>
      </c>
      <c r="F1182">
        <v>18</v>
      </c>
      <c r="G1182">
        <v>179.97</v>
      </c>
      <c r="H1182" t="s">
        <v>33</v>
      </c>
      <c r="I1182" t="s">
        <v>35</v>
      </c>
      <c r="J1182" s="3">
        <v>0.1</v>
      </c>
      <c r="K1182" t="s">
        <v>37</v>
      </c>
      <c r="L1182">
        <v>2915.5140000000001</v>
      </c>
      <c r="M1182" t="s">
        <v>47</v>
      </c>
      <c r="N1182" t="s">
        <v>49</v>
      </c>
      <c r="O1182">
        <v>0</v>
      </c>
      <c r="P1182" t="s">
        <v>1231</v>
      </c>
      <c r="Q1182" t="s">
        <v>2653</v>
      </c>
      <c r="R1182">
        <v>22.15</v>
      </c>
      <c r="S1182" s="5">
        <v>45014</v>
      </c>
      <c r="T1182" s="5">
        <v>45016</v>
      </c>
      <c r="U1182" t="s">
        <v>2925</v>
      </c>
    </row>
    <row r="1183" spans="1:21" x14ac:dyDescent="0.25">
      <c r="A1183" s="5">
        <v>45705</v>
      </c>
      <c r="B1183" s="7">
        <f>Table1[[#This Row],[TotalPrice]] * (1 - Table1[[#This Row],[Discount]])</f>
        <v>3783.7673499999996</v>
      </c>
      <c r="C1183" s="7">
        <f>Table1[[#This Row],[Net Sales]] * 0.2</f>
        <v>756.75346999999999</v>
      </c>
      <c r="D1183" t="s">
        <v>20</v>
      </c>
      <c r="E1183" t="s">
        <v>27</v>
      </c>
      <c r="F1183">
        <v>11</v>
      </c>
      <c r="G1183">
        <v>381.14</v>
      </c>
      <c r="H1183" t="s">
        <v>31</v>
      </c>
      <c r="I1183" t="s">
        <v>36</v>
      </c>
      <c r="J1183" s="3">
        <v>0.05</v>
      </c>
      <c r="K1183" t="s">
        <v>39</v>
      </c>
      <c r="L1183">
        <v>3982.913</v>
      </c>
      <c r="M1183" t="s">
        <v>44</v>
      </c>
      <c r="N1183" t="s">
        <v>48</v>
      </c>
      <c r="O1183">
        <v>0</v>
      </c>
      <c r="P1183" t="s">
        <v>1232</v>
      </c>
      <c r="Q1183" t="s">
        <v>2654</v>
      </c>
      <c r="R1183">
        <v>32.83</v>
      </c>
      <c r="S1183" s="5">
        <v>45705</v>
      </c>
      <c r="T1183" s="5">
        <v>45715</v>
      </c>
      <c r="U1183" t="s">
        <v>2923</v>
      </c>
    </row>
    <row r="1184" spans="1:21" x14ac:dyDescent="0.25">
      <c r="A1184" s="5">
        <v>45298</v>
      </c>
      <c r="B1184" s="7">
        <f>Table1[[#This Row],[TotalPrice]] * (1 - Table1[[#This Row],[Discount]])</f>
        <v>2051.4727499999999</v>
      </c>
      <c r="C1184" s="7">
        <f>Table1[[#This Row],[Net Sales]] * 0.2</f>
        <v>410.29455000000002</v>
      </c>
      <c r="D1184" t="s">
        <v>21</v>
      </c>
      <c r="E1184" t="s">
        <v>27</v>
      </c>
      <c r="F1184">
        <v>5</v>
      </c>
      <c r="G1184">
        <v>454.62</v>
      </c>
      <c r="H1184" t="s">
        <v>33</v>
      </c>
      <c r="I1184" t="s">
        <v>35</v>
      </c>
      <c r="J1184" s="3">
        <v>0.05</v>
      </c>
      <c r="K1184" t="s">
        <v>41</v>
      </c>
      <c r="L1184">
        <v>2159.4450000000002</v>
      </c>
      <c r="M1184" t="s">
        <v>44</v>
      </c>
      <c r="O1184">
        <v>0</v>
      </c>
      <c r="P1184" t="s">
        <v>1233</v>
      </c>
      <c r="Q1184" t="s">
        <v>2655</v>
      </c>
      <c r="R1184">
        <v>10.19</v>
      </c>
      <c r="S1184" s="5">
        <v>45298</v>
      </c>
      <c r="T1184" s="5">
        <v>45306</v>
      </c>
      <c r="U1184" t="s">
        <v>2924</v>
      </c>
    </row>
    <row r="1185" spans="1:21" x14ac:dyDescent="0.25">
      <c r="A1185" s="5">
        <v>44940</v>
      </c>
      <c r="B1185" s="7">
        <f>Table1[[#This Row],[TotalPrice]] * (1 - Table1[[#This Row],[Discount]])</f>
        <v>3119.7312000000002</v>
      </c>
      <c r="C1185" s="7">
        <f>Table1[[#This Row],[Net Sales]] * 0.2</f>
        <v>623.9462400000001</v>
      </c>
      <c r="D1185" t="s">
        <v>19</v>
      </c>
      <c r="E1185" t="s">
        <v>25</v>
      </c>
      <c r="F1185">
        <v>17</v>
      </c>
      <c r="G1185">
        <v>226.56</v>
      </c>
      <c r="H1185" t="s">
        <v>32</v>
      </c>
      <c r="I1185" t="s">
        <v>35</v>
      </c>
      <c r="J1185" s="3">
        <v>0.1</v>
      </c>
      <c r="K1185" t="s">
        <v>41</v>
      </c>
      <c r="L1185">
        <v>3466.3679999999999</v>
      </c>
      <c r="M1185" t="s">
        <v>44</v>
      </c>
      <c r="N1185" t="s">
        <v>50</v>
      </c>
      <c r="O1185">
        <v>1</v>
      </c>
      <c r="P1185" t="s">
        <v>1234</v>
      </c>
      <c r="Q1185" t="s">
        <v>2656</v>
      </c>
      <c r="R1185">
        <v>36.89</v>
      </c>
      <c r="S1185" s="5">
        <v>44940</v>
      </c>
      <c r="T1185" s="5">
        <v>44946</v>
      </c>
      <c r="U1185" t="s">
        <v>2922</v>
      </c>
    </row>
    <row r="1186" spans="1:21" x14ac:dyDescent="0.25">
      <c r="A1186" s="5">
        <v>45294</v>
      </c>
      <c r="B1186" s="7">
        <f>Table1[[#This Row],[TotalPrice]] * (1 - Table1[[#This Row],[Discount]])</f>
        <v>265.82</v>
      </c>
      <c r="C1186" s="7">
        <f>Table1[[#This Row],[Net Sales]] * 0.2</f>
        <v>53.164000000000001</v>
      </c>
      <c r="D1186" t="s">
        <v>23</v>
      </c>
      <c r="E1186" t="s">
        <v>24</v>
      </c>
      <c r="F1186">
        <v>2</v>
      </c>
      <c r="G1186">
        <v>132.91</v>
      </c>
      <c r="H1186" t="s">
        <v>32</v>
      </c>
      <c r="I1186" t="s">
        <v>35</v>
      </c>
      <c r="J1186" s="3">
        <v>0</v>
      </c>
      <c r="K1186" t="s">
        <v>42</v>
      </c>
      <c r="L1186">
        <v>265.82</v>
      </c>
      <c r="M1186" t="s">
        <v>46</v>
      </c>
      <c r="N1186" t="s">
        <v>50</v>
      </c>
      <c r="O1186">
        <v>0</v>
      </c>
      <c r="P1186" t="s">
        <v>1235</v>
      </c>
      <c r="Q1186" t="s">
        <v>2657</v>
      </c>
      <c r="R1186">
        <v>7.76</v>
      </c>
      <c r="S1186" s="5">
        <v>45294</v>
      </c>
      <c r="T1186" s="5">
        <v>45303</v>
      </c>
      <c r="U1186" t="s">
        <v>2926</v>
      </c>
    </row>
    <row r="1187" spans="1:21" x14ac:dyDescent="0.25">
      <c r="A1187" s="5">
        <v>45163</v>
      </c>
      <c r="B1187" s="7">
        <f>Table1[[#This Row],[TotalPrice]] * (1 - Table1[[#This Row],[Discount]])</f>
        <v>71.38</v>
      </c>
      <c r="C1187" s="7">
        <f>Table1[[#This Row],[Net Sales]] * 0.2</f>
        <v>14.276</v>
      </c>
      <c r="D1187" t="s">
        <v>20</v>
      </c>
      <c r="E1187" t="s">
        <v>26</v>
      </c>
      <c r="F1187">
        <v>2</v>
      </c>
      <c r="G1187">
        <v>35.69</v>
      </c>
      <c r="H1187" t="s">
        <v>33</v>
      </c>
      <c r="I1187" t="s">
        <v>36</v>
      </c>
      <c r="J1187" s="3">
        <v>0</v>
      </c>
      <c r="K1187" t="s">
        <v>37</v>
      </c>
      <c r="L1187">
        <v>71.38</v>
      </c>
      <c r="M1187" t="s">
        <v>46</v>
      </c>
      <c r="N1187" t="s">
        <v>48</v>
      </c>
      <c r="O1187">
        <v>0</v>
      </c>
      <c r="P1187" t="s">
        <v>1236</v>
      </c>
      <c r="Q1187" t="s">
        <v>2658</v>
      </c>
      <c r="R1187">
        <v>39.89</v>
      </c>
      <c r="S1187" s="5">
        <v>45163</v>
      </c>
      <c r="T1187" s="5">
        <v>45166</v>
      </c>
      <c r="U1187" t="s">
        <v>2923</v>
      </c>
    </row>
    <row r="1188" spans="1:21" x14ac:dyDescent="0.25">
      <c r="A1188" s="5">
        <v>45793</v>
      </c>
      <c r="B1188" s="7">
        <f>Table1[[#This Row],[TotalPrice]] * (1 - Table1[[#This Row],[Discount]])</f>
        <v>1959.1165499999997</v>
      </c>
      <c r="C1188" s="7">
        <f>Table1[[#This Row],[Net Sales]] * 0.2</f>
        <v>391.82330999999999</v>
      </c>
      <c r="D1188" t="s">
        <v>21</v>
      </c>
      <c r="E1188" t="s">
        <v>26</v>
      </c>
      <c r="F1188">
        <v>6</v>
      </c>
      <c r="G1188">
        <v>451.93</v>
      </c>
      <c r="H1188" t="s">
        <v>32</v>
      </c>
      <c r="I1188" t="s">
        <v>35</v>
      </c>
      <c r="J1188" s="3">
        <v>0.15</v>
      </c>
      <c r="K1188" t="s">
        <v>37</v>
      </c>
      <c r="L1188">
        <v>2304.8429999999998</v>
      </c>
      <c r="M1188" t="s">
        <v>47</v>
      </c>
      <c r="N1188" t="s">
        <v>50</v>
      </c>
      <c r="O1188">
        <v>1</v>
      </c>
      <c r="P1188" t="s">
        <v>1237</v>
      </c>
      <c r="Q1188" t="s">
        <v>2659</v>
      </c>
      <c r="R1188">
        <v>49.37</v>
      </c>
      <c r="S1188" s="5">
        <v>45793</v>
      </c>
      <c r="T1188" s="5">
        <v>45802</v>
      </c>
      <c r="U1188" t="s">
        <v>2924</v>
      </c>
    </row>
    <row r="1189" spans="1:21" x14ac:dyDescent="0.25">
      <c r="A1189" s="5">
        <v>45290</v>
      </c>
      <c r="B1189" s="7">
        <f>Table1[[#This Row],[TotalPrice]] * (1 - Table1[[#This Row],[Discount]])</f>
        <v>1708.694225</v>
      </c>
      <c r="C1189" s="7">
        <f>Table1[[#This Row],[Net Sales]] * 0.2</f>
        <v>341.73884500000003</v>
      </c>
      <c r="D1189" t="s">
        <v>20</v>
      </c>
      <c r="E1189" t="s">
        <v>24</v>
      </c>
      <c r="F1189">
        <v>7</v>
      </c>
      <c r="G1189">
        <v>270.47000000000003</v>
      </c>
      <c r="H1189" t="s">
        <v>34</v>
      </c>
      <c r="I1189" t="s">
        <v>35</v>
      </c>
      <c r="J1189" s="3">
        <v>0.05</v>
      </c>
      <c r="K1189" t="s">
        <v>41</v>
      </c>
      <c r="L1189">
        <v>1798.6255000000001</v>
      </c>
      <c r="M1189" t="s">
        <v>45</v>
      </c>
      <c r="N1189" t="s">
        <v>50</v>
      </c>
      <c r="O1189">
        <v>1</v>
      </c>
      <c r="P1189" t="s">
        <v>1238</v>
      </c>
      <c r="Q1189" t="s">
        <v>2660</v>
      </c>
      <c r="R1189">
        <v>41.56</v>
      </c>
      <c r="S1189" s="5">
        <v>45290</v>
      </c>
      <c r="T1189" s="5">
        <v>45294</v>
      </c>
      <c r="U1189" t="s">
        <v>2923</v>
      </c>
    </row>
    <row r="1190" spans="1:21" x14ac:dyDescent="0.25">
      <c r="A1190" s="5">
        <v>45571</v>
      </c>
      <c r="B1190" s="7">
        <f>Table1[[#This Row],[TotalPrice]] * (1 - Table1[[#This Row],[Discount]])</f>
        <v>650.68444999999997</v>
      </c>
      <c r="C1190" s="7">
        <f>Table1[[#This Row],[Net Sales]] * 0.2</f>
        <v>130.13688999999999</v>
      </c>
      <c r="D1190" t="s">
        <v>20</v>
      </c>
      <c r="E1190" t="s">
        <v>25</v>
      </c>
      <c r="F1190">
        <v>13</v>
      </c>
      <c r="G1190">
        <v>55.46</v>
      </c>
      <c r="H1190" t="s">
        <v>32</v>
      </c>
      <c r="I1190" t="s">
        <v>36</v>
      </c>
      <c r="J1190" s="3">
        <v>0.05</v>
      </c>
      <c r="K1190" t="s">
        <v>42</v>
      </c>
      <c r="L1190">
        <v>684.93100000000004</v>
      </c>
      <c r="M1190" t="s">
        <v>45</v>
      </c>
      <c r="N1190" t="s">
        <v>48</v>
      </c>
      <c r="O1190">
        <v>1</v>
      </c>
      <c r="P1190" t="s">
        <v>1239</v>
      </c>
      <c r="Q1190" t="s">
        <v>2661</v>
      </c>
      <c r="R1190">
        <v>18.010000000000002</v>
      </c>
      <c r="S1190" s="5">
        <v>45571</v>
      </c>
      <c r="T1190" s="5">
        <v>45574</v>
      </c>
      <c r="U1190" t="s">
        <v>2923</v>
      </c>
    </row>
    <row r="1191" spans="1:21" x14ac:dyDescent="0.25">
      <c r="A1191" s="5">
        <v>44997</v>
      </c>
      <c r="B1191" s="7">
        <f>Table1[[#This Row],[TotalPrice]] * (1 - Table1[[#This Row],[Discount]])</f>
        <v>6326.9614000000001</v>
      </c>
      <c r="C1191" s="7">
        <f>Table1[[#This Row],[Net Sales]] * 0.2</f>
        <v>1265.39228</v>
      </c>
      <c r="D1191" t="s">
        <v>22</v>
      </c>
      <c r="E1191" t="s">
        <v>29</v>
      </c>
      <c r="F1191">
        <v>17</v>
      </c>
      <c r="G1191">
        <v>515.12</v>
      </c>
      <c r="H1191" t="s">
        <v>34</v>
      </c>
      <c r="I1191" t="s">
        <v>35</v>
      </c>
      <c r="J1191" s="3">
        <v>0.15</v>
      </c>
      <c r="K1191" t="s">
        <v>42</v>
      </c>
      <c r="L1191">
        <v>7443.4840000000004</v>
      </c>
      <c r="M1191" t="s">
        <v>45</v>
      </c>
      <c r="N1191" t="s">
        <v>49</v>
      </c>
      <c r="O1191">
        <v>1</v>
      </c>
      <c r="P1191" t="s">
        <v>1240</v>
      </c>
      <c r="Q1191" t="s">
        <v>1638</v>
      </c>
      <c r="R1191">
        <v>32.74</v>
      </c>
      <c r="S1191" s="5">
        <v>44997</v>
      </c>
      <c r="T1191" s="5">
        <v>45007</v>
      </c>
      <c r="U1191" t="s">
        <v>2925</v>
      </c>
    </row>
    <row r="1192" spans="1:21" x14ac:dyDescent="0.25">
      <c r="A1192" s="5">
        <v>45388</v>
      </c>
      <c r="B1192" s="7">
        <f>Table1[[#This Row],[TotalPrice]] * (1 - Table1[[#This Row],[Discount]])</f>
        <v>256.63</v>
      </c>
      <c r="C1192" s="7">
        <f>Table1[[#This Row],[Net Sales]] * 0.2</f>
        <v>51.326000000000001</v>
      </c>
      <c r="D1192" t="s">
        <v>21</v>
      </c>
      <c r="E1192" t="s">
        <v>25</v>
      </c>
      <c r="F1192">
        <v>1</v>
      </c>
      <c r="G1192">
        <v>256.63</v>
      </c>
      <c r="H1192" t="s">
        <v>34</v>
      </c>
      <c r="I1192" t="s">
        <v>35</v>
      </c>
      <c r="J1192" s="3">
        <v>0</v>
      </c>
      <c r="K1192" t="s">
        <v>40</v>
      </c>
      <c r="L1192">
        <v>256.63</v>
      </c>
      <c r="M1192" t="s">
        <v>44</v>
      </c>
      <c r="N1192" t="s">
        <v>48</v>
      </c>
      <c r="O1192">
        <v>0</v>
      </c>
      <c r="P1192" t="s">
        <v>1241</v>
      </c>
      <c r="Q1192" t="s">
        <v>2662</v>
      </c>
      <c r="R1192">
        <v>12.97</v>
      </c>
      <c r="S1192" s="5">
        <v>45388</v>
      </c>
      <c r="T1192" s="5">
        <v>45390</v>
      </c>
      <c r="U1192" t="s">
        <v>2924</v>
      </c>
    </row>
    <row r="1193" spans="1:21" x14ac:dyDescent="0.25">
      <c r="A1193" s="5">
        <v>44946</v>
      </c>
      <c r="B1193" s="7">
        <f>Table1[[#This Row],[TotalPrice]] * (1 - Table1[[#This Row],[Discount]])</f>
        <v>1530.6039000000001</v>
      </c>
      <c r="C1193" s="7">
        <f>Table1[[#This Row],[Net Sales]] * 0.2</f>
        <v>306.12078000000002</v>
      </c>
      <c r="D1193" t="s">
        <v>21</v>
      </c>
      <c r="E1193" t="s">
        <v>29</v>
      </c>
      <c r="F1193">
        <v>4</v>
      </c>
      <c r="G1193">
        <v>423.99</v>
      </c>
      <c r="H1193" t="s">
        <v>31</v>
      </c>
      <c r="I1193" t="s">
        <v>36</v>
      </c>
      <c r="J1193" s="3">
        <v>0.05</v>
      </c>
      <c r="K1193" t="s">
        <v>39</v>
      </c>
      <c r="L1193">
        <v>1611.162</v>
      </c>
      <c r="M1193" t="s">
        <v>43</v>
      </c>
      <c r="N1193" t="s">
        <v>48</v>
      </c>
      <c r="O1193">
        <v>0</v>
      </c>
      <c r="P1193" t="s">
        <v>1242</v>
      </c>
      <c r="Q1193" t="s">
        <v>2663</v>
      </c>
      <c r="R1193">
        <v>20.05</v>
      </c>
      <c r="S1193" s="5">
        <v>44946</v>
      </c>
      <c r="T1193" s="5">
        <v>44951</v>
      </c>
      <c r="U1193" t="s">
        <v>2924</v>
      </c>
    </row>
    <row r="1194" spans="1:21" x14ac:dyDescent="0.25">
      <c r="A1194" s="5">
        <v>45481</v>
      </c>
      <c r="B1194" s="7">
        <f>Table1[[#This Row],[TotalPrice]] * (1 - Table1[[#This Row],[Discount]])</f>
        <v>1054.4358749999999</v>
      </c>
      <c r="C1194" s="7">
        <f>Table1[[#This Row],[Net Sales]] * 0.2</f>
        <v>210.88717499999998</v>
      </c>
      <c r="D1194" t="s">
        <v>23</v>
      </c>
      <c r="E1194" t="s">
        <v>24</v>
      </c>
      <c r="F1194">
        <v>15</v>
      </c>
      <c r="G1194">
        <v>77.89</v>
      </c>
      <c r="H1194" t="s">
        <v>31</v>
      </c>
      <c r="I1194" t="s">
        <v>35</v>
      </c>
      <c r="J1194" s="3">
        <v>0.05</v>
      </c>
      <c r="K1194" t="s">
        <v>41</v>
      </c>
      <c r="L1194">
        <v>1109.9324999999999</v>
      </c>
      <c r="M1194" t="s">
        <v>45</v>
      </c>
      <c r="O1194">
        <v>0</v>
      </c>
      <c r="P1194" t="s">
        <v>1243</v>
      </c>
      <c r="Q1194" t="s">
        <v>2664</v>
      </c>
      <c r="R1194">
        <v>20.87</v>
      </c>
      <c r="S1194" s="5">
        <v>45481</v>
      </c>
      <c r="T1194" s="5">
        <v>45485</v>
      </c>
      <c r="U1194" t="s">
        <v>2926</v>
      </c>
    </row>
    <row r="1195" spans="1:21" x14ac:dyDescent="0.25">
      <c r="A1195" s="5">
        <v>45205</v>
      </c>
      <c r="B1195" s="7">
        <f>Table1[[#This Row],[TotalPrice]] * (1 - Table1[[#This Row],[Discount]])</f>
        <v>129.41849999999999</v>
      </c>
      <c r="C1195" s="7">
        <f>Table1[[#This Row],[Net Sales]] * 0.2</f>
        <v>25.883700000000001</v>
      </c>
      <c r="D1195" t="s">
        <v>21</v>
      </c>
      <c r="E1195" t="s">
        <v>25</v>
      </c>
      <c r="F1195">
        <v>12</v>
      </c>
      <c r="G1195">
        <v>11.95</v>
      </c>
      <c r="H1195" t="s">
        <v>32</v>
      </c>
      <c r="I1195" t="s">
        <v>36</v>
      </c>
      <c r="J1195" s="3">
        <v>0.05</v>
      </c>
      <c r="K1195" t="s">
        <v>40</v>
      </c>
      <c r="L1195">
        <v>136.22999999999999</v>
      </c>
      <c r="M1195" t="s">
        <v>43</v>
      </c>
      <c r="O1195">
        <v>0</v>
      </c>
      <c r="P1195" t="s">
        <v>1244</v>
      </c>
      <c r="Q1195" t="s">
        <v>2665</v>
      </c>
      <c r="R1195">
        <v>26.66</v>
      </c>
      <c r="S1195" s="5">
        <v>45205</v>
      </c>
      <c r="T1195" s="5">
        <v>45215</v>
      </c>
      <c r="U1195" t="s">
        <v>2924</v>
      </c>
    </row>
    <row r="1196" spans="1:21" x14ac:dyDescent="0.25">
      <c r="A1196" s="5">
        <v>45180</v>
      </c>
      <c r="B1196" s="7">
        <f>Table1[[#This Row],[TotalPrice]] * (1 - Table1[[#This Row],[Discount]])</f>
        <v>380.17350000000005</v>
      </c>
      <c r="C1196" s="7">
        <f>Table1[[#This Row],[Net Sales]] * 0.2</f>
        <v>76.034700000000015</v>
      </c>
      <c r="D1196" t="s">
        <v>19</v>
      </c>
      <c r="E1196" t="s">
        <v>26</v>
      </c>
      <c r="F1196">
        <v>7</v>
      </c>
      <c r="G1196">
        <v>67.05</v>
      </c>
      <c r="H1196" t="s">
        <v>34</v>
      </c>
      <c r="I1196" t="s">
        <v>35</v>
      </c>
      <c r="J1196" s="3">
        <v>0.1</v>
      </c>
      <c r="K1196" t="s">
        <v>40</v>
      </c>
      <c r="L1196">
        <v>422.41500000000002</v>
      </c>
      <c r="M1196" t="s">
        <v>47</v>
      </c>
      <c r="N1196" t="s">
        <v>48</v>
      </c>
      <c r="O1196">
        <v>0</v>
      </c>
      <c r="P1196" t="s">
        <v>1245</v>
      </c>
      <c r="Q1196" t="s">
        <v>1658</v>
      </c>
      <c r="R1196">
        <v>36.67</v>
      </c>
      <c r="S1196" s="5">
        <v>45180</v>
      </c>
      <c r="T1196" s="5">
        <v>45187</v>
      </c>
      <c r="U1196" t="s">
        <v>2922</v>
      </c>
    </row>
    <row r="1197" spans="1:21" x14ac:dyDescent="0.25">
      <c r="A1197" s="5">
        <v>45183</v>
      </c>
      <c r="B1197" s="7">
        <f>Table1[[#This Row],[TotalPrice]] * (1 - Table1[[#This Row],[Discount]])</f>
        <v>1621.904125</v>
      </c>
      <c r="C1197" s="7">
        <f>Table1[[#This Row],[Net Sales]] * 0.2</f>
        <v>324.38082500000002</v>
      </c>
      <c r="D1197" t="s">
        <v>21</v>
      </c>
      <c r="E1197" t="s">
        <v>25</v>
      </c>
      <c r="F1197">
        <v>19</v>
      </c>
      <c r="G1197">
        <v>118.15</v>
      </c>
      <c r="H1197" t="s">
        <v>33</v>
      </c>
      <c r="I1197" t="s">
        <v>36</v>
      </c>
      <c r="J1197" s="3">
        <v>0.15</v>
      </c>
      <c r="K1197" t="s">
        <v>39</v>
      </c>
      <c r="L1197">
        <v>1908.1224999999999</v>
      </c>
      <c r="M1197" t="s">
        <v>47</v>
      </c>
      <c r="N1197" t="s">
        <v>49</v>
      </c>
      <c r="O1197">
        <v>0</v>
      </c>
      <c r="P1197" t="s">
        <v>1246</v>
      </c>
      <c r="Q1197" t="s">
        <v>2666</v>
      </c>
      <c r="R1197">
        <v>12.95</v>
      </c>
      <c r="S1197" s="5">
        <v>45183</v>
      </c>
      <c r="T1197" s="5">
        <v>45188</v>
      </c>
      <c r="U1197" t="s">
        <v>2924</v>
      </c>
    </row>
    <row r="1198" spans="1:21" x14ac:dyDescent="0.25">
      <c r="A1198" s="5">
        <v>45236</v>
      </c>
      <c r="B1198" s="7">
        <f>Table1[[#This Row],[TotalPrice]] * (1 - Table1[[#This Row],[Discount]])</f>
        <v>1323.2731999999999</v>
      </c>
      <c r="C1198" s="7">
        <f>Table1[[#This Row],[Net Sales]] * 0.2</f>
        <v>264.65463999999997</v>
      </c>
      <c r="D1198" t="s">
        <v>21</v>
      </c>
      <c r="E1198" t="s">
        <v>30</v>
      </c>
      <c r="F1198">
        <v>16</v>
      </c>
      <c r="G1198">
        <v>114.47</v>
      </c>
      <c r="H1198" t="s">
        <v>31</v>
      </c>
      <c r="I1198" t="s">
        <v>35</v>
      </c>
      <c r="J1198" s="3">
        <v>0.15</v>
      </c>
      <c r="K1198" t="s">
        <v>40</v>
      </c>
      <c r="L1198">
        <v>1556.7919999999999</v>
      </c>
      <c r="M1198" t="s">
        <v>43</v>
      </c>
      <c r="O1198">
        <v>0</v>
      </c>
      <c r="P1198" t="s">
        <v>1247</v>
      </c>
      <c r="Q1198" t="s">
        <v>1760</v>
      </c>
      <c r="R1198">
        <v>43.85</v>
      </c>
      <c r="S1198" s="5">
        <v>45236</v>
      </c>
      <c r="T1198" s="5">
        <v>45241</v>
      </c>
      <c r="U1198" t="s">
        <v>2924</v>
      </c>
    </row>
    <row r="1199" spans="1:21" x14ac:dyDescent="0.25">
      <c r="A1199" s="5">
        <v>45466</v>
      </c>
      <c r="B1199" s="7">
        <f>Table1[[#This Row],[TotalPrice]] * (1 - Table1[[#This Row],[Discount]])</f>
        <v>235.45552499999999</v>
      </c>
      <c r="C1199" s="7">
        <f>Table1[[#This Row],[Net Sales]] * 0.2</f>
        <v>47.091104999999999</v>
      </c>
      <c r="D1199" t="s">
        <v>21</v>
      </c>
      <c r="E1199" t="s">
        <v>28</v>
      </c>
      <c r="F1199">
        <v>9</v>
      </c>
      <c r="G1199">
        <v>36.21</v>
      </c>
      <c r="H1199" t="s">
        <v>33</v>
      </c>
      <c r="I1199" t="s">
        <v>35</v>
      </c>
      <c r="J1199" s="3">
        <v>0.15</v>
      </c>
      <c r="K1199" t="s">
        <v>42</v>
      </c>
      <c r="L1199">
        <v>277.00650000000002</v>
      </c>
      <c r="M1199" t="s">
        <v>45</v>
      </c>
      <c r="N1199" t="s">
        <v>48</v>
      </c>
      <c r="O1199">
        <v>0</v>
      </c>
      <c r="P1199" t="s">
        <v>1248</v>
      </c>
      <c r="Q1199" t="s">
        <v>2667</v>
      </c>
      <c r="R1199">
        <v>6.71</v>
      </c>
      <c r="S1199" s="5">
        <v>45466</v>
      </c>
      <c r="T1199" s="5">
        <v>45473</v>
      </c>
      <c r="U1199" t="s">
        <v>2924</v>
      </c>
    </row>
    <row r="1200" spans="1:21" x14ac:dyDescent="0.25">
      <c r="A1200" s="5">
        <v>45015</v>
      </c>
      <c r="B1200" s="7">
        <f>Table1[[#This Row],[TotalPrice]] * (1 - Table1[[#This Row],[Discount]])</f>
        <v>425.89800000000002</v>
      </c>
      <c r="C1200" s="7">
        <f>Table1[[#This Row],[Net Sales]] * 0.2</f>
        <v>85.179600000000008</v>
      </c>
      <c r="D1200" t="s">
        <v>23</v>
      </c>
      <c r="E1200" t="s">
        <v>30</v>
      </c>
      <c r="F1200">
        <v>10</v>
      </c>
      <c r="G1200">
        <v>52.58</v>
      </c>
      <c r="H1200" t="s">
        <v>31</v>
      </c>
      <c r="I1200" t="s">
        <v>35</v>
      </c>
      <c r="J1200" s="3">
        <v>0.1</v>
      </c>
      <c r="K1200" t="s">
        <v>37</v>
      </c>
      <c r="L1200">
        <v>473.22</v>
      </c>
      <c r="M1200" t="s">
        <v>47</v>
      </c>
      <c r="N1200" t="s">
        <v>50</v>
      </c>
      <c r="O1200">
        <v>0</v>
      </c>
      <c r="P1200" t="s">
        <v>1249</v>
      </c>
      <c r="Q1200" t="s">
        <v>2668</v>
      </c>
      <c r="R1200">
        <v>14.01</v>
      </c>
      <c r="S1200" s="5">
        <v>45015</v>
      </c>
      <c r="T1200" s="5">
        <v>45025</v>
      </c>
      <c r="U1200" t="s">
        <v>2926</v>
      </c>
    </row>
    <row r="1201" spans="1:21" x14ac:dyDescent="0.25">
      <c r="A1201" s="5">
        <v>45570</v>
      </c>
      <c r="B1201" s="7">
        <f>Table1[[#This Row],[TotalPrice]] * (1 - Table1[[#This Row],[Discount]])</f>
        <v>1323.1836000000001</v>
      </c>
      <c r="C1201" s="7">
        <f>Table1[[#This Row],[Net Sales]] * 0.2</f>
        <v>264.63672000000003</v>
      </c>
      <c r="D1201" t="s">
        <v>19</v>
      </c>
      <c r="E1201" t="s">
        <v>25</v>
      </c>
      <c r="F1201">
        <v>6</v>
      </c>
      <c r="G1201">
        <v>272.26</v>
      </c>
      <c r="H1201" t="s">
        <v>32</v>
      </c>
      <c r="I1201" t="s">
        <v>36</v>
      </c>
      <c r="J1201" s="3">
        <v>0.1</v>
      </c>
      <c r="K1201" t="s">
        <v>40</v>
      </c>
      <c r="L1201">
        <v>1470.204</v>
      </c>
      <c r="M1201" t="s">
        <v>46</v>
      </c>
      <c r="N1201" t="s">
        <v>49</v>
      </c>
      <c r="O1201">
        <v>0</v>
      </c>
      <c r="P1201" t="s">
        <v>1250</v>
      </c>
      <c r="Q1201" t="s">
        <v>2669</v>
      </c>
      <c r="R1201">
        <v>43.67</v>
      </c>
      <c r="S1201" s="5">
        <v>45570</v>
      </c>
      <c r="T1201" s="5">
        <v>45580</v>
      </c>
      <c r="U1201" t="s">
        <v>2922</v>
      </c>
    </row>
    <row r="1202" spans="1:21" x14ac:dyDescent="0.25">
      <c r="A1202" s="5">
        <v>45004</v>
      </c>
      <c r="B1202" s="7">
        <f>Table1[[#This Row],[TotalPrice]] * (1 - Table1[[#This Row],[Discount]])</f>
        <v>902.90824999999984</v>
      </c>
      <c r="C1202" s="7">
        <f>Table1[[#This Row],[Net Sales]] * 0.2</f>
        <v>180.58164999999997</v>
      </c>
      <c r="D1202" t="s">
        <v>22</v>
      </c>
      <c r="E1202" t="s">
        <v>27</v>
      </c>
      <c r="F1202">
        <v>10</v>
      </c>
      <c r="G1202">
        <v>124.97</v>
      </c>
      <c r="H1202" t="s">
        <v>34</v>
      </c>
      <c r="I1202" t="s">
        <v>36</v>
      </c>
      <c r="J1202" s="3">
        <v>0.15</v>
      </c>
      <c r="K1202" t="s">
        <v>37</v>
      </c>
      <c r="L1202">
        <v>1062.2449999999999</v>
      </c>
      <c r="M1202" t="s">
        <v>44</v>
      </c>
      <c r="N1202" t="s">
        <v>50</v>
      </c>
      <c r="O1202">
        <v>1</v>
      </c>
      <c r="P1202" t="s">
        <v>1251</v>
      </c>
      <c r="Q1202" t="s">
        <v>2670</v>
      </c>
      <c r="R1202">
        <v>40.229999999999997</v>
      </c>
      <c r="S1202" s="5">
        <v>45004</v>
      </c>
      <c r="T1202" s="5">
        <v>45014</v>
      </c>
      <c r="U1202" t="s">
        <v>2925</v>
      </c>
    </row>
    <row r="1203" spans="1:21" x14ac:dyDescent="0.25">
      <c r="A1203" s="5">
        <v>45733</v>
      </c>
      <c r="B1203" s="7">
        <f>Table1[[#This Row],[TotalPrice]] * (1 - Table1[[#This Row],[Discount]])</f>
        <v>1856.96595</v>
      </c>
      <c r="C1203" s="7">
        <f>Table1[[#This Row],[Net Sales]] * 0.2</f>
        <v>371.39319</v>
      </c>
      <c r="D1203" t="s">
        <v>21</v>
      </c>
      <c r="E1203" t="s">
        <v>25</v>
      </c>
      <c r="F1203">
        <v>9</v>
      </c>
      <c r="G1203">
        <v>228.62</v>
      </c>
      <c r="H1203" t="s">
        <v>33</v>
      </c>
      <c r="I1203" t="s">
        <v>36</v>
      </c>
      <c r="J1203" s="3">
        <v>0.05</v>
      </c>
      <c r="K1203" t="s">
        <v>37</v>
      </c>
      <c r="L1203">
        <v>1954.701</v>
      </c>
      <c r="M1203" t="s">
        <v>44</v>
      </c>
      <c r="N1203" t="s">
        <v>49</v>
      </c>
      <c r="O1203">
        <v>0</v>
      </c>
      <c r="P1203" t="s">
        <v>1252</v>
      </c>
      <c r="Q1203" t="s">
        <v>2671</v>
      </c>
      <c r="R1203">
        <v>31.43</v>
      </c>
      <c r="S1203" s="5">
        <v>45733</v>
      </c>
      <c r="T1203" s="5">
        <v>45737</v>
      </c>
      <c r="U1203" t="s">
        <v>2924</v>
      </c>
    </row>
    <row r="1204" spans="1:21" x14ac:dyDescent="0.25">
      <c r="A1204" s="5">
        <v>45644</v>
      </c>
      <c r="B1204" s="7">
        <f>Table1[[#This Row],[TotalPrice]] * (1 - Table1[[#This Row],[Discount]])</f>
        <v>4088.0495000000001</v>
      </c>
      <c r="C1204" s="7">
        <f>Table1[[#This Row],[Net Sales]] * 0.2</f>
        <v>817.60990000000004</v>
      </c>
      <c r="D1204" t="s">
        <v>22</v>
      </c>
      <c r="E1204" t="s">
        <v>24</v>
      </c>
      <c r="F1204">
        <v>20</v>
      </c>
      <c r="G1204">
        <v>282.91000000000003</v>
      </c>
      <c r="H1204" t="s">
        <v>32</v>
      </c>
      <c r="I1204" t="s">
        <v>35</v>
      </c>
      <c r="J1204" s="3">
        <v>0.15</v>
      </c>
      <c r="K1204" t="s">
        <v>39</v>
      </c>
      <c r="L1204">
        <v>4809.47</v>
      </c>
      <c r="M1204" t="s">
        <v>46</v>
      </c>
      <c r="N1204" t="s">
        <v>48</v>
      </c>
      <c r="O1204">
        <v>0</v>
      </c>
      <c r="P1204" t="s">
        <v>1253</v>
      </c>
      <c r="Q1204" t="s">
        <v>2672</v>
      </c>
      <c r="R1204">
        <v>8.19</v>
      </c>
      <c r="S1204" s="5">
        <v>45644</v>
      </c>
      <c r="T1204" s="5">
        <v>45654</v>
      </c>
      <c r="U1204" t="s">
        <v>2925</v>
      </c>
    </row>
    <row r="1205" spans="1:21" x14ac:dyDescent="0.25">
      <c r="A1205" s="5">
        <v>45663</v>
      </c>
      <c r="B1205" s="7">
        <f>Table1[[#This Row],[TotalPrice]] * (1 - Table1[[#This Row],[Discount]])</f>
        <v>1592.05765</v>
      </c>
      <c r="C1205" s="7">
        <f>Table1[[#This Row],[Net Sales]] * 0.2</f>
        <v>318.41153000000003</v>
      </c>
      <c r="D1205" t="s">
        <v>23</v>
      </c>
      <c r="E1205" t="s">
        <v>29</v>
      </c>
      <c r="F1205">
        <v>17</v>
      </c>
      <c r="G1205">
        <v>129.62</v>
      </c>
      <c r="H1205" t="s">
        <v>34</v>
      </c>
      <c r="I1205" t="s">
        <v>36</v>
      </c>
      <c r="J1205" s="3">
        <v>0.15</v>
      </c>
      <c r="K1205" t="s">
        <v>37</v>
      </c>
      <c r="L1205">
        <v>1873.009</v>
      </c>
      <c r="M1205" t="s">
        <v>43</v>
      </c>
      <c r="N1205" t="s">
        <v>48</v>
      </c>
      <c r="O1205">
        <v>0</v>
      </c>
      <c r="P1205" t="s">
        <v>1254</v>
      </c>
      <c r="Q1205" t="s">
        <v>2673</v>
      </c>
      <c r="R1205">
        <v>24.28</v>
      </c>
      <c r="S1205" s="5">
        <v>45663</v>
      </c>
      <c r="T1205" s="5">
        <v>45665</v>
      </c>
      <c r="U1205" t="s">
        <v>2926</v>
      </c>
    </row>
    <row r="1206" spans="1:21" x14ac:dyDescent="0.25">
      <c r="A1206" s="5">
        <v>45671</v>
      </c>
      <c r="B1206" s="7">
        <f>Table1[[#This Row],[TotalPrice]] * (1 - Table1[[#This Row],[Discount]])</f>
        <v>879.12524999999982</v>
      </c>
      <c r="C1206" s="7">
        <f>Table1[[#This Row],[Net Sales]] * 0.2</f>
        <v>175.82504999999998</v>
      </c>
      <c r="D1206" t="s">
        <v>22</v>
      </c>
      <c r="E1206" t="s">
        <v>28</v>
      </c>
      <c r="F1206">
        <v>6</v>
      </c>
      <c r="G1206">
        <v>162.35</v>
      </c>
      <c r="H1206" t="s">
        <v>31</v>
      </c>
      <c r="I1206" t="s">
        <v>35</v>
      </c>
      <c r="J1206" s="3">
        <v>0.05</v>
      </c>
      <c r="K1206" t="s">
        <v>37</v>
      </c>
      <c r="L1206">
        <v>925.39499999999987</v>
      </c>
      <c r="M1206" t="s">
        <v>45</v>
      </c>
      <c r="N1206" t="s">
        <v>49</v>
      </c>
      <c r="O1206">
        <v>1</v>
      </c>
      <c r="P1206" t="s">
        <v>1255</v>
      </c>
      <c r="Q1206" t="s">
        <v>2674</v>
      </c>
      <c r="R1206">
        <v>19.18</v>
      </c>
      <c r="S1206" s="5">
        <v>45671</v>
      </c>
      <c r="T1206" s="5">
        <v>45677</v>
      </c>
      <c r="U1206" t="s">
        <v>2925</v>
      </c>
    </row>
    <row r="1207" spans="1:21" x14ac:dyDescent="0.25">
      <c r="A1207" s="5">
        <v>44952</v>
      </c>
      <c r="B1207" s="7">
        <f>Table1[[#This Row],[TotalPrice]] * (1 - Table1[[#This Row],[Discount]])</f>
        <v>2937.48</v>
      </c>
      <c r="C1207" s="7">
        <f>Table1[[#This Row],[Net Sales]] * 0.2</f>
        <v>587.49599999999998</v>
      </c>
      <c r="D1207" t="s">
        <v>20</v>
      </c>
      <c r="E1207" t="s">
        <v>30</v>
      </c>
      <c r="F1207">
        <v>14</v>
      </c>
      <c r="G1207">
        <v>209.82</v>
      </c>
      <c r="H1207" t="s">
        <v>31</v>
      </c>
      <c r="I1207" t="s">
        <v>35</v>
      </c>
      <c r="J1207" s="3">
        <v>0</v>
      </c>
      <c r="K1207" t="s">
        <v>37</v>
      </c>
      <c r="L1207">
        <v>2937.48</v>
      </c>
      <c r="M1207" t="s">
        <v>47</v>
      </c>
      <c r="N1207" t="s">
        <v>49</v>
      </c>
      <c r="O1207">
        <v>0</v>
      </c>
      <c r="P1207" t="s">
        <v>1256</v>
      </c>
      <c r="Q1207" t="s">
        <v>2675</v>
      </c>
      <c r="R1207">
        <v>36.11</v>
      </c>
      <c r="S1207" s="5">
        <v>44952</v>
      </c>
      <c r="T1207" s="5">
        <v>44956</v>
      </c>
      <c r="U1207" t="s">
        <v>2923</v>
      </c>
    </row>
    <row r="1208" spans="1:21" x14ac:dyDescent="0.25">
      <c r="A1208" s="5">
        <v>45508</v>
      </c>
      <c r="B1208" s="7">
        <f>Table1[[#This Row],[TotalPrice]] * (1 - Table1[[#This Row],[Discount]])</f>
        <v>4237.2735999999995</v>
      </c>
      <c r="C1208" s="7">
        <f>Table1[[#This Row],[Net Sales]] * 0.2</f>
        <v>847.45471999999995</v>
      </c>
      <c r="D1208" t="s">
        <v>21</v>
      </c>
      <c r="E1208" t="s">
        <v>24</v>
      </c>
      <c r="F1208">
        <v>16</v>
      </c>
      <c r="G1208">
        <v>293.44</v>
      </c>
      <c r="H1208" t="s">
        <v>34</v>
      </c>
      <c r="I1208" t="s">
        <v>35</v>
      </c>
      <c r="J1208" s="3">
        <v>0.05</v>
      </c>
      <c r="K1208" t="s">
        <v>41</v>
      </c>
      <c r="L1208">
        <v>4460.2879999999996</v>
      </c>
      <c r="M1208" t="s">
        <v>44</v>
      </c>
      <c r="N1208" t="s">
        <v>49</v>
      </c>
      <c r="O1208">
        <v>0</v>
      </c>
      <c r="P1208" t="s">
        <v>1257</v>
      </c>
      <c r="Q1208" t="s">
        <v>2676</v>
      </c>
      <c r="R1208">
        <v>42.56</v>
      </c>
      <c r="S1208" s="5">
        <v>45508</v>
      </c>
      <c r="T1208" s="5">
        <v>45518</v>
      </c>
      <c r="U1208" t="s">
        <v>2924</v>
      </c>
    </row>
    <row r="1209" spans="1:21" x14ac:dyDescent="0.25">
      <c r="A1209" s="5">
        <v>45335</v>
      </c>
      <c r="B1209" s="7">
        <f>Table1[[#This Row],[TotalPrice]] * (1 - Table1[[#This Row],[Discount]])</f>
        <v>1474.4202</v>
      </c>
      <c r="C1209" s="7">
        <f>Table1[[#This Row],[Net Sales]] * 0.2</f>
        <v>294.88404000000003</v>
      </c>
      <c r="D1209" t="s">
        <v>21</v>
      </c>
      <c r="E1209" t="s">
        <v>25</v>
      </c>
      <c r="F1209">
        <v>11</v>
      </c>
      <c r="G1209">
        <v>185.52</v>
      </c>
      <c r="H1209" t="s">
        <v>34</v>
      </c>
      <c r="I1209" t="s">
        <v>35</v>
      </c>
      <c r="J1209" s="3">
        <v>0.15</v>
      </c>
      <c r="K1209" t="s">
        <v>41</v>
      </c>
      <c r="L1209">
        <v>1734.6120000000001</v>
      </c>
      <c r="M1209" t="s">
        <v>45</v>
      </c>
      <c r="N1209" t="s">
        <v>50</v>
      </c>
      <c r="O1209">
        <v>0</v>
      </c>
      <c r="P1209" t="s">
        <v>1258</v>
      </c>
      <c r="Q1209" t="s">
        <v>2677</v>
      </c>
      <c r="R1209">
        <v>38.53</v>
      </c>
      <c r="S1209" s="5">
        <v>45335</v>
      </c>
      <c r="T1209" s="5">
        <v>45338</v>
      </c>
      <c r="U1209" t="s">
        <v>2924</v>
      </c>
    </row>
    <row r="1210" spans="1:21" x14ac:dyDescent="0.25">
      <c r="A1210" s="5">
        <v>44968</v>
      </c>
      <c r="B1210" s="7">
        <f>Table1[[#This Row],[TotalPrice]] * (1 - Table1[[#This Row],[Discount]])</f>
        <v>3490.2819</v>
      </c>
      <c r="C1210" s="7">
        <f>Table1[[#This Row],[Net Sales]] * 0.2</f>
        <v>698.05637999999999</v>
      </c>
      <c r="D1210" t="s">
        <v>22</v>
      </c>
      <c r="E1210" t="s">
        <v>26</v>
      </c>
      <c r="F1210">
        <v>18</v>
      </c>
      <c r="G1210">
        <v>268.38</v>
      </c>
      <c r="H1210" t="s">
        <v>34</v>
      </c>
      <c r="I1210" t="s">
        <v>35</v>
      </c>
      <c r="J1210" s="3">
        <v>0.15</v>
      </c>
      <c r="K1210" t="s">
        <v>38</v>
      </c>
      <c r="L1210">
        <v>4106.2139999999999</v>
      </c>
      <c r="M1210" t="s">
        <v>47</v>
      </c>
      <c r="N1210" t="s">
        <v>48</v>
      </c>
      <c r="O1210">
        <v>0</v>
      </c>
      <c r="P1210" t="s">
        <v>1259</v>
      </c>
      <c r="Q1210" t="s">
        <v>2678</v>
      </c>
      <c r="R1210">
        <v>48.38</v>
      </c>
      <c r="S1210" s="5">
        <v>44968</v>
      </c>
      <c r="T1210" s="5">
        <v>44971</v>
      </c>
      <c r="U1210" t="s">
        <v>2925</v>
      </c>
    </row>
    <row r="1211" spans="1:21" x14ac:dyDescent="0.25">
      <c r="A1211" s="5">
        <v>45460</v>
      </c>
      <c r="B1211" s="7">
        <f>Table1[[#This Row],[TotalPrice]] * (1 - Table1[[#This Row],[Discount]])</f>
        <v>7975.9889999999996</v>
      </c>
      <c r="C1211" s="7">
        <f>Table1[[#This Row],[Net Sales]] * 0.2</f>
        <v>1595.1977999999999</v>
      </c>
      <c r="D1211" t="s">
        <v>19</v>
      </c>
      <c r="E1211" t="s">
        <v>30</v>
      </c>
      <c r="F1211">
        <v>18</v>
      </c>
      <c r="G1211">
        <v>547.04999999999995</v>
      </c>
      <c r="H1211" t="s">
        <v>33</v>
      </c>
      <c r="I1211" t="s">
        <v>35</v>
      </c>
      <c r="J1211" s="3">
        <v>0.1</v>
      </c>
      <c r="K1211" t="s">
        <v>40</v>
      </c>
      <c r="L1211">
        <v>8862.2099999999991</v>
      </c>
      <c r="M1211" t="s">
        <v>47</v>
      </c>
      <c r="N1211" t="s">
        <v>48</v>
      </c>
      <c r="O1211">
        <v>0</v>
      </c>
      <c r="P1211" t="s">
        <v>1260</v>
      </c>
      <c r="Q1211" t="s">
        <v>2679</v>
      </c>
      <c r="R1211">
        <v>10.99</v>
      </c>
      <c r="S1211" s="5">
        <v>45460</v>
      </c>
      <c r="T1211" s="5">
        <v>45465</v>
      </c>
      <c r="U1211" t="s">
        <v>2922</v>
      </c>
    </row>
    <row r="1212" spans="1:21" x14ac:dyDescent="0.25">
      <c r="A1212" s="5">
        <v>45449</v>
      </c>
      <c r="B1212" s="7">
        <f>Table1[[#This Row],[TotalPrice]] * (1 - Table1[[#This Row],[Discount]])</f>
        <v>255.91672500000001</v>
      </c>
      <c r="C1212" s="7">
        <f>Table1[[#This Row],[Net Sales]] * 0.2</f>
        <v>51.183345000000003</v>
      </c>
      <c r="D1212" t="s">
        <v>20</v>
      </c>
      <c r="E1212" t="s">
        <v>24</v>
      </c>
      <c r="F1212">
        <v>1</v>
      </c>
      <c r="G1212">
        <v>354.21</v>
      </c>
      <c r="H1212" t="s">
        <v>32</v>
      </c>
      <c r="I1212" t="s">
        <v>35</v>
      </c>
      <c r="J1212" s="3">
        <v>0.15</v>
      </c>
      <c r="K1212" t="s">
        <v>40</v>
      </c>
      <c r="L1212">
        <v>301.07850000000002</v>
      </c>
      <c r="M1212" t="s">
        <v>43</v>
      </c>
      <c r="O1212">
        <v>0</v>
      </c>
      <c r="P1212" t="s">
        <v>1261</v>
      </c>
      <c r="Q1212" t="s">
        <v>2680</v>
      </c>
      <c r="R1212">
        <v>26.16</v>
      </c>
      <c r="S1212" s="5">
        <v>45449</v>
      </c>
      <c r="T1212" s="5">
        <v>45455</v>
      </c>
      <c r="U1212" t="s">
        <v>2923</v>
      </c>
    </row>
    <row r="1213" spans="1:21" x14ac:dyDescent="0.25">
      <c r="A1213" s="5">
        <v>45256</v>
      </c>
      <c r="B1213" s="7">
        <f>Table1[[#This Row],[TotalPrice]] * (1 - Table1[[#This Row],[Discount]])</f>
        <v>4076.357849999999</v>
      </c>
      <c r="C1213" s="7">
        <f>Table1[[#This Row],[Net Sales]] * 0.2</f>
        <v>815.27156999999988</v>
      </c>
      <c r="D1213" t="s">
        <v>20</v>
      </c>
      <c r="E1213" t="s">
        <v>27</v>
      </c>
      <c r="F1213">
        <v>18</v>
      </c>
      <c r="G1213">
        <v>250.93</v>
      </c>
      <c r="H1213" t="s">
        <v>33</v>
      </c>
      <c r="I1213" t="s">
        <v>35</v>
      </c>
      <c r="J1213" s="3">
        <v>0.05</v>
      </c>
      <c r="K1213" t="s">
        <v>42</v>
      </c>
      <c r="L1213">
        <v>4290.9029999999993</v>
      </c>
      <c r="M1213" t="s">
        <v>44</v>
      </c>
      <c r="O1213">
        <v>0</v>
      </c>
      <c r="P1213" t="s">
        <v>1262</v>
      </c>
      <c r="Q1213" t="s">
        <v>2681</v>
      </c>
      <c r="R1213">
        <v>47.67</v>
      </c>
      <c r="S1213" s="5">
        <v>45256</v>
      </c>
      <c r="T1213" s="5">
        <v>45262</v>
      </c>
      <c r="U1213" t="s">
        <v>2923</v>
      </c>
    </row>
    <row r="1214" spans="1:21" x14ac:dyDescent="0.25">
      <c r="A1214" s="5">
        <v>45389</v>
      </c>
      <c r="B1214" s="7">
        <f>Table1[[#This Row],[TotalPrice]] * (1 - Table1[[#This Row],[Discount]])</f>
        <v>7637.1862499999988</v>
      </c>
      <c r="C1214" s="7">
        <f>Table1[[#This Row],[Net Sales]] * 0.2</f>
        <v>1527.4372499999999</v>
      </c>
      <c r="D1214" t="s">
        <v>23</v>
      </c>
      <c r="E1214" t="s">
        <v>30</v>
      </c>
      <c r="F1214">
        <v>18</v>
      </c>
      <c r="G1214">
        <v>587.25</v>
      </c>
      <c r="H1214" t="s">
        <v>33</v>
      </c>
      <c r="I1214" t="s">
        <v>35</v>
      </c>
      <c r="J1214" s="3">
        <v>0.15</v>
      </c>
      <c r="K1214" t="s">
        <v>40</v>
      </c>
      <c r="L1214">
        <v>8984.9249999999993</v>
      </c>
      <c r="M1214" t="s">
        <v>43</v>
      </c>
      <c r="O1214">
        <v>0</v>
      </c>
      <c r="P1214" t="s">
        <v>1263</v>
      </c>
      <c r="Q1214" t="s">
        <v>2682</v>
      </c>
      <c r="R1214">
        <v>42.15</v>
      </c>
      <c r="S1214" s="5">
        <v>45389</v>
      </c>
      <c r="T1214" s="5">
        <v>45391</v>
      </c>
      <c r="U1214" t="s">
        <v>2926</v>
      </c>
    </row>
    <row r="1215" spans="1:21" x14ac:dyDescent="0.25">
      <c r="A1215" s="5">
        <v>44960</v>
      </c>
      <c r="B1215" s="7">
        <f>Table1[[#This Row],[TotalPrice]] * (1 - Table1[[#This Row],[Discount]])</f>
        <v>876.12</v>
      </c>
      <c r="C1215" s="7">
        <f>Table1[[#This Row],[Net Sales]] * 0.2</f>
        <v>175.22400000000002</v>
      </c>
      <c r="D1215" t="s">
        <v>23</v>
      </c>
      <c r="E1215" t="s">
        <v>26</v>
      </c>
      <c r="F1215">
        <v>2</v>
      </c>
      <c r="G1215">
        <v>438.06</v>
      </c>
      <c r="H1215" t="s">
        <v>31</v>
      </c>
      <c r="I1215" t="s">
        <v>36</v>
      </c>
      <c r="J1215" s="3">
        <v>0</v>
      </c>
      <c r="K1215" t="s">
        <v>39</v>
      </c>
      <c r="L1215">
        <v>876.12</v>
      </c>
      <c r="M1215" t="s">
        <v>43</v>
      </c>
      <c r="N1215" t="s">
        <v>48</v>
      </c>
      <c r="O1215">
        <v>1</v>
      </c>
      <c r="P1215" t="s">
        <v>1264</v>
      </c>
      <c r="Q1215" t="s">
        <v>2683</v>
      </c>
      <c r="R1215">
        <v>12.9</v>
      </c>
      <c r="S1215" s="5">
        <v>44960</v>
      </c>
      <c r="T1215" s="5">
        <v>44966</v>
      </c>
      <c r="U1215" t="s">
        <v>2926</v>
      </c>
    </row>
    <row r="1216" spans="1:21" x14ac:dyDescent="0.25">
      <c r="A1216" s="5">
        <v>45621</v>
      </c>
      <c r="B1216" s="7">
        <f>Table1[[#This Row],[TotalPrice]] * (1 - Table1[[#This Row],[Discount]])</f>
        <v>61.701499999999989</v>
      </c>
      <c r="C1216" s="7">
        <f>Table1[[#This Row],[Net Sales]] * 0.2</f>
        <v>12.340299999999999</v>
      </c>
      <c r="D1216" t="s">
        <v>19</v>
      </c>
      <c r="E1216" t="s">
        <v>27</v>
      </c>
      <c r="F1216">
        <v>14</v>
      </c>
      <c r="G1216">
        <v>6.1</v>
      </c>
      <c r="H1216" t="s">
        <v>33</v>
      </c>
      <c r="I1216" t="s">
        <v>35</v>
      </c>
      <c r="J1216" s="3">
        <v>0.15</v>
      </c>
      <c r="K1216" t="s">
        <v>40</v>
      </c>
      <c r="L1216">
        <v>72.589999999999989</v>
      </c>
      <c r="M1216" t="s">
        <v>43</v>
      </c>
      <c r="N1216" t="s">
        <v>48</v>
      </c>
      <c r="O1216">
        <v>1</v>
      </c>
      <c r="P1216" t="s">
        <v>1265</v>
      </c>
      <c r="Q1216" t="s">
        <v>2684</v>
      </c>
      <c r="R1216">
        <v>10.18</v>
      </c>
      <c r="S1216" s="5">
        <v>45621</v>
      </c>
      <c r="T1216" s="5">
        <v>45626</v>
      </c>
      <c r="U1216" t="s">
        <v>2922</v>
      </c>
    </row>
    <row r="1217" spans="1:21" x14ac:dyDescent="0.25">
      <c r="A1217" s="5">
        <v>45473</v>
      </c>
      <c r="B1217" s="7">
        <f>Table1[[#This Row],[TotalPrice]] * (1 - Table1[[#This Row],[Discount]])</f>
        <v>160.28</v>
      </c>
      <c r="C1217" s="7">
        <f>Table1[[#This Row],[Net Sales]] * 0.2</f>
        <v>32.056000000000004</v>
      </c>
      <c r="D1217" t="s">
        <v>21</v>
      </c>
      <c r="E1217" t="s">
        <v>24</v>
      </c>
      <c r="F1217">
        <v>2</v>
      </c>
      <c r="G1217">
        <v>80.14</v>
      </c>
      <c r="H1217" t="s">
        <v>34</v>
      </c>
      <c r="I1217" t="s">
        <v>35</v>
      </c>
      <c r="J1217" s="3">
        <v>0</v>
      </c>
      <c r="K1217" t="s">
        <v>40</v>
      </c>
      <c r="L1217">
        <v>160.28</v>
      </c>
      <c r="M1217" t="s">
        <v>43</v>
      </c>
      <c r="N1217" t="s">
        <v>48</v>
      </c>
      <c r="O1217">
        <v>1</v>
      </c>
      <c r="P1217" t="s">
        <v>1266</v>
      </c>
      <c r="Q1217" t="s">
        <v>2685</v>
      </c>
      <c r="R1217">
        <v>13.41</v>
      </c>
      <c r="S1217" s="5">
        <v>45473</v>
      </c>
      <c r="T1217" s="5">
        <v>45476</v>
      </c>
      <c r="U1217" t="s">
        <v>2924</v>
      </c>
    </row>
    <row r="1218" spans="1:21" x14ac:dyDescent="0.25">
      <c r="A1218" s="5">
        <v>45140</v>
      </c>
      <c r="B1218" s="7">
        <f>Table1[[#This Row],[TotalPrice]] * (1 - Table1[[#This Row],[Discount]])</f>
        <v>532.24407499999995</v>
      </c>
      <c r="C1218" s="7">
        <f>Table1[[#This Row],[Net Sales]] * 0.2</f>
        <v>106.448815</v>
      </c>
      <c r="D1218" t="s">
        <v>20</v>
      </c>
      <c r="E1218" t="s">
        <v>24</v>
      </c>
      <c r="F1218">
        <v>11</v>
      </c>
      <c r="G1218">
        <v>66.97</v>
      </c>
      <c r="H1218" t="s">
        <v>32</v>
      </c>
      <c r="I1218" t="s">
        <v>36</v>
      </c>
      <c r="J1218" s="3">
        <v>0.15</v>
      </c>
      <c r="K1218" t="s">
        <v>42</v>
      </c>
      <c r="L1218">
        <v>626.16949999999997</v>
      </c>
      <c r="M1218" t="s">
        <v>44</v>
      </c>
      <c r="N1218" t="s">
        <v>48</v>
      </c>
      <c r="O1218">
        <v>1</v>
      </c>
      <c r="P1218" t="s">
        <v>1267</v>
      </c>
      <c r="Q1218" t="s">
        <v>2686</v>
      </c>
      <c r="R1218">
        <v>20.350000000000001</v>
      </c>
      <c r="S1218" s="5">
        <v>45140</v>
      </c>
      <c r="T1218" s="5">
        <v>45149</v>
      </c>
      <c r="U1218" t="s">
        <v>2923</v>
      </c>
    </row>
    <row r="1219" spans="1:21" x14ac:dyDescent="0.25">
      <c r="A1219" s="5">
        <v>45344</v>
      </c>
      <c r="B1219" s="7">
        <f>Table1[[#This Row],[TotalPrice]] * (1 - Table1[[#This Row],[Discount]])</f>
        <v>1088.04</v>
      </c>
      <c r="C1219" s="7">
        <f>Table1[[#This Row],[Net Sales]] * 0.2</f>
        <v>217.608</v>
      </c>
      <c r="D1219" t="s">
        <v>20</v>
      </c>
      <c r="E1219" t="s">
        <v>27</v>
      </c>
      <c r="F1219">
        <v>6</v>
      </c>
      <c r="G1219">
        <v>181.34</v>
      </c>
      <c r="H1219" t="s">
        <v>32</v>
      </c>
      <c r="I1219" t="s">
        <v>35</v>
      </c>
      <c r="J1219" s="3">
        <v>0</v>
      </c>
      <c r="K1219" t="s">
        <v>38</v>
      </c>
      <c r="L1219">
        <v>1088.04</v>
      </c>
      <c r="M1219" t="s">
        <v>47</v>
      </c>
      <c r="N1219" t="s">
        <v>48</v>
      </c>
      <c r="O1219">
        <v>0</v>
      </c>
      <c r="P1219" t="s">
        <v>1268</v>
      </c>
      <c r="Q1219" t="s">
        <v>2687</v>
      </c>
      <c r="R1219">
        <v>27.65</v>
      </c>
      <c r="S1219" s="5">
        <v>45344</v>
      </c>
      <c r="T1219" s="5">
        <v>45349</v>
      </c>
      <c r="U1219" t="s">
        <v>2923</v>
      </c>
    </row>
    <row r="1220" spans="1:21" x14ac:dyDescent="0.25">
      <c r="A1220" s="5">
        <v>45625</v>
      </c>
      <c r="B1220" s="7">
        <f>Table1[[#This Row],[TotalPrice]] * (1 - Table1[[#This Row],[Discount]])</f>
        <v>7716.375</v>
      </c>
      <c r="C1220" s="7">
        <f>Table1[[#This Row],[Net Sales]] * 0.2</f>
        <v>1543.2750000000001</v>
      </c>
      <c r="D1220" t="s">
        <v>21</v>
      </c>
      <c r="E1220" t="s">
        <v>28</v>
      </c>
      <c r="F1220">
        <v>15</v>
      </c>
      <c r="G1220">
        <v>570</v>
      </c>
      <c r="H1220" t="s">
        <v>34</v>
      </c>
      <c r="I1220" t="s">
        <v>35</v>
      </c>
      <c r="J1220" s="3">
        <v>0.05</v>
      </c>
      <c r="K1220" t="s">
        <v>39</v>
      </c>
      <c r="L1220">
        <v>8122.5</v>
      </c>
      <c r="M1220" t="s">
        <v>44</v>
      </c>
      <c r="O1220">
        <v>0</v>
      </c>
      <c r="P1220" t="s">
        <v>1269</v>
      </c>
      <c r="Q1220" t="s">
        <v>2688</v>
      </c>
      <c r="R1220">
        <v>7.62</v>
      </c>
      <c r="S1220" s="5">
        <v>45625</v>
      </c>
      <c r="T1220" s="5">
        <v>45635</v>
      </c>
      <c r="U1220" t="s">
        <v>2924</v>
      </c>
    </row>
    <row r="1221" spans="1:21" x14ac:dyDescent="0.25">
      <c r="A1221" s="5">
        <v>45128</v>
      </c>
      <c r="B1221" s="7">
        <f>Table1[[#This Row],[TotalPrice]] * (1 - Table1[[#This Row],[Discount]])</f>
        <v>3822.1044749999996</v>
      </c>
      <c r="C1221" s="7">
        <f>Table1[[#This Row],[Net Sales]] * 0.2</f>
        <v>764.42089499999997</v>
      </c>
      <c r="D1221" t="s">
        <v>21</v>
      </c>
      <c r="E1221" t="s">
        <v>28</v>
      </c>
      <c r="F1221">
        <v>9</v>
      </c>
      <c r="G1221">
        <v>587.79</v>
      </c>
      <c r="H1221" t="s">
        <v>34</v>
      </c>
      <c r="I1221" t="s">
        <v>35</v>
      </c>
      <c r="J1221" s="3">
        <v>0.15</v>
      </c>
      <c r="K1221" t="s">
        <v>42</v>
      </c>
      <c r="L1221">
        <v>4496.5934999999999</v>
      </c>
      <c r="M1221" t="s">
        <v>43</v>
      </c>
      <c r="O1221">
        <v>0</v>
      </c>
      <c r="P1221" t="s">
        <v>1270</v>
      </c>
      <c r="Q1221" t="s">
        <v>2689</v>
      </c>
      <c r="R1221">
        <v>24.64</v>
      </c>
      <c r="S1221" s="5">
        <v>45128</v>
      </c>
      <c r="T1221" s="5">
        <v>45138</v>
      </c>
      <c r="U1221" t="s">
        <v>2924</v>
      </c>
    </row>
    <row r="1222" spans="1:21" x14ac:dyDescent="0.25">
      <c r="A1222" s="5">
        <v>45030</v>
      </c>
      <c r="B1222" s="7">
        <f>Table1[[#This Row],[TotalPrice]] * (1 - Table1[[#This Row],[Discount]])</f>
        <v>954.06660000000011</v>
      </c>
      <c r="C1222" s="7">
        <f>Table1[[#This Row],[Net Sales]] * 0.2</f>
        <v>190.81332000000003</v>
      </c>
      <c r="D1222" t="s">
        <v>22</v>
      </c>
      <c r="E1222" t="s">
        <v>25</v>
      </c>
      <c r="F1222">
        <v>6</v>
      </c>
      <c r="G1222">
        <v>196.31</v>
      </c>
      <c r="H1222" t="s">
        <v>33</v>
      </c>
      <c r="I1222" t="s">
        <v>36</v>
      </c>
      <c r="J1222" s="3">
        <v>0.1</v>
      </c>
      <c r="K1222" t="s">
        <v>40</v>
      </c>
      <c r="L1222">
        <v>1060.0740000000001</v>
      </c>
      <c r="M1222" t="s">
        <v>43</v>
      </c>
      <c r="N1222" t="s">
        <v>50</v>
      </c>
      <c r="O1222">
        <v>0</v>
      </c>
      <c r="P1222" t="s">
        <v>1271</v>
      </c>
      <c r="Q1222" t="s">
        <v>2690</v>
      </c>
      <c r="R1222">
        <v>38.65</v>
      </c>
      <c r="S1222" s="5">
        <v>45030</v>
      </c>
      <c r="T1222" s="5">
        <v>45033</v>
      </c>
      <c r="U1222" t="s">
        <v>2925</v>
      </c>
    </row>
    <row r="1223" spans="1:21" x14ac:dyDescent="0.25">
      <c r="A1223" s="5">
        <v>44958</v>
      </c>
      <c r="B1223" s="7">
        <f>Table1[[#This Row],[TotalPrice]] * (1 - Table1[[#This Row],[Discount]])</f>
        <v>3105.0331999999999</v>
      </c>
      <c r="C1223" s="7">
        <f>Table1[[#This Row],[Net Sales]] * 0.2</f>
        <v>621.00664000000006</v>
      </c>
      <c r="D1223" t="s">
        <v>21</v>
      </c>
      <c r="E1223" t="s">
        <v>25</v>
      </c>
      <c r="F1223">
        <v>8</v>
      </c>
      <c r="G1223">
        <v>430.06</v>
      </c>
      <c r="H1223" t="s">
        <v>31</v>
      </c>
      <c r="I1223" t="s">
        <v>35</v>
      </c>
      <c r="J1223" s="3">
        <v>0.05</v>
      </c>
      <c r="K1223" t="s">
        <v>42</v>
      </c>
      <c r="L1223">
        <v>3268.4560000000001</v>
      </c>
      <c r="M1223" t="s">
        <v>46</v>
      </c>
      <c r="N1223" t="s">
        <v>49</v>
      </c>
      <c r="O1223">
        <v>0</v>
      </c>
      <c r="P1223" t="s">
        <v>1272</v>
      </c>
      <c r="Q1223" t="s">
        <v>2691</v>
      </c>
      <c r="R1223">
        <v>38.450000000000003</v>
      </c>
      <c r="S1223" s="5">
        <v>44958</v>
      </c>
      <c r="T1223" s="5">
        <v>44962</v>
      </c>
      <c r="U1223" t="s">
        <v>2924</v>
      </c>
    </row>
    <row r="1224" spans="1:21" x14ac:dyDescent="0.25">
      <c r="A1224" s="5">
        <v>45473</v>
      </c>
      <c r="B1224" s="7">
        <f>Table1[[#This Row],[TotalPrice]] * (1 - Table1[[#This Row],[Discount]])</f>
        <v>4873.0248000000001</v>
      </c>
      <c r="C1224" s="7">
        <f>Table1[[#This Row],[Net Sales]] * 0.2</f>
        <v>974.60496000000012</v>
      </c>
      <c r="D1224" t="s">
        <v>19</v>
      </c>
      <c r="E1224" t="s">
        <v>28</v>
      </c>
      <c r="F1224">
        <v>14</v>
      </c>
      <c r="G1224">
        <v>429.72</v>
      </c>
      <c r="H1224" t="s">
        <v>32</v>
      </c>
      <c r="I1224" t="s">
        <v>36</v>
      </c>
      <c r="J1224" s="3">
        <v>0.1</v>
      </c>
      <c r="K1224" t="s">
        <v>37</v>
      </c>
      <c r="L1224">
        <v>5414.4719999999998</v>
      </c>
      <c r="M1224" t="s">
        <v>47</v>
      </c>
      <c r="N1224" t="s">
        <v>49</v>
      </c>
      <c r="O1224">
        <v>0</v>
      </c>
      <c r="P1224" t="s">
        <v>1273</v>
      </c>
      <c r="Q1224" t="s">
        <v>2692</v>
      </c>
      <c r="R1224">
        <v>45.78</v>
      </c>
      <c r="S1224" s="5">
        <v>45473</v>
      </c>
      <c r="T1224" s="5">
        <v>45478</v>
      </c>
      <c r="U1224" t="s">
        <v>2922</v>
      </c>
    </row>
    <row r="1225" spans="1:21" x14ac:dyDescent="0.25">
      <c r="A1225" s="5">
        <v>45217</v>
      </c>
      <c r="B1225" s="7">
        <f>Table1[[#This Row],[TotalPrice]] * (1 - Table1[[#This Row],[Discount]])</f>
        <v>1655.42</v>
      </c>
      <c r="C1225" s="7">
        <f>Table1[[#This Row],[Net Sales]] * 0.2</f>
        <v>331.08400000000006</v>
      </c>
      <c r="D1225" t="s">
        <v>22</v>
      </c>
      <c r="E1225" t="s">
        <v>25</v>
      </c>
      <c r="F1225">
        <v>13</v>
      </c>
      <c r="G1225">
        <v>127.34</v>
      </c>
      <c r="H1225" t="s">
        <v>34</v>
      </c>
      <c r="I1225" t="s">
        <v>35</v>
      </c>
      <c r="J1225" s="3">
        <v>0</v>
      </c>
      <c r="K1225" t="s">
        <v>38</v>
      </c>
      <c r="L1225">
        <v>1655.42</v>
      </c>
      <c r="M1225" t="s">
        <v>45</v>
      </c>
      <c r="N1225" t="s">
        <v>50</v>
      </c>
      <c r="O1225">
        <v>0</v>
      </c>
      <c r="P1225" t="s">
        <v>1274</v>
      </c>
      <c r="Q1225" t="s">
        <v>2693</v>
      </c>
      <c r="R1225">
        <v>6.15</v>
      </c>
      <c r="S1225" s="5">
        <v>45217</v>
      </c>
      <c r="T1225" s="5">
        <v>45220</v>
      </c>
      <c r="U1225" t="s">
        <v>2925</v>
      </c>
    </row>
    <row r="1226" spans="1:21" x14ac:dyDescent="0.25">
      <c r="A1226" s="5">
        <v>45477</v>
      </c>
      <c r="B1226" s="7">
        <f>Table1[[#This Row],[TotalPrice]] * (1 - Table1[[#This Row],[Discount]])</f>
        <v>2284.9675499999998</v>
      </c>
      <c r="C1226" s="7">
        <f>Table1[[#This Row],[Net Sales]] * 0.2</f>
        <v>456.99351000000001</v>
      </c>
      <c r="D1226" t="s">
        <v>19</v>
      </c>
      <c r="E1226" t="s">
        <v>28</v>
      </c>
      <c r="F1226">
        <v>6</v>
      </c>
      <c r="G1226">
        <v>421.97</v>
      </c>
      <c r="H1226" t="s">
        <v>31</v>
      </c>
      <c r="I1226" t="s">
        <v>35</v>
      </c>
      <c r="J1226" s="3">
        <v>0.05</v>
      </c>
      <c r="K1226" t="s">
        <v>42</v>
      </c>
      <c r="L1226">
        <v>2405.2289999999998</v>
      </c>
      <c r="M1226" t="s">
        <v>47</v>
      </c>
      <c r="N1226" t="s">
        <v>50</v>
      </c>
      <c r="O1226">
        <v>0</v>
      </c>
      <c r="P1226" t="s">
        <v>1275</v>
      </c>
      <c r="Q1226" t="s">
        <v>2694</v>
      </c>
      <c r="R1226">
        <v>41.31</v>
      </c>
      <c r="S1226" s="5">
        <v>45477</v>
      </c>
      <c r="T1226" s="5">
        <v>45486</v>
      </c>
      <c r="U1226" t="s">
        <v>2922</v>
      </c>
    </row>
    <row r="1227" spans="1:21" x14ac:dyDescent="0.25">
      <c r="A1227" s="5">
        <v>45477</v>
      </c>
      <c r="B1227" s="7">
        <f>Table1[[#This Row],[TotalPrice]] * (1 - Table1[[#This Row],[Discount]])</f>
        <v>815.30512499999998</v>
      </c>
      <c r="C1227" s="7">
        <f>Table1[[#This Row],[Net Sales]] * 0.2</f>
        <v>163.061025</v>
      </c>
      <c r="D1227" t="s">
        <v>19</v>
      </c>
      <c r="E1227" t="s">
        <v>29</v>
      </c>
      <c r="F1227">
        <v>5</v>
      </c>
      <c r="G1227">
        <v>225.69</v>
      </c>
      <c r="H1227" t="s">
        <v>32</v>
      </c>
      <c r="I1227" t="s">
        <v>35</v>
      </c>
      <c r="J1227" s="3">
        <v>0.15</v>
      </c>
      <c r="K1227" t="s">
        <v>40</v>
      </c>
      <c r="L1227">
        <v>959.1825</v>
      </c>
      <c r="M1227" t="s">
        <v>44</v>
      </c>
      <c r="N1227" t="s">
        <v>50</v>
      </c>
      <c r="O1227">
        <v>0</v>
      </c>
      <c r="P1227" t="s">
        <v>1276</v>
      </c>
      <c r="Q1227" t="s">
        <v>2695</v>
      </c>
      <c r="R1227">
        <v>47.6</v>
      </c>
      <c r="S1227" s="5">
        <v>45477</v>
      </c>
      <c r="T1227" s="5">
        <v>45485</v>
      </c>
      <c r="U1227" t="s">
        <v>2922</v>
      </c>
    </row>
    <row r="1228" spans="1:21" x14ac:dyDescent="0.25">
      <c r="A1228" s="5">
        <v>45134</v>
      </c>
      <c r="B1228" s="7">
        <f>Table1[[#This Row],[TotalPrice]] * (1 - Table1[[#This Row],[Discount]])</f>
        <v>2327.2447499999998</v>
      </c>
      <c r="C1228" s="7">
        <f>Table1[[#This Row],[Net Sales]] * 0.2</f>
        <v>465.44894999999997</v>
      </c>
      <c r="D1228" t="s">
        <v>21</v>
      </c>
      <c r="E1228" t="s">
        <v>28</v>
      </c>
      <c r="F1228">
        <v>10</v>
      </c>
      <c r="G1228">
        <v>322.11</v>
      </c>
      <c r="H1228" t="s">
        <v>32</v>
      </c>
      <c r="I1228" t="s">
        <v>36</v>
      </c>
      <c r="J1228" s="3">
        <v>0.15</v>
      </c>
      <c r="K1228" t="s">
        <v>41</v>
      </c>
      <c r="L1228">
        <v>2737.9349999999999</v>
      </c>
      <c r="M1228" t="s">
        <v>46</v>
      </c>
      <c r="N1228" t="s">
        <v>50</v>
      </c>
      <c r="O1228">
        <v>0</v>
      </c>
      <c r="P1228" t="s">
        <v>1277</v>
      </c>
      <c r="Q1228" t="s">
        <v>2696</v>
      </c>
      <c r="R1228">
        <v>28.72</v>
      </c>
      <c r="S1228" s="5">
        <v>45134</v>
      </c>
      <c r="T1228" s="5">
        <v>45140</v>
      </c>
      <c r="U1228" t="s">
        <v>2924</v>
      </c>
    </row>
    <row r="1229" spans="1:21" x14ac:dyDescent="0.25">
      <c r="A1229" s="5">
        <v>45717</v>
      </c>
      <c r="B1229" s="7">
        <f>Table1[[#This Row],[TotalPrice]] * (1 - Table1[[#This Row],[Discount]])</f>
        <v>755.57299999999998</v>
      </c>
      <c r="C1229" s="7">
        <f>Table1[[#This Row],[Net Sales]] * 0.2</f>
        <v>151.1146</v>
      </c>
      <c r="D1229" t="s">
        <v>23</v>
      </c>
      <c r="E1229" t="s">
        <v>26</v>
      </c>
      <c r="F1229">
        <v>4</v>
      </c>
      <c r="G1229">
        <v>209.3</v>
      </c>
      <c r="H1229" t="s">
        <v>31</v>
      </c>
      <c r="I1229" t="s">
        <v>36</v>
      </c>
      <c r="J1229" s="3">
        <v>0.05</v>
      </c>
      <c r="K1229" t="s">
        <v>38</v>
      </c>
      <c r="L1229">
        <v>795.34</v>
      </c>
      <c r="M1229" t="s">
        <v>44</v>
      </c>
      <c r="O1229">
        <v>0</v>
      </c>
      <c r="P1229" t="s">
        <v>1278</v>
      </c>
      <c r="Q1229" t="s">
        <v>2697</v>
      </c>
      <c r="R1229">
        <v>6.89</v>
      </c>
      <c r="S1229" s="5">
        <v>45717</v>
      </c>
      <c r="T1229" s="5">
        <v>45722</v>
      </c>
      <c r="U1229" t="s">
        <v>2926</v>
      </c>
    </row>
    <row r="1230" spans="1:21" x14ac:dyDescent="0.25">
      <c r="A1230" s="5">
        <v>44980</v>
      </c>
      <c r="B1230" s="7">
        <f>Table1[[#This Row],[TotalPrice]] * (1 - Table1[[#This Row],[Discount]])</f>
        <v>4227.0336000000007</v>
      </c>
      <c r="C1230" s="7">
        <f>Table1[[#This Row],[Net Sales]] * 0.2</f>
        <v>845.40672000000018</v>
      </c>
      <c r="D1230" t="s">
        <v>22</v>
      </c>
      <c r="E1230" t="s">
        <v>26</v>
      </c>
      <c r="F1230">
        <v>16</v>
      </c>
      <c r="G1230">
        <v>326.16000000000003</v>
      </c>
      <c r="H1230" t="s">
        <v>33</v>
      </c>
      <c r="I1230" t="s">
        <v>35</v>
      </c>
      <c r="J1230" s="3">
        <v>0.1</v>
      </c>
      <c r="K1230" t="s">
        <v>39</v>
      </c>
      <c r="L1230">
        <v>4696.7040000000006</v>
      </c>
      <c r="M1230" t="s">
        <v>45</v>
      </c>
      <c r="O1230">
        <v>0</v>
      </c>
      <c r="P1230" t="s">
        <v>1279</v>
      </c>
      <c r="Q1230" t="s">
        <v>2698</v>
      </c>
      <c r="R1230">
        <v>44.3</v>
      </c>
      <c r="S1230" s="5">
        <v>44980</v>
      </c>
      <c r="T1230" s="5">
        <v>44982</v>
      </c>
      <c r="U1230" t="s">
        <v>2925</v>
      </c>
    </row>
    <row r="1231" spans="1:21" x14ac:dyDescent="0.25">
      <c r="A1231" s="5">
        <v>44937</v>
      </c>
      <c r="B1231" s="7">
        <f>Table1[[#This Row],[TotalPrice]] * (1 - Table1[[#This Row],[Discount]])</f>
        <v>6700.4599999999991</v>
      </c>
      <c r="C1231" s="7">
        <f>Table1[[#This Row],[Net Sales]] * 0.2</f>
        <v>1340.0919999999999</v>
      </c>
      <c r="D1231" t="s">
        <v>19</v>
      </c>
      <c r="E1231" t="s">
        <v>28</v>
      </c>
      <c r="F1231">
        <v>13</v>
      </c>
      <c r="G1231">
        <v>515.41999999999996</v>
      </c>
      <c r="H1231" t="s">
        <v>34</v>
      </c>
      <c r="I1231" t="s">
        <v>36</v>
      </c>
      <c r="J1231" s="3">
        <v>0</v>
      </c>
      <c r="K1231" t="s">
        <v>42</v>
      </c>
      <c r="L1231">
        <v>6700.4599999999991</v>
      </c>
      <c r="M1231" t="s">
        <v>43</v>
      </c>
      <c r="N1231" t="s">
        <v>48</v>
      </c>
      <c r="O1231">
        <v>0</v>
      </c>
      <c r="P1231" t="s">
        <v>1280</v>
      </c>
      <c r="Q1231" t="s">
        <v>2699</v>
      </c>
      <c r="R1231">
        <v>43.37</v>
      </c>
      <c r="S1231" s="5">
        <v>44937</v>
      </c>
      <c r="T1231" s="5">
        <v>44946</v>
      </c>
      <c r="U1231" t="s">
        <v>2922</v>
      </c>
    </row>
    <row r="1232" spans="1:21" x14ac:dyDescent="0.25">
      <c r="A1232" s="5">
        <v>45398</v>
      </c>
      <c r="B1232" s="7">
        <f>Table1[[#This Row],[TotalPrice]] * (1 - Table1[[#This Row],[Discount]])</f>
        <v>908.81000000000006</v>
      </c>
      <c r="C1232" s="7">
        <f>Table1[[#This Row],[Net Sales]] * 0.2</f>
        <v>181.76200000000003</v>
      </c>
      <c r="D1232" t="s">
        <v>23</v>
      </c>
      <c r="E1232" t="s">
        <v>29</v>
      </c>
      <c r="F1232">
        <v>7</v>
      </c>
      <c r="G1232">
        <v>129.83000000000001</v>
      </c>
      <c r="H1232" t="s">
        <v>32</v>
      </c>
      <c r="I1232" t="s">
        <v>35</v>
      </c>
      <c r="J1232" s="3">
        <v>0</v>
      </c>
      <c r="K1232" t="s">
        <v>40</v>
      </c>
      <c r="L1232">
        <v>908.81000000000006</v>
      </c>
      <c r="M1232" t="s">
        <v>44</v>
      </c>
      <c r="N1232" t="s">
        <v>50</v>
      </c>
      <c r="O1232">
        <v>0</v>
      </c>
      <c r="P1232" t="s">
        <v>1281</v>
      </c>
      <c r="Q1232" t="s">
        <v>2700</v>
      </c>
      <c r="R1232">
        <v>13.12</v>
      </c>
      <c r="S1232" s="5">
        <v>45398</v>
      </c>
      <c r="T1232" s="5">
        <v>45402</v>
      </c>
      <c r="U1232" t="s">
        <v>2926</v>
      </c>
    </row>
    <row r="1233" spans="1:21" x14ac:dyDescent="0.25">
      <c r="A1233" s="5">
        <v>45360</v>
      </c>
      <c r="B1233" s="7">
        <f>Table1[[#This Row],[TotalPrice]] * (1 - Table1[[#This Row],[Discount]])</f>
        <v>5771.0813749999988</v>
      </c>
      <c r="C1233" s="7">
        <f>Table1[[#This Row],[Net Sales]] * 0.2</f>
        <v>1154.2162749999998</v>
      </c>
      <c r="D1233" t="s">
        <v>22</v>
      </c>
      <c r="E1233" t="s">
        <v>28</v>
      </c>
      <c r="F1233">
        <v>17</v>
      </c>
      <c r="G1233">
        <v>376.15</v>
      </c>
      <c r="H1233" t="s">
        <v>33</v>
      </c>
      <c r="I1233" t="s">
        <v>36</v>
      </c>
      <c r="J1233" s="3">
        <v>0.05</v>
      </c>
      <c r="K1233" t="s">
        <v>41</v>
      </c>
      <c r="L1233">
        <v>6074.8224999999993</v>
      </c>
      <c r="M1233" t="s">
        <v>44</v>
      </c>
      <c r="N1233" t="s">
        <v>50</v>
      </c>
      <c r="O1233">
        <v>1</v>
      </c>
      <c r="P1233" t="s">
        <v>1282</v>
      </c>
      <c r="Q1233" t="s">
        <v>2701</v>
      </c>
      <c r="R1233">
        <v>31.96</v>
      </c>
      <c r="S1233" s="5">
        <v>45360</v>
      </c>
      <c r="T1233" s="5">
        <v>45363</v>
      </c>
      <c r="U1233" t="s">
        <v>2925</v>
      </c>
    </row>
    <row r="1234" spans="1:21" x14ac:dyDescent="0.25">
      <c r="A1234" s="5">
        <v>45572</v>
      </c>
      <c r="B1234" s="7">
        <f>Table1[[#This Row],[TotalPrice]] * (1 - Table1[[#This Row],[Discount]])</f>
        <v>3083.68</v>
      </c>
      <c r="C1234" s="7">
        <f>Table1[[#This Row],[Net Sales]] * 0.2</f>
        <v>616.73599999999999</v>
      </c>
      <c r="D1234" t="s">
        <v>20</v>
      </c>
      <c r="E1234" t="s">
        <v>27</v>
      </c>
      <c r="F1234">
        <v>8</v>
      </c>
      <c r="G1234">
        <v>385.46</v>
      </c>
      <c r="H1234" t="s">
        <v>32</v>
      </c>
      <c r="I1234" t="s">
        <v>35</v>
      </c>
      <c r="J1234" s="3">
        <v>0</v>
      </c>
      <c r="K1234" t="s">
        <v>42</v>
      </c>
      <c r="L1234">
        <v>3083.68</v>
      </c>
      <c r="M1234" t="s">
        <v>47</v>
      </c>
      <c r="N1234" t="s">
        <v>49</v>
      </c>
      <c r="O1234">
        <v>0</v>
      </c>
      <c r="P1234" t="s">
        <v>1283</v>
      </c>
      <c r="Q1234" t="s">
        <v>2702</v>
      </c>
      <c r="R1234">
        <v>8.89</v>
      </c>
      <c r="S1234" s="5">
        <v>45572</v>
      </c>
      <c r="T1234" s="5">
        <v>45576</v>
      </c>
      <c r="U1234" t="s">
        <v>2923</v>
      </c>
    </row>
    <row r="1235" spans="1:21" x14ac:dyDescent="0.25">
      <c r="A1235" s="5">
        <v>45205</v>
      </c>
      <c r="B1235" s="7">
        <f>Table1[[#This Row],[TotalPrice]] * (1 - Table1[[#This Row],[Discount]])</f>
        <v>948.26</v>
      </c>
      <c r="C1235" s="7">
        <f>Table1[[#This Row],[Net Sales]] * 0.2</f>
        <v>189.65200000000002</v>
      </c>
      <c r="D1235" t="s">
        <v>23</v>
      </c>
      <c r="E1235" t="s">
        <v>30</v>
      </c>
      <c r="F1235">
        <v>2</v>
      </c>
      <c r="G1235">
        <v>474.13</v>
      </c>
      <c r="H1235" t="s">
        <v>34</v>
      </c>
      <c r="I1235" t="s">
        <v>35</v>
      </c>
      <c r="J1235" s="3">
        <v>0</v>
      </c>
      <c r="K1235" t="s">
        <v>40</v>
      </c>
      <c r="L1235">
        <v>948.26</v>
      </c>
      <c r="M1235" t="s">
        <v>44</v>
      </c>
      <c r="N1235" t="s">
        <v>48</v>
      </c>
      <c r="O1235">
        <v>1</v>
      </c>
      <c r="P1235" t="s">
        <v>1284</v>
      </c>
      <c r="Q1235" t="s">
        <v>2703</v>
      </c>
      <c r="R1235">
        <v>14.41</v>
      </c>
      <c r="S1235" s="5">
        <v>45205</v>
      </c>
      <c r="T1235" s="5">
        <v>45214</v>
      </c>
      <c r="U1235" t="s">
        <v>2926</v>
      </c>
    </row>
    <row r="1236" spans="1:21" x14ac:dyDescent="0.25">
      <c r="A1236" s="5">
        <v>45024</v>
      </c>
      <c r="B1236" s="7">
        <f>Table1[[#This Row],[TotalPrice]] * (1 - Table1[[#This Row],[Discount]])</f>
        <v>6852.2763749999995</v>
      </c>
      <c r="C1236" s="7">
        <f>Table1[[#This Row],[Net Sales]] * 0.2</f>
        <v>1370.455275</v>
      </c>
      <c r="D1236" t="s">
        <v>23</v>
      </c>
      <c r="E1236" t="s">
        <v>28</v>
      </c>
      <c r="F1236">
        <v>15</v>
      </c>
      <c r="G1236">
        <v>506.17</v>
      </c>
      <c r="H1236" t="s">
        <v>31</v>
      </c>
      <c r="I1236" t="s">
        <v>35</v>
      </c>
      <c r="J1236" s="3">
        <v>0.05</v>
      </c>
      <c r="K1236" t="s">
        <v>38</v>
      </c>
      <c r="L1236">
        <v>7212.9224999999997</v>
      </c>
      <c r="M1236" t="s">
        <v>43</v>
      </c>
      <c r="O1236">
        <v>0</v>
      </c>
      <c r="P1236" t="s">
        <v>1285</v>
      </c>
      <c r="Q1236" t="s">
        <v>2704</v>
      </c>
      <c r="R1236">
        <v>41.73</v>
      </c>
      <c r="S1236" s="5">
        <v>45024</v>
      </c>
      <c r="T1236" s="5">
        <v>45029</v>
      </c>
      <c r="U1236" t="s">
        <v>2926</v>
      </c>
    </row>
    <row r="1237" spans="1:21" x14ac:dyDescent="0.25">
      <c r="A1237" s="5">
        <v>45342</v>
      </c>
      <c r="B1237" s="7">
        <f>Table1[[#This Row],[TotalPrice]] * (1 - Table1[[#This Row],[Discount]])</f>
        <v>48.682050000000004</v>
      </c>
      <c r="C1237" s="7">
        <f>Table1[[#This Row],[Net Sales]] * 0.2</f>
        <v>9.7364100000000011</v>
      </c>
      <c r="D1237" t="s">
        <v>20</v>
      </c>
      <c r="E1237" t="s">
        <v>25</v>
      </c>
      <c r="F1237">
        <v>1</v>
      </c>
      <c r="G1237">
        <v>67.38</v>
      </c>
      <c r="H1237" t="s">
        <v>34</v>
      </c>
      <c r="I1237" t="s">
        <v>36</v>
      </c>
      <c r="J1237" s="3">
        <v>0.15</v>
      </c>
      <c r="K1237" t="s">
        <v>38</v>
      </c>
      <c r="L1237">
        <v>57.273000000000003</v>
      </c>
      <c r="M1237" t="s">
        <v>45</v>
      </c>
      <c r="N1237" t="s">
        <v>50</v>
      </c>
      <c r="O1237">
        <v>0</v>
      </c>
      <c r="P1237" t="s">
        <v>1286</v>
      </c>
      <c r="Q1237" t="s">
        <v>2705</v>
      </c>
      <c r="R1237">
        <v>6.14</v>
      </c>
      <c r="S1237" s="5">
        <v>45342</v>
      </c>
      <c r="T1237" s="5">
        <v>45349</v>
      </c>
      <c r="U1237" t="s">
        <v>2923</v>
      </c>
    </row>
    <row r="1238" spans="1:21" x14ac:dyDescent="0.25">
      <c r="A1238" s="5">
        <v>44956</v>
      </c>
      <c r="B1238" s="7">
        <f>Table1[[#This Row],[TotalPrice]] * (1 - Table1[[#This Row],[Discount]])</f>
        <v>2972.7262499999997</v>
      </c>
      <c r="C1238" s="7">
        <f>Table1[[#This Row],[Net Sales]] * 0.2</f>
        <v>594.54525000000001</v>
      </c>
      <c r="D1238" t="s">
        <v>23</v>
      </c>
      <c r="E1238" t="s">
        <v>27</v>
      </c>
      <c r="F1238">
        <v>15</v>
      </c>
      <c r="G1238">
        <v>274.3</v>
      </c>
      <c r="H1238" t="s">
        <v>31</v>
      </c>
      <c r="I1238" t="s">
        <v>36</v>
      </c>
      <c r="J1238" s="3">
        <v>0.15</v>
      </c>
      <c r="K1238" t="s">
        <v>39</v>
      </c>
      <c r="L1238">
        <v>3497.3249999999998</v>
      </c>
      <c r="M1238" t="s">
        <v>45</v>
      </c>
      <c r="O1238">
        <v>0</v>
      </c>
      <c r="P1238" t="s">
        <v>1287</v>
      </c>
      <c r="Q1238" t="s">
        <v>2706</v>
      </c>
      <c r="R1238">
        <v>21.56</v>
      </c>
      <c r="S1238" s="5">
        <v>44956</v>
      </c>
      <c r="T1238" s="5">
        <v>44965</v>
      </c>
      <c r="U1238" t="s">
        <v>2926</v>
      </c>
    </row>
    <row r="1239" spans="1:21" x14ac:dyDescent="0.25">
      <c r="A1239" s="5">
        <v>45058</v>
      </c>
      <c r="B1239" s="7">
        <f>Table1[[#This Row],[TotalPrice]] * (1 - Table1[[#This Row],[Discount]])</f>
        <v>668.96</v>
      </c>
      <c r="C1239" s="7">
        <f>Table1[[#This Row],[Net Sales]] * 0.2</f>
        <v>133.792</v>
      </c>
      <c r="D1239" t="s">
        <v>20</v>
      </c>
      <c r="E1239" t="s">
        <v>28</v>
      </c>
      <c r="F1239">
        <v>2</v>
      </c>
      <c r="G1239">
        <v>334.48</v>
      </c>
      <c r="H1239" t="s">
        <v>31</v>
      </c>
      <c r="I1239" t="s">
        <v>35</v>
      </c>
      <c r="J1239" s="3">
        <v>0</v>
      </c>
      <c r="K1239" t="s">
        <v>38</v>
      </c>
      <c r="L1239">
        <v>668.96</v>
      </c>
      <c r="M1239" t="s">
        <v>46</v>
      </c>
      <c r="O1239">
        <v>0</v>
      </c>
      <c r="P1239" t="s">
        <v>1288</v>
      </c>
      <c r="Q1239" t="s">
        <v>2707</v>
      </c>
      <c r="R1239">
        <v>31.53</v>
      </c>
      <c r="S1239" s="5">
        <v>45058</v>
      </c>
      <c r="T1239" s="5">
        <v>45066</v>
      </c>
      <c r="U1239" t="s">
        <v>2923</v>
      </c>
    </row>
    <row r="1240" spans="1:21" x14ac:dyDescent="0.25">
      <c r="A1240" s="5">
        <v>45299</v>
      </c>
      <c r="B1240" s="7">
        <f>Table1[[#This Row],[TotalPrice]] * (1 - Table1[[#This Row],[Discount]])</f>
        <v>2845.3494999999998</v>
      </c>
      <c r="C1240" s="7">
        <f>Table1[[#This Row],[Net Sales]] * 0.2</f>
        <v>569.06989999999996</v>
      </c>
      <c r="D1240" t="s">
        <v>20</v>
      </c>
      <c r="E1240" t="s">
        <v>27</v>
      </c>
      <c r="F1240">
        <v>7</v>
      </c>
      <c r="G1240">
        <v>562.6</v>
      </c>
      <c r="H1240" t="s">
        <v>32</v>
      </c>
      <c r="I1240" t="s">
        <v>36</v>
      </c>
      <c r="J1240" s="3">
        <v>0.15</v>
      </c>
      <c r="K1240" t="s">
        <v>37</v>
      </c>
      <c r="L1240">
        <v>3347.47</v>
      </c>
      <c r="M1240" t="s">
        <v>43</v>
      </c>
      <c r="N1240" t="s">
        <v>50</v>
      </c>
      <c r="O1240">
        <v>0</v>
      </c>
      <c r="P1240" t="s">
        <v>1289</v>
      </c>
      <c r="Q1240" t="s">
        <v>2708</v>
      </c>
      <c r="R1240">
        <v>19.95</v>
      </c>
      <c r="S1240" s="5">
        <v>45299</v>
      </c>
      <c r="T1240" s="5">
        <v>45303</v>
      </c>
      <c r="U1240" t="s">
        <v>2923</v>
      </c>
    </row>
    <row r="1241" spans="1:21" x14ac:dyDescent="0.25">
      <c r="A1241" s="5">
        <v>45448</v>
      </c>
      <c r="B1241" s="7">
        <f>Table1[[#This Row],[TotalPrice]] * (1 - Table1[[#This Row],[Discount]])</f>
        <v>90.592949999999988</v>
      </c>
      <c r="C1241" s="7">
        <f>Table1[[#This Row],[Net Sales]] * 0.2</f>
        <v>18.118589999999998</v>
      </c>
      <c r="D1241" t="s">
        <v>21</v>
      </c>
      <c r="E1241" t="s">
        <v>28</v>
      </c>
      <c r="F1241">
        <v>7</v>
      </c>
      <c r="G1241">
        <v>14.34</v>
      </c>
      <c r="H1241" t="s">
        <v>34</v>
      </c>
      <c r="I1241" t="s">
        <v>36</v>
      </c>
      <c r="J1241" s="3">
        <v>0.05</v>
      </c>
      <c r="K1241" t="s">
        <v>38</v>
      </c>
      <c r="L1241">
        <v>95.36099999999999</v>
      </c>
      <c r="M1241" t="s">
        <v>46</v>
      </c>
      <c r="N1241" t="s">
        <v>50</v>
      </c>
      <c r="O1241">
        <v>0</v>
      </c>
      <c r="P1241" t="s">
        <v>1290</v>
      </c>
      <c r="Q1241" t="s">
        <v>1598</v>
      </c>
      <c r="R1241">
        <v>19.45</v>
      </c>
      <c r="S1241" s="5">
        <v>45448</v>
      </c>
      <c r="T1241" s="5">
        <v>45451</v>
      </c>
      <c r="U1241" t="s">
        <v>2924</v>
      </c>
    </row>
    <row r="1242" spans="1:21" x14ac:dyDescent="0.25">
      <c r="A1242" s="5">
        <v>45798</v>
      </c>
      <c r="B1242" s="7">
        <f>Table1[[#This Row],[TotalPrice]] * (1 - Table1[[#This Row],[Discount]])</f>
        <v>309.35520000000002</v>
      </c>
      <c r="C1242" s="7">
        <f>Table1[[#This Row],[Net Sales]] * 0.2</f>
        <v>61.871040000000008</v>
      </c>
      <c r="D1242" t="s">
        <v>19</v>
      </c>
      <c r="E1242" t="s">
        <v>25</v>
      </c>
      <c r="F1242">
        <v>11</v>
      </c>
      <c r="G1242">
        <v>34.72</v>
      </c>
      <c r="H1242" t="s">
        <v>31</v>
      </c>
      <c r="I1242" t="s">
        <v>35</v>
      </c>
      <c r="J1242" s="3">
        <v>0.1</v>
      </c>
      <c r="K1242" t="s">
        <v>41</v>
      </c>
      <c r="L1242">
        <v>343.72800000000001</v>
      </c>
      <c r="M1242" t="s">
        <v>44</v>
      </c>
      <c r="N1242" t="s">
        <v>48</v>
      </c>
      <c r="O1242">
        <v>0</v>
      </c>
      <c r="P1242" t="s">
        <v>1291</v>
      </c>
      <c r="Q1242" t="s">
        <v>2709</v>
      </c>
      <c r="R1242">
        <v>9.31</v>
      </c>
      <c r="S1242" s="5">
        <v>45798</v>
      </c>
      <c r="T1242" s="5">
        <v>45800</v>
      </c>
      <c r="U1242" t="s">
        <v>2922</v>
      </c>
    </row>
    <row r="1243" spans="1:21" x14ac:dyDescent="0.25">
      <c r="A1243" s="5">
        <v>45798</v>
      </c>
      <c r="B1243" s="7">
        <f>Table1[[#This Row],[TotalPrice]] * (1 - Table1[[#This Row],[Discount]])</f>
        <v>105.42</v>
      </c>
      <c r="C1243" s="7">
        <f>Table1[[#This Row],[Net Sales]] * 0.2</f>
        <v>21.084000000000003</v>
      </c>
      <c r="D1243" t="s">
        <v>19</v>
      </c>
      <c r="E1243" t="s">
        <v>27</v>
      </c>
      <c r="F1243">
        <v>7</v>
      </c>
      <c r="G1243">
        <v>15.06</v>
      </c>
      <c r="H1243" t="s">
        <v>32</v>
      </c>
      <c r="I1243" t="s">
        <v>36</v>
      </c>
      <c r="J1243" s="3">
        <v>0</v>
      </c>
      <c r="K1243" t="s">
        <v>38</v>
      </c>
      <c r="L1243">
        <v>105.42</v>
      </c>
      <c r="M1243" t="s">
        <v>47</v>
      </c>
      <c r="O1243">
        <v>1</v>
      </c>
      <c r="P1243" t="s">
        <v>1292</v>
      </c>
      <c r="Q1243" t="s">
        <v>2710</v>
      </c>
      <c r="R1243">
        <v>46.57</v>
      </c>
      <c r="S1243" s="5">
        <v>45798</v>
      </c>
      <c r="T1243" s="5">
        <v>45803</v>
      </c>
      <c r="U1243" t="s">
        <v>2922</v>
      </c>
    </row>
    <row r="1244" spans="1:21" x14ac:dyDescent="0.25">
      <c r="A1244" s="5">
        <v>44990</v>
      </c>
      <c r="B1244" s="7">
        <f>Table1[[#This Row],[TotalPrice]] * (1 - Table1[[#This Row],[Discount]])</f>
        <v>4846.3076749999991</v>
      </c>
      <c r="C1244" s="7">
        <f>Table1[[#This Row],[Net Sales]] * 0.2</f>
        <v>969.26153499999987</v>
      </c>
      <c r="D1244" t="s">
        <v>19</v>
      </c>
      <c r="E1244" t="s">
        <v>30</v>
      </c>
      <c r="F1244">
        <v>11</v>
      </c>
      <c r="G1244">
        <v>488.17</v>
      </c>
      <c r="H1244" t="s">
        <v>31</v>
      </c>
      <c r="I1244" t="s">
        <v>35</v>
      </c>
      <c r="J1244" s="3">
        <v>0.05</v>
      </c>
      <c r="K1244" t="s">
        <v>42</v>
      </c>
      <c r="L1244">
        <v>5101.3764999999994</v>
      </c>
      <c r="M1244" t="s">
        <v>47</v>
      </c>
      <c r="N1244" t="s">
        <v>50</v>
      </c>
      <c r="O1244">
        <v>1</v>
      </c>
      <c r="P1244" t="s">
        <v>1293</v>
      </c>
      <c r="Q1244" t="s">
        <v>2711</v>
      </c>
      <c r="R1244">
        <v>37.47</v>
      </c>
      <c r="S1244" s="5">
        <v>44990</v>
      </c>
      <c r="T1244" s="5">
        <v>44996</v>
      </c>
      <c r="U1244" t="s">
        <v>2922</v>
      </c>
    </row>
    <row r="1245" spans="1:21" x14ac:dyDescent="0.25">
      <c r="A1245" s="5">
        <v>45592</v>
      </c>
      <c r="B1245" s="7">
        <f>Table1[[#This Row],[TotalPrice]] * (1 - Table1[[#This Row],[Discount]])</f>
        <v>2422.2197499999988</v>
      </c>
      <c r="C1245" s="7">
        <f>Table1[[#This Row],[Net Sales]] * 0.2</f>
        <v>484.4439499999998</v>
      </c>
      <c r="D1245" t="s">
        <v>20</v>
      </c>
      <c r="E1245" t="s">
        <v>29</v>
      </c>
      <c r="F1245">
        <v>10</v>
      </c>
      <c r="G1245">
        <v>268.39</v>
      </c>
      <c r="H1245" t="s">
        <v>31</v>
      </c>
      <c r="I1245" t="s">
        <v>36</v>
      </c>
      <c r="J1245" s="3">
        <v>0.05</v>
      </c>
      <c r="K1245" t="s">
        <v>38</v>
      </c>
      <c r="L1245">
        <v>2549.704999999999</v>
      </c>
      <c r="M1245" t="s">
        <v>45</v>
      </c>
      <c r="N1245" t="s">
        <v>49</v>
      </c>
      <c r="O1245">
        <v>0</v>
      </c>
      <c r="P1245" t="s">
        <v>1294</v>
      </c>
      <c r="Q1245" t="s">
        <v>2434</v>
      </c>
      <c r="R1245">
        <v>25.86</v>
      </c>
      <c r="S1245" s="5">
        <v>45592</v>
      </c>
      <c r="T1245" s="5">
        <v>45598</v>
      </c>
      <c r="U1245" t="s">
        <v>2923</v>
      </c>
    </row>
    <row r="1246" spans="1:21" x14ac:dyDescent="0.25">
      <c r="A1246" s="5">
        <v>45740</v>
      </c>
      <c r="B1246" s="7">
        <f>Table1[[#This Row],[TotalPrice]] * (1 - Table1[[#This Row],[Discount]])</f>
        <v>259.92900000000009</v>
      </c>
      <c r="C1246" s="7">
        <f>Table1[[#This Row],[Net Sales]] * 0.2</f>
        <v>51.985800000000019</v>
      </c>
      <c r="D1246" t="s">
        <v>21</v>
      </c>
      <c r="E1246" t="s">
        <v>29</v>
      </c>
      <c r="F1246">
        <v>5</v>
      </c>
      <c r="G1246">
        <v>64.180000000000007</v>
      </c>
      <c r="H1246" t="s">
        <v>33</v>
      </c>
      <c r="I1246" t="s">
        <v>36</v>
      </c>
      <c r="J1246" s="3">
        <v>0.1</v>
      </c>
      <c r="K1246" t="s">
        <v>37</v>
      </c>
      <c r="L1246">
        <v>288.81000000000012</v>
      </c>
      <c r="M1246" t="s">
        <v>44</v>
      </c>
      <c r="N1246" t="s">
        <v>49</v>
      </c>
      <c r="O1246">
        <v>0</v>
      </c>
      <c r="P1246" t="s">
        <v>1295</v>
      </c>
      <c r="Q1246" t="s">
        <v>2712</v>
      </c>
      <c r="R1246">
        <v>21.17</v>
      </c>
      <c r="S1246" s="5">
        <v>45740</v>
      </c>
      <c r="T1246" s="5">
        <v>45745</v>
      </c>
      <c r="U1246" t="s">
        <v>2924</v>
      </c>
    </row>
    <row r="1247" spans="1:21" x14ac:dyDescent="0.25">
      <c r="A1247" s="5">
        <v>45556</v>
      </c>
      <c r="B1247" s="7">
        <f>Table1[[#This Row],[TotalPrice]] * (1 - Table1[[#This Row],[Discount]])</f>
        <v>6315.9206249999997</v>
      </c>
      <c r="C1247" s="7">
        <f>Table1[[#This Row],[Net Sales]] * 0.2</f>
        <v>1263.184125</v>
      </c>
      <c r="D1247" t="s">
        <v>23</v>
      </c>
      <c r="E1247" t="s">
        <v>25</v>
      </c>
      <c r="F1247">
        <v>15</v>
      </c>
      <c r="G1247">
        <v>466.55</v>
      </c>
      <c r="H1247" t="s">
        <v>32</v>
      </c>
      <c r="I1247" t="s">
        <v>36</v>
      </c>
      <c r="J1247" s="3">
        <v>0.05</v>
      </c>
      <c r="K1247" t="s">
        <v>38</v>
      </c>
      <c r="L1247">
        <v>6648.3374999999996</v>
      </c>
      <c r="M1247" t="s">
        <v>47</v>
      </c>
      <c r="N1247" t="s">
        <v>49</v>
      </c>
      <c r="O1247">
        <v>1</v>
      </c>
      <c r="P1247" t="s">
        <v>1296</v>
      </c>
      <c r="Q1247" t="s">
        <v>2713</v>
      </c>
      <c r="R1247">
        <v>36.68</v>
      </c>
      <c r="S1247" s="5">
        <v>45556</v>
      </c>
      <c r="T1247" s="5">
        <v>45562</v>
      </c>
      <c r="U1247" t="s">
        <v>2926</v>
      </c>
    </row>
    <row r="1248" spans="1:21" x14ac:dyDescent="0.25">
      <c r="A1248" s="5">
        <v>45795</v>
      </c>
      <c r="B1248" s="7">
        <f>Table1[[#This Row],[TotalPrice]] * (1 - Table1[[#This Row],[Discount]])</f>
        <v>3648.5547999999999</v>
      </c>
      <c r="C1248" s="7">
        <f>Table1[[#This Row],[Net Sales]] * 0.2</f>
        <v>729.71096</v>
      </c>
      <c r="D1248" t="s">
        <v>21</v>
      </c>
      <c r="E1248" t="s">
        <v>26</v>
      </c>
      <c r="F1248">
        <v>8</v>
      </c>
      <c r="G1248">
        <v>505.34</v>
      </c>
      <c r="H1248" t="s">
        <v>31</v>
      </c>
      <c r="I1248" t="s">
        <v>36</v>
      </c>
      <c r="J1248" s="3">
        <v>0.05</v>
      </c>
      <c r="K1248" t="s">
        <v>42</v>
      </c>
      <c r="L1248">
        <v>3840.5839999999998</v>
      </c>
      <c r="M1248" t="s">
        <v>46</v>
      </c>
      <c r="O1248">
        <v>0</v>
      </c>
      <c r="P1248" t="s">
        <v>1297</v>
      </c>
      <c r="Q1248" t="s">
        <v>2714</v>
      </c>
      <c r="R1248">
        <v>22.88</v>
      </c>
      <c r="S1248" s="5">
        <v>45795</v>
      </c>
      <c r="T1248" s="5">
        <v>45804</v>
      </c>
      <c r="U1248" t="s">
        <v>2924</v>
      </c>
    </row>
    <row r="1249" spans="1:21" x14ac:dyDescent="0.25">
      <c r="A1249" s="5">
        <v>45484</v>
      </c>
      <c r="B1249" s="7">
        <f>Table1[[#This Row],[TotalPrice]] * (1 - Table1[[#This Row],[Discount]])</f>
        <v>489.6450000000001</v>
      </c>
      <c r="C1249" s="7">
        <f>Table1[[#This Row],[Net Sales]] * 0.2</f>
        <v>97.92900000000003</v>
      </c>
      <c r="D1249" t="s">
        <v>19</v>
      </c>
      <c r="E1249" t="s">
        <v>28</v>
      </c>
      <c r="F1249">
        <v>6</v>
      </c>
      <c r="G1249">
        <v>100.75</v>
      </c>
      <c r="H1249" t="s">
        <v>32</v>
      </c>
      <c r="I1249" t="s">
        <v>35</v>
      </c>
      <c r="J1249" s="3">
        <v>0.1</v>
      </c>
      <c r="K1249" t="s">
        <v>39</v>
      </c>
      <c r="L1249">
        <v>544.05000000000007</v>
      </c>
      <c r="M1249" t="s">
        <v>45</v>
      </c>
      <c r="N1249" t="s">
        <v>48</v>
      </c>
      <c r="O1249">
        <v>0</v>
      </c>
      <c r="P1249" t="s">
        <v>1298</v>
      </c>
      <c r="Q1249" t="s">
        <v>2715</v>
      </c>
      <c r="R1249">
        <v>12.98</v>
      </c>
      <c r="S1249" s="5">
        <v>45484</v>
      </c>
      <c r="T1249" s="5">
        <v>45487</v>
      </c>
      <c r="U1249" t="s">
        <v>2922</v>
      </c>
    </row>
    <row r="1250" spans="1:21" x14ac:dyDescent="0.25">
      <c r="A1250" s="5">
        <v>45684</v>
      </c>
      <c r="B1250" s="7">
        <f>Table1[[#This Row],[TotalPrice]] * (1 - Table1[[#This Row],[Discount]])</f>
        <v>2546.6383999999998</v>
      </c>
      <c r="C1250" s="7">
        <f>Table1[[#This Row],[Net Sales]] * 0.2</f>
        <v>509.32767999999999</v>
      </c>
      <c r="D1250" t="s">
        <v>21</v>
      </c>
      <c r="E1250" t="s">
        <v>29</v>
      </c>
      <c r="F1250">
        <v>8</v>
      </c>
      <c r="G1250">
        <v>352.72</v>
      </c>
      <c r="H1250" t="s">
        <v>33</v>
      </c>
      <c r="I1250" t="s">
        <v>36</v>
      </c>
      <c r="J1250" s="3">
        <v>0.05</v>
      </c>
      <c r="K1250" t="s">
        <v>40</v>
      </c>
      <c r="L1250">
        <v>2680.672</v>
      </c>
      <c r="M1250" t="s">
        <v>47</v>
      </c>
      <c r="O1250">
        <v>0</v>
      </c>
      <c r="P1250" t="s">
        <v>1299</v>
      </c>
      <c r="Q1250" t="s">
        <v>2716</v>
      </c>
      <c r="R1250">
        <v>30.8</v>
      </c>
      <c r="S1250" s="5">
        <v>45684</v>
      </c>
      <c r="T1250" s="5">
        <v>45692</v>
      </c>
      <c r="U1250" t="s">
        <v>2924</v>
      </c>
    </row>
    <row r="1251" spans="1:21" x14ac:dyDescent="0.25">
      <c r="A1251" s="5">
        <v>45256</v>
      </c>
      <c r="B1251" s="7">
        <f>Table1[[#This Row],[TotalPrice]] * (1 - Table1[[#This Row],[Discount]])</f>
        <v>4736.34</v>
      </c>
      <c r="C1251" s="7">
        <f>Table1[[#This Row],[Net Sales]] * 0.2</f>
        <v>947.26800000000003</v>
      </c>
      <c r="D1251" t="s">
        <v>19</v>
      </c>
      <c r="E1251" t="s">
        <v>24</v>
      </c>
      <c r="F1251">
        <v>9</v>
      </c>
      <c r="G1251">
        <v>526.26</v>
      </c>
      <c r="H1251" t="s">
        <v>31</v>
      </c>
      <c r="I1251" t="s">
        <v>36</v>
      </c>
      <c r="J1251" s="3">
        <v>0</v>
      </c>
      <c r="K1251" t="s">
        <v>42</v>
      </c>
      <c r="L1251">
        <v>4736.34</v>
      </c>
      <c r="M1251" t="s">
        <v>47</v>
      </c>
      <c r="N1251" t="s">
        <v>48</v>
      </c>
      <c r="O1251">
        <v>0</v>
      </c>
      <c r="P1251" t="s">
        <v>1300</v>
      </c>
      <c r="Q1251" t="s">
        <v>2215</v>
      </c>
      <c r="R1251">
        <v>15.47</v>
      </c>
      <c r="S1251" s="5">
        <v>45256</v>
      </c>
      <c r="T1251" s="5">
        <v>45266</v>
      </c>
      <c r="U1251" t="s">
        <v>2922</v>
      </c>
    </row>
    <row r="1252" spans="1:21" x14ac:dyDescent="0.25">
      <c r="A1252" s="5">
        <v>45445</v>
      </c>
      <c r="B1252" s="7">
        <f>Table1[[#This Row],[TotalPrice]] * (1 - Table1[[#This Row],[Discount]])</f>
        <v>6755.0570999999991</v>
      </c>
      <c r="C1252" s="7">
        <f>Table1[[#This Row],[Net Sales]] * 0.2</f>
        <v>1351.0114199999998</v>
      </c>
      <c r="D1252" t="s">
        <v>22</v>
      </c>
      <c r="E1252" t="s">
        <v>30</v>
      </c>
      <c r="F1252">
        <v>18</v>
      </c>
      <c r="G1252">
        <v>519.41999999999996</v>
      </c>
      <c r="H1252" t="s">
        <v>33</v>
      </c>
      <c r="I1252" t="s">
        <v>36</v>
      </c>
      <c r="J1252" s="3">
        <v>0.15</v>
      </c>
      <c r="K1252" t="s">
        <v>37</v>
      </c>
      <c r="L1252">
        <v>7947.1259999999993</v>
      </c>
      <c r="M1252" t="s">
        <v>47</v>
      </c>
      <c r="N1252" t="s">
        <v>50</v>
      </c>
      <c r="O1252">
        <v>0</v>
      </c>
      <c r="P1252" t="s">
        <v>1301</v>
      </c>
      <c r="Q1252" t="s">
        <v>2717</v>
      </c>
      <c r="R1252">
        <v>32.96</v>
      </c>
      <c r="S1252" s="5">
        <v>45445</v>
      </c>
      <c r="T1252" s="5">
        <v>45447</v>
      </c>
      <c r="U1252" t="s">
        <v>2925</v>
      </c>
    </row>
    <row r="1253" spans="1:21" x14ac:dyDescent="0.25">
      <c r="A1253" s="5">
        <v>44943</v>
      </c>
      <c r="B1253" s="7">
        <f>Table1[[#This Row],[TotalPrice]] * (1 - Table1[[#This Row],[Discount]])</f>
        <v>1761.9326999999998</v>
      </c>
      <c r="C1253" s="7">
        <f>Table1[[#This Row],[Net Sales]] * 0.2</f>
        <v>352.38653999999997</v>
      </c>
      <c r="D1253" t="s">
        <v>21</v>
      </c>
      <c r="E1253" t="s">
        <v>27</v>
      </c>
      <c r="F1253">
        <v>18</v>
      </c>
      <c r="G1253">
        <v>108.46</v>
      </c>
      <c r="H1253" t="s">
        <v>34</v>
      </c>
      <c r="I1253" t="s">
        <v>35</v>
      </c>
      <c r="J1253" s="3">
        <v>0.05</v>
      </c>
      <c r="K1253" t="s">
        <v>39</v>
      </c>
      <c r="L1253">
        <v>1854.6659999999999</v>
      </c>
      <c r="M1253" t="s">
        <v>43</v>
      </c>
      <c r="N1253" t="s">
        <v>49</v>
      </c>
      <c r="O1253">
        <v>0</v>
      </c>
      <c r="P1253" t="s">
        <v>1302</v>
      </c>
      <c r="Q1253" t="s">
        <v>2718</v>
      </c>
      <c r="R1253">
        <v>10.72</v>
      </c>
      <c r="S1253" s="5">
        <v>44943</v>
      </c>
      <c r="T1253" s="5">
        <v>44950</v>
      </c>
      <c r="U1253" t="s">
        <v>2924</v>
      </c>
    </row>
    <row r="1254" spans="1:21" x14ac:dyDescent="0.25">
      <c r="A1254" s="5">
        <v>45780</v>
      </c>
      <c r="B1254" s="7">
        <f>Table1[[#This Row],[TotalPrice]] * (1 - Table1[[#This Row],[Discount]])</f>
        <v>4935.6280999999999</v>
      </c>
      <c r="C1254" s="7">
        <f>Table1[[#This Row],[Net Sales]] * 0.2</f>
        <v>987.12562000000003</v>
      </c>
      <c r="D1254" t="s">
        <v>21</v>
      </c>
      <c r="E1254" t="s">
        <v>26</v>
      </c>
      <c r="F1254">
        <v>13</v>
      </c>
      <c r="G1254">
        <v>420.68</v>
      </c>
      <c r="H1254" t="s">
        <v>34</v>
      </c>
      <c r="I1254" t="s">
        <v>35</v>
      </c>
      <c r="J1254" s="3">
        <v>0.05</v>
      </c>
      <c r="K1254" t="s">
        <v>39</v>
      </c>
      <c r="L1254">
        <v>5195.3980000000001</v>
      </c>
      <c r="M1254" t="s">
        <v>43</v>
      </c>
      <c r="O1254">
        <v>0</v>
      </c>
      <c r="P1254" t="s">
        <v>1303</v>
      </c>
      <c r="Q1254" t="s">
        <v>2719</v>
      </c>
      <c r="R1254">
        <v>24.51</v>
      </c>
      <c r="S1254" s="5">
        <v>45780</v>
      </c>
      <c r="T1254" s="5">
        <v>45788</v>
      </c>
      <c r="U1254" t="s">
        <v>2924</v>
      </c>
    </row>
    <row r="1255" spans="1:21" x14ac:dyDescent="0.25">
      <c r="A1255" s="5">
        <v>45662</v>
      </c>
      <c r="B1255" s="7">
        <f>Table1[[#This Row],[TotalPrice]] * (1 - Table1[[#This Row],[Discount]])</f>
        <v>72.589574999999996</v>
      </c>
      <c r="C1255" s="7">
        <f>Table1[[#This Row],[Net Sales]] * 0.2</f>
        <v>14.517915</v>
      </c>
      <c r="D1255" t="s">
        <v>21</v>
      </c>
      <c r="E1255" t="s">
        <v>30</v>
      </c>
      <c r="F1255">
        <v>17</v>
      </c>
      <c r="G1255">
        <v>5.91</v>
      </c>
      <c r="H1255" t="s">
        <v>32</v>
      </c>
      <c r="I1255" t="s">
        <v>35</v>
      </c>
      <c r="J1255" s="3">
        <v>0.15</v>
      </c>
      <c r="K1255" t="s">
        <v>37</v>
      </c>
      <c r="L1255">
        <v>85.399500000000003</v>
      </c>
      <c r="M1255" t="s">
        <v>43</v>
      </c>
      <c r="N1255" t="s">
        <v>49</v>
      </c>
      <c r="O1255">
        <v>0</v>
      </c>
      <c r="P1255" t="s">
        <v>1304</v>
      </c>
      <c r="Q1255" t="s">
        <v>2720</v>
      </c>
      <c r="R1255">
        <v>44.85</v>
      </c>
      <c r="S1255" s="5">
        <v>45662</v>
      </c>
      <c r="T1255" s="5">
        <v>45670</v>
      </c>
      <c r="U1255" t="s">
        <v>2924</v>
      </c>
    </row>
    <row r="1256" spans="1:21" x14ac:dyDescent="0.25">
      <c r="A1256" s="5">
        <v>45342</v>
      </c>
      <c r="B1256" s="7">
        <f>Table1[[#This Row],[TotalPrice]] * (1 - Table1[[#This Row],[Discount]])</f>
        <v>1811.08</v>
      </c>
      <c r="C1256" s="7">
        <f>Table1[[#This Row],[Net Sales]] * 0.2</f>
        <v>362.21600000000001</v>
      </c>
      <c r="D1256" t="s">
        <v>19</v>
      </c>
      <c r="E1256" t="s">
        <v>25</v>
      </c>
      <c r="F1256">
        <v>4</v>
      </c>
      <c r="G1256">
        <v>452.77</v>
      </c>
      <c r="H1256" t="s">
        <v>31</v>
      </c>
      <c r="I1256" t="s">
        <v>36</v>
      </c>
      <c r="J1256" s="3">
        <v>0</v>
      </c>
      <c r="K1256" t="s">
        <v>41</v>
      </c>
      <c r="L1256">
        <v>1811.08</v>
      </c>
      <c r="M1256" t="s">
        <v>46</v>
      </c>
      <c r="N1256" t="s">
        <v>49</v>
      </c>
      <c r="O1256">
        <v>0</v>
      </c>
      <c r="P1256" t="s">
        <v>1305</v>
      </c>
      <c r="Q1256" t="s">
        <v>2721</v>
      </c>
      <c r="R1256">
        <v>32.01</v>
      </c>
      <c r="S1256" s="5">
        <v>45342</v>
      </c>
      <c r="T1256" s="5">
        <v>45352</v>
      </c>
      <c r="U1256" t="s">
        <v>2922</v>
      </c>
    </row>
    <row r="1257" spans="1:21" x14ac:dyDescent="0.25">
      <c r="A1257" s="5">
        <v>45286</v>
      </c>
      <c r="B1257" s="7">
        <f>Table1[[#This Row],[TotalPrice]] * (1 - Table1[[#This Row],[Discount]])</f>
        <v>794.02749999999992</v>
      </c>
      <c r="C1257" s="7">
        <f>Table1[[#This Row],[Net Sales]] * 0.2</f>
        <v>158.80549999999999</v>
      </c>
      <c r="D1257" t="s">
        <v>21</v>
      </c>
      <c r="E1257" t="s">
        <v>28</v>
      </c>
      <c r="F1257">
        <v>7</v>
      </c>
      <c r="G1257">
        <v>157</v>
      </c>
      <c r="H1257" t="s">
        <v>32</v>
      </c>
      <c r="I1257" t="s">
        <v>35</v>
      </c>
      <c r="J1257" s="3">
        <v>0.15</v>
      </c>
      <c r="K1257" t="s">
        <v>38</v>
      </c>
      <c r="L1257">
        <v>934.15</v>
      </c>
      <c r="M1257" t="s">
        <v>43</v>
      </c>
      <c r="N1257" t="s">
        <v>49</v>
      </c>
      <c r="O1257">
        <v>1</v>
      </c>
      <c r="P1257" t="s">
        <v>1306</v>
      </c>
      <c r="Q1257" t="s">
        <v>1952</v>
      </c>
      <c r="R1257">
        <v>39.72</v>
      </c>
      <c r="S1257" s="5">
        <v>45286</v>
      </c>
      <c r="T1257" s="5">
        <v>45295</v>
      </c>
      <c r="U1257" t="s">
        <v>2924</v>
      </c>
    </row>
    <row r="1258" spans="1:21" x14ac:dyDescent="0.25">
      <c r="A1258" s="5">
        <v>44992</v>
      </c>
      <c r="B1258" s="7">
        <f>Table1[[#This Row],[TotalPrice]] * (1 - Table1[[#This Row],[Discount]])</f>
        <v>4908.1626000000006</v>
      </c>
      <c r="C1258" s="7">
        <f>Table1[[#This Row],[Net Sales]] * 0.2</f>
        <v>981.63252000000011</v>
      </c>
      <c r="D1258" t="s">
        <v>21</v>
      </c>
      <c r="E1258" t="s">
        <v>30</v>
      </c>
      <c r="F1258">
        <v>11</v>
      </c>
      <c r="G1258">
        <v>550.86</v>
      </c>
      <c r="H1258" t="s">
        <v>33</v>
      </c>
      <c r="I1258" t="s">
        <v>36</v>
      </c>
      <c r="J1258" s="3">
        <v>0.1</v>
      </c>
      <c r="K1258" t="s">
        <v>42</v>
      </c>
      <c r="L1258">
        <v>5453.5140000000001</v>
      </c>
      <c r="M1258" t="s">
        <v>43</v>
      </c>
      <c r="N1258" t="s">
        <v>48</v>
      </c>
      <c r="O1258">
        <v>0</v>
      </c>
      <c r="P1258" t="s">
        <v>1307</v>
      </c>
      <c r="Q1258" t="s">
        <v>2722</v>
      </c>
      <c r="R1258">
        <v>21.82</v>
      </c>
      <c r="S1258" s="5">
        <v>44992</v>
      </c>
      <c r="T1258" s="5">
        <v>44997</v>
      </c>
      <c r="U1258" t="s">
        <v>2924</v>
      </c>
    </row>
    <row r="1259" spans="1:21" x14ac:dyDescent="0.25">
      <c r="A1259" s="5">
        <v>45548</v>
      </c>
      <c r="B1259" s="7">
        <f>Table1[[#This Row],[TotalPrice]] * (1 - Table1[[#This Row],[Discount]])</f>
        <v>623.69812499999989</v>
      </c>
      <c r="C1259" s="7">
        <f>Table1[[#This Row],[Net Sales]] * 0.2</f>
        <v>124.73962499999999</v>
      </c>
      <c r="D1259" t="s">
        <v>21</v>
      </c>
      <c r="E1259" t="s">
        <v>27</v>
      </c>
      <c r="F1259">
        <v>5</v>
      </c>
      <c r="G1259">
        <v>172.65</v>
      </c>
      <c r="H1259" t="s">
        <v>33</v>
      </c>
      <c r="I1259" t="s">
        <v>35</v>
      </c>
      <c r="J1259" s="3">
        <v>0.15</v>
      </c>
      <c r="K1259" t="s">
        <v>38</v>
      </c>
      <c r="L1259">
        <v>733.76249999999993</v>
      </c>
      <c r="M1259" t="s">
        <v>47</v>
      </c>
      <c r="N1259" t="s">
        <v>49</v>
      </c>
      <c r="O1259">
        <v>0</v>
      </c>
      <c r="P1259" t="s">
        <v>1308</v>
      </c>
      <c r="Q1259" t="s">
        <v>2723</v>
      </c>
      <c r="R1259">
        <v>28.3</v>
      </c>
      <c r="S1259" s="5">
        <v>45548</v>
      </c>
      <c r="T1259" s="5">
        <v>45557</v>
      </c>
      <c r="U1259" t="s">
        <v>2924</v>
      </c>
    </row>
    <row r="1260" spans="1:21" x14ac:dyDescent="0.25">
      <c r="A1260" s="5">
        <v>45293</v>
      </c>
      <c r="B1260" s="7">
        <f>Table1[[#This Row],[TotalPrice]] * (1 - Table1[[#This Row],[Discount]])</f>
        <v>2324.8000000000002</v>
      </c>
      <c r="C1260" s="7">
        <f>Table1[[#This Row],[Net Sales]] * 0.2</f>
        <v>464.96000000000004</v>
      </c>
      <c r="D1260" t="s">
        <v>19</v>
      </c>
      <c r="E1260" t="s">
        <v>29</v>
      </c>
      <c r="F1260">
        <v>16</v>
      </c>
      <c r="G1260">
        <v>145.30000000000001</v>
      </c>
      <c r="H1260" t="s">
        <v>31</v>
      </c>
      <c r="I1260" t="s">
        <v>35</v>
      </c>
      <c r="J1260" s="3">
        <v>0</v>
      </c>
      <c r="K1260" t="s">
        <v>37</v>
      </c>
      <c r="L1260">
        <v>2324.8000000000002</v>
      </c>
      <c r="M1260" t="s">
        <v>45</v>
      </c>
      <c r="N1260" t="s">
        <v>48</v>
      </c>
      <c r="O1260">
        <v>1</v>
      </c>
      <c r="P1260" t="s">
        <v>1309</v>
      </c>
      <c r="Q1260" t="s">
        <v>2724</v>
      </c>
      <c r="R1260">
        <v>29.64</v>
      </c>
      <c r="S1260" s="5">
        <v>45293</v>
      </c>
      <c r="T1260" s="5">
        <v>45303</v>
      </c>
      <c r="U1260" t="s">
        <v>2922</v>
      </c>
    </row>
    <row r="1261" spans="1:21" x14ac:dyDescent="0.25">
      <c r="A1261" s="5">
        <v>45696</v>
      </c>
      <c r="B1261" s="7">
        <f>Table1[[#This Row],[TotalPrice]] * (1 - Table1[[#This Row],[Discount]])</f>
        <v>545.77800000000002</v>
      </c>
      <c r="C1261" s="7">
        <f>Table1[[#This Row],[Net Sales]] * 0.2</f>
        <v>109.15560000000001</v>
      </c>
      <c r="D1261" t="s">
        <v>20</v>
      </c>
      <c r="E1261" t="s">
        <v>30</v>
      </c>
      <c r="F1261">
        <v>10</v>
      </c>
      <c r="G1261">
        <v>67.38</v>
      </c>
      <c r="H1261" t="s">
        <v>33</v>
      </c>
      <c r="I1261" t="s">
        <v>36</v>
      </c>
      <c r="J1261" s="3">
        <v>0.1</v>
      </c>
      <c r="K1261" t="s">
        <v>41</v>
      </c>
      <c r="L1261">
        <v>606.41999999999996</v>
      </c>
      <c r="M1261" t="s">
        <v>44</v>
      </c>
      <c r="N1261" t="s">
        <v>48</v>
      </c>
      <c r="O1261">
        <v>1</v>
      </c>
      <c r="P1261" t="s">
        <v>1310</v>
      </c>
      <c r="Q1261" t="s">
        <v>1591</v>
      </c>
      <c r="R1261">
        <v>20.58</v>
      </c>
      <c r="S1261" s="5">
        <v>45696</v>
      </c>
      <c r="T1261" s="5">
        <v>45706</v>
      </c>
      <c r="U1261" t="s">
        <v>2923</v>
      </c>
    </row>
    <row r="1262" spans="1:21" x14ac:dyDescent="0.25">
      <c r="A1262" s="5">
        <v>45720</v>
      </c>
      <c r="B1262" s="7">
        <f>Table1[[#This Row],[TotalPrice]] * (1 - Table1[[#This Row],[Discount]])</f>
        <v>2116.9499999999998</v>
      </c>
      <c r="C1262" s="7">
        <f>Table1[[#This Row],[Net Sales]] * 0.2</f>
        <v>423.39</v>
      </c>
      <c r="D1262" t="s">
        <v>20</v>
      </c>
      <c r="E1262" t="s">
        <v>30</v>
      </c>
      <c r="F1262">
        <v>15</v>
      </c>
      <c r="G1262">
        <v>141.13</v>
      </c>
      <c r="H1262" t="s">
        <v>34</v>
      </c>
      <c r="I1262" t="s">
        <v>35</v>
      </c>
      <c r="J1262" s="3">
        <v>0</v>
      </c>
      <c r="K1262" t="s">
        <v>40</v>
      </c>
      <c r="L1262">
        <v>2116.9499999999998</v>
      </c>
      <c r="M1262" t="s">
        <v>47</v>
      </c>
      <c r="N1262" t="s">
        <v>49</v>
      </c>
      <c r="O1262">
        <v>0</v>
      </c>
      <c r="P1262" t="s">
        <v>1311</v>
      </c>
      <c r="Q1262" t="s">
        <v>2725</v>
      </c>
      <c r="R1262">
        <v>19.63</v>
      </c>
      <c r="S1262" s="5">
        <v>45720</v>
      </c>
      <c r="T1262" s="5">
        <v>45728</v>
      </c>
      <c r="U1262" t="s">
        <v>2923</v>
      </c>
    </row>
    <row r="1263" spans="1:21" x14ac:dyDescent="0.25">
      <c r="A1263" s="5">
        <v>45363</v>
      </c>
      <c r="B1263" s="7">
        <f>Table1[[#This Row],[TotalPrice]] * (1 - Table1[[#This Row],[Discount]])</f>
        <v>482.485525</v>
      </c>
      <c r="C1263" s="7">
        <f>Table1[[#This Row],[Net Sales]] * 0.2</f>
        <v>96.497105000000005</v>
      </c>
      <c r="D1263" t="s">
        <v>22</v>
      </c>
      <c r="E1263" t="s">
        <v>29</v>
      </c>
      <c r="F1263">
        <v>1</v>
      </c>
      <c r="G1263">
        <v>534.61</v>
      </c>
      <c r="H1263" t="s">
        <v>34</v>
      </c>
      <c r="I1263" t="s">
        <v>36</v>
      </c>
      <c r="J1263" s="3">
        <v>0.05</v>
      </c>
      <c r="K1263" t="s">
        <v>39</v>
      </c>
      <c r="L1263">
        <v>507.87950000000001</v>
      </c>
      <c r="M1263" t="s">
        <v>43</v>
      </c>
      <c r="N1263" t="s">
        <v>49</v>
      </c>
      <c r="O1263">
        <v>0</v>
      </c>
      <c r="P1263" t="s">
        <v>1312</v>
      </c>
      <c r="Q1263" t="s">
        <v>2726</v>
      </c>
      <c r="R1263">
        <v>22.68</v>
      </c>
      <c r="S1263" s="5">
        <v>45363</v>
      </c>
      <c r="T1263" s="5">
        <v>45372</v>
      </c>
      <c r="U1263" t="s">
        <v>2925</v>
      </c>
    </row>
    <row r="1264" spans="1:21" x14ac:dyDescent="0.25">
      <c r="A1264" s="5">
        <v>45476</v>
      </c>
      <c r="B1264" s="7">
        <f>Table1[[#This Row],[TotalPrice]] * (1 - Table1[[#This Row],[Discount]])</f>
        <v>4548.9248999999991</v>
      </c>
      <c r="C1264" s="7">
        <f>Table1[[#This Row],[Net Sales]] * 0.2</f>
        <v>909.7849799999999</v>
      </c>
      <c r="D1264" t="s">
        <v>19</v>
      </c>
      <c r="E1264" t="s">
        <v>25</v>
      </c>
      <c r="F1264">
        <v>9</v>
      </c>
      <c r="G1264">
        <v>560.04</v>
      </c>
      <c r="H1264" t="s">
        <v>34</v>
      </c>
      <c r="I1264" t="s">
        <v>36</v>
      </c>
      <c r="J1264" s="3">
        <v>0.05</v>
      </c>
      <c r="K1264" t="s">
        <v>40</v>
      </c>
      <c r="L1264">
        <v>4788.3419999999996</v>
      </c>
      <c r="M1264" t="s">
        <v>44</v>
      </c>
      <c r="N1264" t="s">
        <v>50</v>
      </c>
      <c r="O1264">
        <v>0</v>
      </c>
      <c r="P1264" t="s">
        <v>1313</v>
      </c>
      <c r="Q1264" t="s">
        <v>2727</v>
      </c>
      <c r="R1264">
        <v>22.81</v>
      </c>
      <c r="S1264" s="5">
        <v>45476</v>
      </c>
      <c r="T1264" s="5">
        <v>45480</v>
      </c>
      <c r="U1264" t="s">
        <v>2922</v>
      </c>
    </row>
    <row r="1265" spans="1:21" x14ac:dyDescent="0.25">
      <c r="A1265" s="5">
        <v>45662</v>
      </c>
      <c r="B1265" s="7">
        <f>Table1[[#This Row],[TotalPrice]] * (1 - Table1[[#This Row],[Discount]])</f>
        <v>1784.0736000000002</v>
      </c>
      <c r="C1265" s="7">
        <f>Table1[[#This Row],[Net Sales]] * 0.2</f>
        <v>356.81472000000008</v>
      </c>
      <c r="D1265" t="s">
        <v>21</v>
      </c>
      <c r="E1265" t="s">
        <v>24</v>
      </c>
      <c r="F1265">
        <v>8</v>
      </c>
      <c r="G1265">
        <v>275.32</v>
      </c>
      <c r="H1265" t="s">
        <v>34</v>
      </c>
      <c r="I1265" t="s">
        <v>36</v>
      </c>
      <c r="J1265" s="3">
        <v>0.1</v>
      </c>
      <c r="K1265" t="s">
        <v>41</v>
      </c>
      <c r="L1265">
        <v>1982.3040000000001</v>
      </c>
      <c r="M1265" t="s">
        <v>47</v>
      </c>
      <c r="N1265" t="s">
        <v>49</v>
      </c>
      <c r="O1265">
        <v>0</v>
      </c>
      <c r="P1265" t="s">
        <v>1314</v>
      </c>
      <c r="Q1265" t="s">
        <v>2728</v>
      </c>
      <c r="R1265">
        <v>18.260000000000002</v>
      </c>
      <c r="S1265" s="5">
        <v>45662</v>
      </c>
      <c r="T1265" s="5">
        <v>45670</v>
      </c>
      <c r="U1265" t="s">
        <v>2924</v>
      </c>
    </row>
    <row r="1266" spans="1:21" x14ac:dyDescent="0.25">
      <c r="A1266" s="5">
        <v>45372</v>
      </c>
      <c r="B1266" s="7">
        <f>Table1[[#This Row],[TotalPrice]] * (1 - Table1[[#This Row],[Discount]])</f>
        <v>286.26397499999996</v>
      </c>
      <c r="C1266" s="7">
        <f>Table1[[#This Row],[Net Sales]] * 0.2</f>
        <v>57.252794999999992</v>
      </c>
      <c r="D1266" t="s">
        <v>19</v>
      </c>
      <c r="E1266" t="s">
        <v>25</v>
      </c>
      <c r="F1266">
        <v>3</v>
      </c>
      <c r="G1266">
        <v>105.73</v>
      </c>
      <c r="H1266" t="s">
        <v>34</v>
      </c>
      <c r="I1266" t="s">
        <v>36</v>
      </c>
      <c r="J1266" s="3">
        <v>0.05</v>
      </c>
      <c r="K1266" t="s">
        <v>42</v>
      </c>
      <c r="L1266">
        <v>301.33049999999997</v>
      </c>
      <c r="M1266" t="s">
        <v>46</v>
      </c>
      <c r="N1266" t="s">
        <v>48</v>
      </c>
      <c r="O1266">
        <v>1</v>
      </c>
      <c r="P1266" t="s">
        <v>1315</v>
      </c>
      <c r="Q1266" t="s">
        <v>2729</v>
      </c>
      <c r="R1266">
        <v>12.12</v>
      </c>
      <c r="S1266" s="5">
        <v>45372</v>
      </c>
      <c r="T1266" s="5">
        <v>45379</v>
      </c>
      <c r="U1266" t="s">
        <v>2922</v>
      </c>
    </row>
    <row r="1267" spans="1:21" x14ac:dyDescent="0.25">
      <c r="A1267" s="5">
        <v>45744</v>
      </c>
      <c r="B1267" s="7">
        <f>Table1[[#This Row],[TotalPrice]] * (1 - Table1[[#This Row],[Discount]])</f>
        <v>6911.0414999999985</v>
      </c>
      <c r="C1267" s="7">
        <f>Table1[[#This Row],[Net Sales]] * 0.2</f>
        <v>1382.2082999999998</v>
      </c>
      <c r="D1267" t="s">
        <v>22</v>
      </c>
      <c r="E1267" t="s">
        <v>28</v>
      </c>
      <c r="F1267">
        <v>15</v>
      </c>
      <c r="G1267">
        <v>568.80999999999995</v>
      </c>
      <c r="H1267" t="s">
        <v>34</v>
      </c>
      <c r="I1267" t="s">
        <v>36</v>
      </c>
      <c r="J1267" s="3">
        <v>0.1</v>
      </c>
      <c r="K1267" t="s">
        <v>39</v>
      </c>
      <c r="L1267">
        <v>7678.9349999999986</v>
      </c>
      <c r="M1267" t="s">
        <v>44</v>
      </c>
      <c r="O1267">
        <v>0</v>
      </c>
      <c r="P1267" t="s">
        <v>1316</v>
      </c>
      <c r="Q1267" t="s">
        <v>2730</v>
      </c>
      <c r="R1267">
        <v>8.5399999999999991</v>
      </c>
      <c r="S1267" s="5">
        <v>45744</v>
      </c>
      <c r="T1267" s="5">
        <v>45750</v>
      </c>
      <c r="U1267" t="s">
        <v>2925</v>
      </c>
    </row>
    <row r="1268" spans="1:21" x14ac:dyDescent="0.25">
      <c r="A1268" s="5">
        <v>45760</v>
      </c>
      <c r="B1268" s="7">
        <f>Table1[[#This Row],[TotalPrice]] * (1 - Table1[[#This Row],[Discount]])</f>
        <v>3084.3180000000002</v>
      </c>
      <c r="C1268" s="7">
        <f>Table1[[#This Row],[Net Sales]] * 0.2</f>
        <v>616.86360000000013</v>
      </c>
      <c r="D1268" t="s">
        <v>22</v>
      </c>
      <c r="E1268" t="s">
        <v>24</v>
      </c>
      <c r="F1268">
        <v>20</v>
      </c>
      <c r="G1268">
        <v>190.39</v>
      </c>
      <c r="H1268" t="s">
        <v>31</v>
      </c>
      <c r="I1268" t="s">
        <v>36</v>
      </c>
      <c r="J1268" s="3">
        <v>0.1</v>
      </c>
      <c r="K1268" t="s">
        <v>42</v>
      </c>
      <c r="L1268">
        <v>3427.02</v>
      </c>
      <c r="M1268" t="s">
        <v>44</v>
      </c>
      <c r="N1268" t="s">
        <v>49</v>
      </c>
      <c r="O1268">
        <v>0</v>
      </c>
      <c r="P1268" t="s">
        <v>1317</v>
      </c>
      <c r="Q1268" t="s">
        <v>2731</v>
      </c>
      <c r="R1268">
        <v>49.93</v>
      </c>
      <c r="S1268" s="5">
        <v>45760</v>
      </c>
      <c r="T1268" s="5">
        <v>45765</v>
      </c>
      <c r="U1268" t="s">
        <v>2925</v>
      </c>
    </row>
    <row r="1269" spans="1:21" x14ac:dyDescent="0.25">
      <c r="A1269" s="5">
        <v>45412</v>
      </c>
      <c r="B1269" s="7">
        <f>Table1[[#This Row],[TotalPrice]] * (1 - Table1[[#This Row],[Discount]])</f>
        <v>7431.5550249999987</v>
      </c>
      <c r="C1269" s="7">
        <f>Table1[[#This Row],[Net Sales]] * 0.2</f>
        <v>1486.3110049999998</v>
      </c>
      <c r="D1269" t="s">
        <v>23</v>
      </c>
      <c r="E1269" t="s">
        <v>27</v>
      </c>
      <c r="F1269">
        <v>19</v>
      </c>
      <c r="G1269">
        <v>433.39</v>
      </c>
      <c r="H1269" t="s">
        <v>33</v>
      </c>
      <c r="I1269" t="s">
        <v>36</v>
      </c>
      <c r="J1269" s="3">
        <v>0.05</v>
      </c>
      <c r="K1269" t="s">
        <v>42</v>
      </c>
      <c r="L1269">
        <v>7822.6894999999986</v>
      </c>
      <c r="M1269" t="s">
        <v>43</v>
      </c>
      <c r="N1269" t="s">
        <v>50</v>
      </c>
      <c r="O1269">
        <v>0</v>
      </c>
      <c r="P1269" t="s">
        <v>1318</v>
      </c>
      <c r="Q1269" t="s">
        <v>2732</v>
      </c>
      <c r="R1269">
        <v>7.59</v>
      </c>
      <c r="S1269" s="5">
        <v>45412</v>
      </c>
      <c r="T1269" s="5">
        <v>45421</v>
      </c>
      <c r="U1269" t="s">
        <v>2926</v>
      </c>
    </row>
    <row r="1270" spans="1:21" x14ac:dyDescent="0.25">
      <c r="A1270" s="5">
        <v>45703</v>
      </c>
      <c r="B1270" s="7">
        <f>Table1[[#This Row],[TotalPrice]] * (1 - Table1[[#This Row],[Discount]])</f>
        <v>66.990200000000002</v>
      </c>
      <c r="C1270" s="7">
        <f>Table1[[#This Row],[Net Sales]] * 0.2</f>
        <v>13.398040000000002</v>
      </c>
      <c r="D1270" t="s">
        <v>20</v>
      </c>
      <c r="E1270" t="s">
        <v>25</v>
      </c>
      <c r="F1270">
        <v>1</v>
      </c>
      <c r="G1270">
        <v>92.72</v>
      </c>
      <c r="H1270" t="s">
        <v>33</v>
      </c>
      <c r="I1270" t="s">
        <v>35</v>
      </c>
      <c r="J1270" s="3">
        <v>0.15</v>
      </c>
      <c r="K1270" t="s">
        <v>37</v>
      </c>
      <c r="L1270">
        <v>78.811999999999998</v>
      </c>
      <c r="M1270" t="s">
        <v>46</v>
      </c>
      <c r="N1270" t="s">
        <v>50</v>
      </c>
      <c r="O1270">
        <v>0</v>
      </c>
      <c r="P1270" t="s">
        <v>1319</v>
      </c>
      <c r="Q1270" t="s">
        <v>2733</v>
      </c>
      <c r="R1270">
        <v>48.46</v>
      </c>
      <c r="S1270" s="5">
        <v>45703</v>
      </c>
      <c r="T1270" s="5">
        <v>45707</v>
      </c>
      <c r="U1270" t="s">
        <v>2923</v>
      </c>
    </row>
    <row r="1271" spans="1:21" x14ac:dyDescent="0.25">
      <c r="A1271" s="5">
        <v>45706</v>
      </c>
      <c r="B1271" s="7">
        <f>Table1[[#This Row],[TotalPrice]] * (1 - Table1[[#This Row],[Discount]])</f>
        <v>213.2568</v>
      </c>
      <c r="C1271" s="7">
        <f>Table1[[#This Row],[Net Sales]] * 0.2</f>
        <v>42.651360000000004</v>
      </c>
      <c r="D1271" t="s">
        <v>23</v>
      </c>
      <c r="E1271" t="s">
        <v>24</v>
      </c>
      <c r="F1271">
        <v>1</v>
      </c>
      <c r="G1271">
        <v>263.27999999999997</v>
      </c>
      <c r="H1271" t="s">
        <v>34</v>
      </c>
      <c r="I1271" t="s">
        <v>35</v>
      </c>
      <c r="J1271" s="3">
        <v>0.1</v>
      </c>
      <c r="K1271" t="s">
        <v>37</v>
      </c>
      <c r="L1271">
        <v>236.952</v>
      </c>
      <c r="M1271" t="s">
        <v>45</v>
      </c>
      <c r="N1271" t="s">
        <v>49</v>
      </c>
      <c r="O1271">
        <v>0</v>
      </c>
      <c r="P1271" t="s">
        <v>1320</v>
      </c>
      <c r="Q1271" t="s">
        <v>2734</v>
      </c>
      <c r="R1271">
        <v>36.28</v>
      </c>
      <c r="S1271" s="5">
        <v>45706</v>
      </c>
      <c r="T1271" s="5">
        <v>45711</v>
      </c>
      <c r="U1271" t="s">
        <v>2926</v>
      </c>
    </row>
    <row r="1272" spans="1:21" x14ac:dyDescent="0.25">
      <c r="A1272" s="5">
        <v>45177</v>
      </c>
      <c r="B1272" s="7">
        <f>Table1[[#This Row],[TotalPrice]] * (1 - Table1[[#This Row],[Discount]])</f>
        <v>3944.49</v>
      </c>
      <c r="C1272" s="7">
        <f>Table1[[#This Row],[Net Sales]] * 0.2</f>
        <v>788.89800000000002</v>
      </c>
      <c r="D1272" t="s">
        <v>23</v>
      </c>
      <c r="E1272" t="s">
        <v>25</v>
      </c>
      <c r="F1272">
        <v>11</v>
      </c>
      <c r="G1272">
        <v>358.59</v>
      </c>
      <c r="H1272" t="s">
        <v>31</v>
      </c>
      <c r="I1272" t="s">
        <v>35</v>
      </c>
      <c r="J1272" s="3">
        <v>0</v>
      </c>
      <c r="K1272" t="s">
        <v>39</v>
      </c>
      <c r="L1272">
        <v>3944.49</v>
      </c>
      <c r="M1272" t="s">
        <v>45</v>
      </c>
      <c r="O1272">
        <v>0</v>
      </c>
      <c r="P1272" t="s">
        <v>1321</v>
      </c>
      <c r="Q1272" t="s">
        <v>2735</v>
      </c>
      <c r="R1272">
        <v>29.19</v>
      </c>
      <c r="S1272" s="5">
        <v>45177</v>
      </c>
      <c r="T1272" s="5">
        <v>45179</v>
      </c>
      <c r="U1272" t="s">
        <v>2926</v>
      </c>
    </row>
    <row r="1273" spans="1:21" x14ac:dyDescent="0.25">
      <c r="A1273" s="5">
        <v>45326</v>
      </c>
      <c r="B1273" s="7">
        <f>Table1[[#This Row],[TotalPrice]] * (1 - Table1[[#This Row],[Discount]])</f>
        <v>10719.54</v>
      </c>
      <c r="C1273" s="7">
        <f>Table1[[#This Row],[Net Sales]] * 0.2</f>
        <v>2143.9080000000004</v>
      </c>
      <c r="D1273" t="s">
        <v>22</v>
      </c>
      <c r="E1273" t="s">
        <v>29</v>
      </c>
      <c r="F1273">
        <v>18</v>
      </c>
      <c r="G1273">
        <v>595.53</v>
      </c>
      <c r="H1273" t="s">
        <v>31</v>
      </c>
      <c r="I1273" t="s">
        <v>36</v>
      </c>
      <c r="J1273" s="3">
        <v>0</v>
      </c>
      <c r="K1273" t="s">
        <v>39</v>
      </c>
      <c r="L1273">
        <v>10719.54</v>
      </c>
      <c r="M1273" t="s">
        <v>47</v>
      </c>
      <c r="N1273" t="s">
        <v>50</v>
      </c>
      <c r="O1273">
        <v>0</v>
      </c>
      <c r="P1273" t="s">
        <v>1322</v>
      </c>
      <c r="Q1273" t="s">
        <v>2736</v>
      </c>
      <c r="R1273">
        <v>42.91</v>
      </c>
      <c r="S1273" s="5">
        <v>45326</v>
      </c>
      <c r="T1273" s="5">
        <v>45328</v>
      </c>
      <c r="U1273" t="s">
        <v>2925</v>
      </c>
    </row>
    <row r="1274" spans="1:21" x14ac:dyDescent="0.25">
      <c r="A1274" s="5">
        <v>45621</v>
      </c>
      <c r="B1274" s="7">
        <f>Table1[[#This Row],[TotalPrice]] * (1 - Table1[[#This Row],[Discount]])</f>
        <v>5809.2467999999999</v>
      </c>
      <c r="C1274" s="7">
        <f>Table1[[#This Row],[Net Sales]] * 0.2</f>
        <v>1161.8493599999999</v>
      </c>
      <c r="D1274" t="s">
        <v>21</v>
      </c>
      <c r="E1274" t="s">
        <v>28</v>
      </c>
      <c r="F1274">
        <v>14</v>
      </c>
      <c r="G1274">
        <v>574.32000000000005</v>
      </c>
      <c r="H1274" t="s">
        <v>34</v>
      </c>
      <c r="I1274" t="s">
        <v>35</v>
      </c>
      <c r="J1274" s="3">
        <v>0.15</v>
      </c>
      <c r="K1274" t="s">
        <v>41</v>
      </c>
      <c r="L1274">
        <v>6834.4080000000004</v>
      </c>
      <c r="M1274" t="s">
        <v>45</v>
      </c>
      <c r="N1274" t="s">
        <v>49</v>
      </c>
      <c r="O1274">
        <v>0</v>
      </c>
      <c r="P1274" t="s">
        <v>1323</v>
      </c>
      <c r="Q1274" t="s">
        <v>2737</v>
      </c>
      <c r="R1274">
        <v>12.07</v>
      </c>
      <c r="S1274" s="5">
        <v>45621</v>
      </c>
      <c r="T1274" s="5">
        <v>45631</v>
      </c>
      <c r="U1274" t="s">
        <v>2924</v>
      </c>
    </row>
    <row r="1275" spans="1:21" x14ac:dyDescent="0.25">
      <c r="A1275" s="5">
        <v>45656</v>
      </c>
      <c r="B1275" s="7">
        <f>Table1[[#This Row],[TotalPrice]] * (1 - Table1[[#This Row],[Discount]])</f>
        <v>7994.34</v>
      </c>
      <c r="C1275" s="7">
        <f>Table1[[#This Row],[Net Sales]] * 0.2</f>
        <v>1598.8680000000002</v>
      </c>
      <c r="D1275" t="s">
        <v>21</v>
      </c>
      <c r="E1275" t="s">
        <v>24</v>
      </c>
      <c r="F1275">
        <v>18</v>
      </c>
      <c r="G1275">
        <v>444.13</v>
      </c>
      <c r="H1275" t="s">
        <v>34</v>
      </c>
      <c r="I1275" t="s">
        <v>36</v>
      </c>
      <c r="J1275" s="3">
        <v>0</v>
      </c>
      <c r="K1275" t="s">
        <v>39</v>
      </c>
      <c r="L1275">
        <v>7994.34</v>
      </c>
      <c r="M1275" t="s">
        <v>47</v>
      </c>
      <c r="N1275" t="s">
        <v>49</v>
      </c>
      <c r="O1275">
        <v>0</v>
      </c>
      <c r="P1275" t="s">
        <v>1324</v>
      </c>
      <c r="Q1275" t="s">
        <v>2738</v>
      </c>
      <c r="R1275">
        <v>5.41</v>
      </c>
      <c r="S1275" s="5">
        <v>45656</v>
      </c>
      <c r="T1275" s="5">
        <v>45659</v>
      </c>
      <c r="U1275" t="s">
        <v>2924</v>
      </c>
    </row>
    <row r="1276" spans="1:21" x14ac:dyDescent="0.25">
      <c r="A1276" s="5">
        <v>45174</v>
      </c>
      <c r="B1276" s="7">
        <f>Table1[[#This Row],[TotalPrice]] * (1 - Table1[[#This Row],[Discount]])</f>
        <v>6640.3233000000009</v>
      </c>
      <c r="C1276" s="7">
        <f>Table1[[#This Row],[Net Sales]] * 0.2</f>
        <v>1328.0646600000002</v>
      </c>
      <c r="D1276" t="s">
        <v>23</v>
      </c>
      <c r="E1276" t="s">
        <v>29</v>
      </c>
      <c r="F1276">
        <v>19</v>
      </c>
      <c r="G1276">
        <v>431.47</v>
      </c>
      <c r="H1276" t="s">
        <v>32</v>
      </c>
      <c r="I1276" t="s">
        <v>36</v>
      </c>
      <c r="J1276" s="3">
        <v>0.1</v>
      </c>
      <c r="K1276" t="s">
        <v>37</v>
      </c>
      <c r="L1276">
        <v>7378.1370000000006</v>
      </c>
      <c r="M1276" t="s">
        <v>44</v>
      </c>
      <c r="N1276" t="s">
        <v>50</v>
      </c>
      <c r="O1276">
        <v>0</v>
      </c>
      <c r="P1276" t="s">
        <v>1325</v>
      </c>
      <c r="Q1276" t="s">
        <v>2739</v>
      </c>
      <c r="R1276">
        <v>49.23</v>
      </c>
      <c r="S1276" s="5">
        <v>45174</v>
      </c>
      <c r="T1276" s="5">
        <v>45179</v>
      </c>
      <c r="U1276" t="s">
        <v>2926</v>
      </c>
    </row>
    <row r="1277" spans="1:21" x14ac:dyDescent="0.25">
      <c r="A1277" s="5">
        <v>45139</v>
      </c>
      <c r="B1277" s="7">
        <f>Table1[[#This Row],[TotalPrice]] * (1 - Table1[[#This Row],[Discount]])</f>
        <v>1282.31</v>
      </c>
      <c r="C1277" s="7">
        <f>Table1[[#This Row],[Net Sales]] * 0.2</f>
        <v>256.46199999999999</v>
      </c>
      <c r="D1277" t="s">
        <v>23</v>
      </c>
      <c r="E1277" t="s">
        <v>30</v>
      </c>
      <c r="F1277">
        <v>19</v>
      </c>
      <c r="G1277">
        <v>67.489999999999995</v>
      </c>
      <c r="H1277" t="s">
        <v>33</v>
      </c>
      <c r="I1277" t="s">
        <v>36</v>
      </c>
      <c r="J1277" s="3">
        <v>0</v>
      </c>
      <c r="K1277" t="s">
        <v>39</v>
      </c>
      <c r="L1277">
        <v>1282.31</v>
      </c>
      <c r="M1277" t="s">
        <v>46</v>
      </c>
      <c r="N1277" t="s">
        <v>49</v>
      </c>
      <c r="O1277">
        <v>0</v>
      </c>
      <c r="P1277" t="s">
        <v>1326</v>
      </c>
      <c r="Q1277" t="s">
        <v>2740</v>
      </c>
      <c r="R1277">
        <v>32.04</v>
      </c>
      <c r="S1277" s="5">
        <v>45139</v>
      </c>
      <c r="T1277" s="5">
        <v>45149</v>
      </c>
      <c r="U1277" t="s">
        <v>2926</v>
      </c>
    </row>
    <row r="1278" spans="1:21" x14ac:dyDescent="0.25">
      <c r="A1278" s="5">
        <v>44932</v>
      </c>
      <c r="B1278" s="7">
        <f>Table1[[#This Row],[TotalPrice]] * (1 - Table1[[#This Row],[Discount]])</f>
        <v>204.012325</v>
      </c>
      <c r="C1278" s="7">
        <f>Table1[[#This Row],[Net Sales]] * 0.2</f>
        <v>40.802465000000005</v>
      </c>
      <c r="D1278" t="s">
        <v>22</v>
      </c>
      <c r="E1278" t="s">
        <v>29</v>
      </c>
      <c r="F1278">
        <v>11</v>
      </c>
      <c r="G1278">
        <v>25.67</v>
      </c>
      <c r="H1278" t="s">
        <v>33</v>
      </c>
      <c r="I1278" t="s">
        <v>36</v>
      </c>
      <c r="J1278" s="3">
        <v>0.15</v>
      </c>
      <c r="K1278" t="s">
        <v>40</v>
      </c>
      <c r="L1278">
        <v>240.0145</v>
      </c>
      <c r="M1278" t="s">
        <v>45</v>
      </c>
      <c r="N1278" t="s">
        <v>49</v>
      </c>
      <c r="O1278">
        <v>0</v>
      </c>
      <c r="P1278" t="s">
        <v>1327</v>
      </c>
      <c r="Q1278" t="s">
        <v>2741</v>
      </c>
      <c r="R1278">
        <v>30.12</v>
      </c>
      <c r="S1278" s="5">
        <v>44932</v>
      </c>
      <c r="T1278" s="5">
        <v>44934</v>
      </c>
      <c r="U1278" t="s">
        <v>2925</v>
      </c>
    </row>
    <row r="1279" spans="1:21" x14ac:dyDescent="0.25">
      <c r="A1279" s="5">
        <v>45779</v>
      </c>
      <c r="B1279" s="7">
        <f>Table1[[#This Row],[TotalPrice]] * (1 - Table1[[#This Row],[Discount]])</f>
        <v>1474.76</v>
      </c>
      <c r="C1279" s="7">
        <f>Table1[[#This Row],[Net Sales]] * 0.2</f>
        <v>294.952</v>
      </c>
      <c r="D1279" t="s">
        <v>22</v>
      </c>
      <c r="E1279" t="s">
        <v>25</v>
      </c>
      <c r="F1279">
        <v>4</v>
      </c>
      <c r="G1279">
        <v>368.69</v>
      </c>
      <c r="H1279" t="s">
        <v>34</v>
      </c>
      <c r="I1279" t="s">
        <v>35</v>
      </c>
      <c r="J1279" s="3">
        <v>0</v>
      </c>
      <c r="K1279" t="s">
        <v>41</v>
      </c>
      <c r="L1279">
        <v>1474.76</v>
      </c>
      <c r="M1279" t="s">
        <v>44</v>
      </c>
      <c r="N1279" t="s">
        <v>50</v>
      </c>
      <c r="O1279">
        <v>0</v>
      </c>
      <c r="P1279" t="s">
        <v>1328</v>
      </c>
      <c r="Q1279" t="s">
        <v>2742</v>
      </c>
      <c r="R1279">
        <v>48.57</v>
      </c>
      <c r="S1279" s="5">
        <v>45779</v>
      </c>
      <c r="T1279" s="5">
        <v>45783</v>
      </c>
      <c r="U1279" t="s">
        <v>2925</v>
      </c>
    </row>
    <row r="1280" spans="1:21" x14ac:dyDescent="0.25">
      <c r="A1280" s="5">
        <v>45281</v>
      </c>
      <c r="B1280" s="7">
        <f>Table1[[#This Row],[TotalPrice]] * (1 - Table1[[#This Row],[Discount]])</f>
        <v>1623.6606750000001</v>
      </c>
      <c r="C1280" s="7">
        <f>Table1[[#This Row],[Net Sales]] * 0.2</f>
        <v>324.73213500000003</v>
      </c>
      <c r="D1280" t="s">
        <v>23</v>
      </c>
      <c r="E1280" t="s">
        <v>28</v>
      </c>
      <c r="F1280">
        <v>7</v>
      </c>
      <c r="G1280">
        <v>257.01</v>
      </c>
      <c r="H1280" t="s">
        <v>34</v>
      </c>
      <c r="I1280" t="s">
        <v>36</v>
      </c>
      <c r="J1280" s="3">
        <v>0.05</v>
      </c>
      <c r="K1280" t="s">
        <v>37</v>
      </c>
      <c r="L1280">
        <v>1709.1165000000001</v>
      </c>
      <c r="M1280" t="s">
        <v>45</v>
      </c>
      <c r="O1280">
        <v>0</v>
      </c>
      <c r="P1280" t="s">
        <v>1329</v>
      </c>
      <c r="Q1280" t="s">
        <v>2743</v>
      </c>
      <c r="R1280">
        <v>35.520000000000003</v>
      </c>
      <c r="S1280" s="5">
        <v>45281</v>
      </c>
      <c r="T1280" s="5">
        <v>45288</v>
      </c>
      <c r="U1280" t="s">
        <v>2926</v>
      </c>
    </row>
    <row r="1281" spans="1:21" x14ac:dyDescent="0.25">
      <c r="A1281" s="5">
        <v>45545</v>
      </c>
      <c r="B1281" s="7">
        <f>Table1[[#This Row],[TotalPrice]] * (1 - Table1[[#This Row],[Discount]])</f>
        <v>1197.56</v>
      </c>
      <c r="C1281" s="7">
        <f>Table1[[#This Row],[Net Sales]] * 0.2</f>
        <v>239.512</v>
      </c>
      <c r="D1281" t="s">
        <v>19</v>
      </c>
      <c r="E1281" t="s">
        <v>24</v>
      </c>
      <c r="F1281">
        <v>14</v>
      </c>
      <c r="G1281">
        <v>85.54</v>
      </c>
      <c r="H1281" t="s">
        <v>31</v>
      </c>
      <c r="I1281" t="s">
        <v>35</v>
      </c>
      <c r="J1281" s="3">
        <v>0</v>
      </c>
      <c r="K1281" t="s">
        <v>39</v>
      </c>
      <c r="L1281">
        <v>1197.56</v>
      </c>
      <c r="M1281" t="s">
        <v>44</v>
      </c>
      <c r="N1281" t="s">
        <v>48</v>
      </c>
      <c r="O1281">
        <v>0</v>
      </c>
      <c r="P1281" t="s">
        <v>1330</v>
      </c>
      <c r="Q1281" t="s">
        <v>2744</v>
      </c>
      <c r="R1281">
        <v>16.079999999999998</v>
      </c>
      <c r="S1281" s="5">
        <v>45545</v>
      </c>
      <c r="T1281" s="5">
        <v>45549</v>
      </c>
      <c r="U1281" t="s">
        <v>2922</v>
      </c>
    </row>
    <row r="1282" spans="1:21" x14ac:dyDescent="0.25">
      <c r="A1282" s="5">
        <v>45387</v>
      </c>
      <c r="B1282" s="7">
        <f>Table1[[#This Row],[TotalPrice]] * (1 - Table1[[#This Row],[Discount]])</f>
        <v>1740.069</v>
      </c>
      <c r="C1282" s="7">
        <f>Table1[[#This Row],[Net Sales]] * 0.2</f>
        <v>348.0138</v>
      </c>
      <c r="D1282" t="s">
        <v>22</v>
      </c>
      <c r="E1282" t="s">
        <v>27</v>
      </c>
      <c r="F1282">
        <v>9</v>
      </c>
      <c r="G1282">
        <v>267.60000000000002</v>
      </c>
      <c r="H1282" t="s">
        <v>34</v>
      </c>
      <c r="I1282" t="s">
        <v>36</v>
      </c>
      <c r="J1282" s="3">
        <v>0.15</v>
      </c>
      <c r="K1282" t="s">
        <v>37</v>
      </c>
      <c r="L1282">
        <v>2047.14</v>
      </c>
      <c r="M1282" t="s">
        <v>45</v>
      </c>
      <c r="N1282" t="s">
        <v>48</v>
      </c>
      <c r="O1282">
        <v>0</v>
      </c>
      <c r="P1282" t="s">
        <v>1331</v>
      </c>
      <c r="Q1282" t="s">
        <v>2745</v>
      </c>
      <c r="R1282">
        <v>8.48</v>
      </c>
      <c r="S1282" s="5">
        <v>45387</v>
      </c>
      <c r="T1282" s="5">
        <v>45392</v>
      </c>
      <c r="U1282" t="s">
        <v>2925</v>
      </c>
    </row>
    <row r="1283" spans="1:21" x14ac:dyDescent="0.25">
      <c r="A1283" s="5">
        <v>45133</v>
      </c>
      <c r="B1283" s="7">
        <f>Table1[[#This Row],[TotalPrice]] * (1 - Table1[[#This Row],[Discount]])</f>
        <v>2837.7993750000001</v>
      </c>
      <c r="C1283" s="7">
        <f>Table1[[#This Row],[Net Sales]] * 0.2</f>
        <v>567.55987500000003</v>
      </c>
      <c r="D1283" t="s">
        <v>19</v>
      </c>
      <c r="E1283" t="s">
        <v>26</v>
      </c>
      <c r="F1283">
        <v>15</v>
      </c>
      <c r="G1283">
        <v>261.85000000000002</v>
      </c>
      <c r="H1283" t="s">
        <v>34</v>
      </c>
      <c r="I1283" t="s">
        <v>35</v>
      </c>
      <c r="J1283" s="3">
        <v>0.15</v>
      </c>
      <c r="K1283" t="s">
        <v>41</v>
      </c>
      <c r="L1283">
        <v>3338.5875000000001</v>
      </c>
      <c r="M1283" t="s">
        <v>43</v>
      </c>
      <c r="N1283" t="s">
        <v>49</v>
      </c>
      <c r="O1283">
        <v>0</v>
      </c>
      <c r="P1283" t="s">
        <v>1332</v>
      </c>
      <c r="Q1283" t="s">
        <v>2746</v>
      </c>
      <c r="R1283">
        <v>40.68</v>
      </c>
      <c r="S1283" s="5">
        <v>45133</v>
      </c>
      <c r="T1283" s="5">
        <v>45138</v>
      </c>
      <c r="U1283" t="s">
        <v>2922</v>
      </c>
    </row>
    <row r="1284" spans="1:21" x14ac:dyDescent="0.25">
      <c r="A1284" s="5">
        <v>45242</v>
      </c>
      <c r="B1284" s="7">
        <f>Table1[[#This Row],[TotalPrice]] * (1 - Table1[[#This Row],[Discount]])</f>
        <v>1981.2311749999999</v>
      </c>
      <c r="C1284" s="7">
        <f>Table1[[#This Row],[Net Sales]] * 0.2</f>
        <v>396.24623500000001</v>
      </c>
      <c r="D1284" t="s">
        <v>19</v>
      </c>
      <c r="E1284" t="s">
        <v>30</v>
      </c>
      <c r="F1284">
        <v>11</v>
      </c>
      <c r="G1284">
        <v>199.57</v>
      </c>
      <c r="H1284" t="s">
        <v>32</v>
      </c>
      <c r="I1284" t="s">
        <v>36</v>
      </c>
      <c r="J1284" s="3">
        <v>0.05</v>
      </c>
      <c r="K1284" t="s">
        <v>42</v>
      </c>
      <c r="L1284">
        <v>2085.5065</v>
      </c>
      <c r="M1284" t="s">
        <v>46</v>
      </c>
      <c r="N1284" t="s">
        <v>49</v>
      </c>
      <c r="O1284">
        <v>0</v>
      </c>
      <c r="P1284" t="s">
        <v>1333</v>
      </c>
      <c r="Q1284" t="s">
        <v>2725</v>
      </c>
      <c r="R1284">
        <v>48.94</v>
      </c>
      <c r="S1284" s="5">
        <v>45242</v>
      </c>
      <c r="T1284" s="5">
        <v>45244</v>
      </c>
      <c r="U1284" t="s">
        <v>2922</v>
      </c>
    </row>
    <row r="1285" spans="1:21" x14ac:dyDescent="0.25">
      <c r="A1285" s="5">
        <v>45765</v>
      </c>
      <c r="B1285" s="7">
        <f>Table1[[#This Row],[TotalPrice]] * (1 - Table1[[#This Row],[Discount]])</f>
        <v>2278.6319999999992</v>
      </c>
      <c r="C1285" s="7">
        <f>Table1[[#This Row],[Net Sales]] * 0.2</f>
        <v>455.72639999999984</v>
      </c>
      <c r="D1285" t="s">
        <v>22</v>
      </c>
      <c r="E1285" t="s">
        <v>25</v>
      </c>
      <c r="F1285">
        <v>5</v>
      </c>
      <c r="G1285">
        <v>504.96</v>
      </c>
      <c r="H1285" t="s">
        <v>33</v>
      </c>
      <c r="I1285" t="s">
        <v>36</v>
      </c>
      <c r="J1285" s="3">
        <v>0.05</v>
      </c>
      <c r="K1285" t="s">
        <v>41</v>
      </c>
      <c r="L1285">
        <v>2398.559999999999</v>
      </c>
      <c r="M1285" t="s">
        <v>44</v>
      </c>
      <c r="N1285" t="s">
        <v>48</v>
      </c>
      <c r="O1285">
        <v>0</v>
      </c>
      <c r="P1285" t="s">
        <v>1334</v>
      </c>
      <c r="Q1285" t="s">
        <v>2747</v>
      </c>
      <c r="R1285">
        <v>22.12</v>
      </c>
      <c r="S1285" s="5">
        <v>45765</v>
      </c>
      <c r="T1285" s="5">
        <v>45767</v>
      </c>
      <c r="U1285" t="s">
        <v>2925</v>
      </c>
    </row>
    <row r="1286" spans="1:21" x14ac:dyDescent="0.25">
      <c r="A1286" s="5">
        <v>45150</v>
      </c>
      <c r="B1286" s="7">
        <f>Table1[[#This Row],[TotalPrice]] * (1 - Table1[[#This Row],[Discount]])</f>
        <v>204.61479999999997</v>
      </c>
      <c r="C1286" s="7">
        <f>Table1[[#This Row],[Net Sales]] * 0.2</f>
        <v>40.922959999999996</v>
      </c>
      <c r="D1286" t="s">
        <v>20</v>
      </c>
      <c r="E1286" t="s">
        <v>27</v>
      </c>
      <c r="F1286">
        <v>8</v>
      </c>
      <c r="G1286">
        <v>28.34</v>
      </c>
      <c r="H1286" t="s">
        <v>33</v>
      </c>
      <c r="I1286" t="s">
        <v>35</v>
      </c>
      <c r="J1286" s="3">
        <v>0.05</v>
      </c>
      <c r="K1286" t="s">
        <v>38</v>
      </c>
      <c r="L1286">
        <v>215.38399999999999</v>
      </c>
      <c r="M1286" t="s">
        <v>47</v>
      </c>
      <c r="O1286">
        <v>1</v>
      </c>
      <c r="P1286" t="s">
        <v>1335</v>
      </c>
      <c r="Q1286" t="s">
        <v>2748</v>
      </c>
      <c r="R1286">
        <v>23.19</v>
      </c>
      <c r="S1286" s="5">
        <v>45150</v>
      </c>
      <c r="T1286" s="5">
        <v>45157</v>
      </c>
      <c r="U1286" t="s">
        <v>2923</v>
      </c>
    </row>
    <row r="1287" spans="1:21" x14ac:dyDescent="0.25">
      <c r="A1287" s="5">
        <v>45638</v>
      </c>
      <c r="B1287" s="7">
        <f>Table1[[#This Row],[TotalPrice]] * (1 - Table1[[#This Row],[Discount]])</f>
        <v>6817.9400999999998</v>
      </c>
      <c r="C1287" s="7">
        <f>Table1[[#This Row],[Net Sales]] * 0.2</f>
        <v>1363.5880200000001</v>
      </c>
      <c r="D1287" t="s">
        <v>23</v>
      </c>
      <c r="E1287" t="s">
        <v>30</v>
      </c>
      <c r="F1287">
        <v>17</v>
      </c>
      <c r="G1287">
        <v>495.13</v>
      </c>
      <c r="H1287" t="s">
        <v>34</v>
      </c>
      <c r="I1287" t="s">
        <v>35</v>
      </c>
      <c r="J1287" s="3">
        <v>0.1</v>
      </c>
      <c r="K1287" t="s">
        <v>38</v>
      </c>
      <c r="L1287">
        <v>7575.4889999999996</v>
      </c>
      <c r="M1287" t="s">
        <v>43</v>
      </c>
      <c r="N1287" t="s">
        <v>48</v>
      </c>
      <c r="O1287">
        <v>1</v>
      </c>
      <c r="P1287" t="s">
        <v>1336</v>
      </c>
      <c r="Q1287" t="s">
        <v>2749</v>
      </c>
      <c r="R1287">
        <v>26.37</v>
      </c>
      <c r="S1287" s="5">
        <v>45638</v>
      </c>
      <c r="T1287" s="5">
        <v>45647</v>
      </c>
      <c r="U1287" t="s">
        <v>2926</v>
      </c>
    </row>
    <row r="1288" spans="1:21" x14ac:dyDescent="0.25">
      <c r="A1288" s="5">
        <v>45784</v>
      </c>
      <c r="B1288" s="7">
        <f>Table1[[#This Row],[TotalPrice]] * (1 - Table1[[#This Row],[Discount]])</f>
        <v>1794.8017500000001</v>
      </c>
      <c r="C1288" s="7">
        <f>Table1[[#This Row],[Net Sales]] * 0.2</f>
        <v>358.96035000000006</v>
      </c>
      <c r="D1288" t="s">
        <v>23</v>
      </c>
      <c r="E1288" t="s">
        <v>25</v>
      </c>
      <c r="F1288">
        <v>14</v>
      </c>
      <c r="G1288">
        <v>142.05000000000001</v>
      </c>
      <c r="H1288" t="s">
        <v>34</v>
      </c>
      <c r="I1288" t="s">
        <v>36</v>
      </c>
      <c r="J1288" s="3">
        <v>0.05</v>
      </c>
      <c r="K1288" t="s">
        <v>39</v>
      </c>
      <c r="L1288">
        <v>1889.2650000000001</v>
      </c>
      <c r="M1288" t="s">
        <v>44</v>
      </c>
      <c r="N1288" t="s">
        <v>49</v>
      </c>
      <c r="O1288">
        <v>0</v>
      </c>
      <c r="P1288" t="s">
        <v>1337</v>
      </c>
      <c r="Q1288" t="s">
        <v>2750</v>
      </c>
      <c r="R1288">
        <v>33.65</v>
      </c>
      <c r="S1288" s="5">
        <v>45784</v>
      </c>
      <c r="T1288" s="5">
        <v>45790</v>
      </c>
      <c r="U1288" t="s">
        <v>2926</v>
      </c>
    </row>
    <row r="1289" spans="1:21" x14ac:dyDescent="0.25">
      <c r="A1289" s="5">
        <v>45726</v>
      </c>
      <c r="B1289" s="7">
        <f>Table1[[#This Row],[TotalPrice]] * (1 - Table1[[#This Row],[Discount]])</f>
        <v>8069.76</v>
      </c>
      <c r="C1289" s="7">
        <f>Table1[[#This Row],[Net Sales]] * 0.2</f>
        <v>1613.9520000000002</v>
      </c>
      <c r="D1289" t="s">
        <v>19</v>
      </c>
      <c r="E1289" t="s">
        <v>27</v>
      </c>
      <c r="F1289">
        <v>16</v>
      </c>
      <c r="G1289">
        <v>504.36</v>
      </c>
      <c r="H1289" t="s">
        <v>34</v>
      </c>
      <c r="I1289" t="s">
        <v>35</v>
      </c>
      <c r="J1289" s="3">
        <v>0</v>
      </c>
      <c r="K1289" t="s">
        <v>42</v>
      </c>
      <c r="L1289">
        <v>8069.76</v>
      </c>
      <c r="M1289" t="s">
        <v>46</v>
      </c>
      <c r="O1289">
        <v>1</v>
      </c>
      <c r="P1289" t="s">
        <v>1338</v>
      </c>
      <c r="Q1289" t="s">
        <v>1801</v>
      </c>
      <c r="R1289">
        <v>11.67</v>
      </c>
      <c r="S1289" s="5">
        <v>45726</v>
      </c>
      <c r="T1289" s="5">
        <v>45729</v>
      </c>
      <c r="U1289" t="s">
        <v>2922</v>
      </c>
    </row>
    <row r="1290" spans="1:21" x14ac:dyDescent="0.25">
      <c r="A1290" s="5">
        <v>45809</v>
      </c>
      <c r="B1290" s="7">
        <f>Table1[[#This Row],[TotalPrice]] * (1 - Table1[[#This Row],[Discount]])</f>
        <v>855.4</v>
      </c>
      <c r="C1290" s="7">
        <f>Table1[[#This Row],[Net Sales]] * 0.2</f>
        <v>171.08</v>
      </c>
      <c r="D1290" t="s">
        <v>19</v>
      </c>
      <c r="E1290" t="s">
        <v>26</v>
      </c>
      <c r="F1290">
        <v>7</v>
      </c>
      <c r="G1290">
        <v>122.2</v>
      </c>
      <c r="H1290" t="s">
        <v>31</v>
      </c>
      <c r="I1290" t="s">
        <v>36</v>
      </c>
      <c r="J1290" s="3">
        <v>0</v>
      </c>
      <c r="K1290" t="s">
        <v>40</v>
      </c>
      <c r="L1290">
        <v>855.4</v>
      </c>
      <c r="M1290" t="s">
        <v>45</v>
      </c>
      <c r="O1290">
        <v>0</v>
      </c>
      <c r="P1290" t="s">
        <v>1339</v>
      </c>
      <c r="Q1290" t="s">
        <v>2751</v>
      </c>
      <c r="R1290">
        <v>30.21</v>
      </c>
      <c r="S1290" s="5">
        <v>45809</v>
      </c>
      <c r="T1290" s="5">
        <v>45818</v>
      </c>
      <c r="U1290" t="s">
        <v>2922</v>
      </c>
    </row>
    <row r="1291" spans="1:21" x14ac:dyDescent="0.25">
      <c r="A1291" s="5">
        <v>45796</v>
      </c>
      <c r="B1291" s="7">
        <f>Table1[[#This Row],[TotalPrice]] * (1 - Table1[[#This Row],[Discount]])</f>
        <v>1711.5591499999998</v>
      </c>
      <c r="C1291" s="7">
        <f>Table1[[#This Row],[Net Sales]] * 0.2</f>
        <v>342.31182999999999</v>
      </c>
      <c r="D1291" t="s">
        <v>23</v>
      </c>
      <c r="E1291" t="s">
        <v>27</v>
      </c>
      <c r="F1291">
        <v>7</v>
      </c>
      <c r="G1291">
        <v>338.42</v>
      </c>
      <c r="H1291" t="s">
        <v>31</v>
      </c>
      <c r="I1291" t="s">
        <v>36</v>
      </c>
      <c r="J1291" s="3">
        <v>0.15</v>
      </c>
      <c r="K1291" t="s">
        <v>38</v>
      </c>
      <c r="L1291">
        <v>2013.5989999999999</v>
      </c>
      <c r="M1291" t="s">
        <v>43</v>
      </c>
      <c r="N1291" t="s">
        <v>48</v>
      </c>
      <c r="O1291">
        <v>0</v>
      </c>
      <c r="P1291" t="s">
        <v>1340</v>
      </c>
      <c r="Q1291" t="s">
        <v>2752</v>
      </c>
      <c r="R1291">
        <v>5.82</v>
      </c>
      <c r="S1291" s="5">
        <v>45796</v>
      </c>
      <c r="T1291" s="5">
        <v>45798</v>
      </c>
      <c r="U1291" t="s">
        <v>2926</v>
      </c>
    </row>
    <row r="1292" spans="1:21" x14ac:dyDescent="0.25">
      <c r="A1292" s="5">
        <v>44965</v>
      </c>
      <c r="B1292" s="7">
        <f>Table1[[#This Row],[TotalPrice]] * (1 - Table1[[#This Row],[Discount]])</f>
        <v>899</v>
      </c>
      <c r="C1292" s="7">
        <f>Table1[[#This Row],[Net Sales]] * 0.2</f>
        <v>179.8</v>
      </c>
      <c r="D1292" t="s">
        <v>19</v>
      </c>
      <c r="E1292" t="s">
        <v>29</v>
      </c>
      <c r="F1292">
        <v>4</v>
      </c>
      <c r="G1292">
        <v>224.75</v>
      </c>
      <c r="H1292" t="s">
        <v>34</v>
      </c>
      <c r="I1292" t="s">
        <v>35</v>
      </c>
      <c r="J1292" s="3">
        <v>0</v>
      </c>
      <c r="K1292" t="s">
        <v>39</v>
      </c>
      <c r="L1292">
        <v>899</v>
      </c>
      <c r="M1292" t="s">
        <v>46</v>
      </c>
      <c r="O1292">
        <v>0</v>
      </c>
      <c r="P1292" t="s">
        <v>1341</v>
      </c>
      <c r="Q1292" t="s">
        <v>2753</v>
      </c>
      <c r="R1292">
        <v>43.86</v>
      </c>
      <c r="S1292" s="5">
        <v>44965</v>
      </c>
      <c r="T1292" s="5">
        <v>44973</v>
      </c>
      <c r="U1292" t="s">
        <v>2922</v>
      </c>
    </row>
    <row r="1293" spans="1:21" x14ac:dyDescent="0.25">
      <c r="A1293" s="5">
        <v>45771</v>
      </c>
      <c r="B1293" s="7">
        <f>Table1[[#This Row],[TotalPrice]] * (1 - Table1[[#This Row],[Discount]])</f>
        <v>6605.8415999999997</v>
      </c>
      <c r="C1293" s="7">
        <f>Table1[[#This Row],[Net Sales]] * 0.2</f>
        <v>1321.16832</v>
      </c>
      <c r="D1293" t="s">
        <v>22</v>
      </c>
      <c r="E1293" t="s">
        <v>26</v>
      </c>
      <c r="F1293">
        <v>16</v>
      </c>
      <c r="G1293">
        <v>509.71</v>
      </c>
      <c r="H1293" t="s">
        <v>33</v>
      </c>
      <c r="I1293" t="s">
        <v>35</v>
      </c>
      <c r="J1293" s="3">
        <v>0.1</v>
      </c>
      <c r="K1293" t="s">
        <v>40</v>
      </c>
      <c r="L1293">
        <v>7339.8239999999996</v>
      </c>
      <c r="M1293" t="s">
        <v>47</v>
      </c>
      <c r="O1293">
        <v>0</v>
      </c>
      <c r="P1293" t="s">
        <v>1342</v>
      </c>
      <c r="Q1293" t="s">
        <v>2754</v>
      </c>
      <c r="R1293">
        <v>41.78</v>
      </c>
      <c r="S1293" s="5">
        <v>45771</v>
      </c>
      <c r="T1293" s="5">
        <v>45780</v>
      </c>
      <c r="U1293" t="s">
        <v>2925</v>
      </c>
    </row>
    <row r="1294" spans="1:21" x14ac:dyDescent="0.25">
      <c r="A1294" s="5">
        <v>45536</v>
      </c>
      <c r="B1294" s="7">
        <f>Table1[[#This Row],[TotalPrice]] * (1 - Table1[[#This Row],[Discount]])</f>
        <v>3374.3303999999998</v>
      </c>
      <c r="C1294" s="7">
        <f>Table1[[#This Row],[Net Sales]] * 0.2</f>
        <v>674.86608000000001</v>
      </c>
      <c r="D1294" t="s">
        <v>21</v>
      </c>
      <c r="E1294" t="s">
        <v>29</v>
      </c>
      <c r="F1294">
        <v>14</v>
      </c>
      <c r="G1294">
        <v>297.56</v>
      </c>
      <c r="H1294" t="s">
        <v>31</v>
      </c>
      <c r="I1294" t="s">
        <v>35</v>
      </c>
      <c r="J1294" s="3">
        <v>0.1</v>
      </c>
      <c r="K1294" t="s">
        <v>41</v>
      </c>
      <c r="L1294">
        <v>3749.2559999999999</v>
      </c>
      <c r="M1294" t="s">
        <v>46</v>
      </c>
      <c r="N1294" t="s">
        <v>48</v>
      </c>
      <c r="O1294">
        <v>0</v>
      </c>
      <c r="P1294" t="s">
        <v>1343</v>
      </c>
      <c r="Q1294" t="s">
        <v>2755</v>
      </c>
      <c r="R1294">
        <v>31.44</v>
      </c>
      <c r="S1294" s="5">
        <v>45536</v>
      </c>
      <c r="T1294" s="5">
        <v>45543</v>
      </c>
      <c r="U1294" t="s">
        <v>2924</v>
      </c>
    </row>
    <row r="1295" spans="1:21" x14ac:dyDescent="0.25">
      <c r="A1295" s="5">
        <v>45603</v>
      </c>
      <c r="B1295" s="7">
        <f>Table1[[#This Row],[TotalPrice]] * (1 - Table1[[#This Row],[Discount]])</f>
        <v>4283.6530750000002</v>
      </c>
      <c r="C1295" s="7">
        <f>Table1[[#This Row],[Net Sales]] * 0.2</f>
        <v>856.73061500000006</v>
      </c>
      <c r="D1295" t="s">
        <v>22</v>
      </c>
      <c r="E1295" t="s">
        <v>30</v>
      </c>
      <c r="F1295">
        <v>13</v>
      </c>
      <c r="G1295">
        <v>365.11</v>
      </c>
      <c r="H1295" t="s">
        <v>33</v>
      </c>
      <c r="I1295" t="s">
        <v>36</v>
      </c>
      <c r="J1295" s="3">
        <v>0.05</v>
      </c>
      <c r="K1295" t="s">
        <v>41</v>
      </c>
      <c r="L1295">
        <v>4509.1085000000003</v>
      </c>
      <c r="M1295" t="s">
        <v>43</v>
      </c>
      <c r="O1295">
        <v>0</v>
      </c>
      <c r="P1295" t="s">
        <v>1344</v>
      </c>
      <c r="Q1295" t="s">
        <v>2756</v>
      </c>
      <c r="R1295">
        <v>13.97</v>
      </c>
      <c r="S1295" s="5">
        <v>45603</v>
      </c>
      <c r="T1295" s="5">
        <v>45609</v>
      </c>
      <c r="U1295" t="s">
        <v>2925</v>
      </c>
    </row>
    <row r="1296" spans="1:21" x14ac:dyDescent="0.25">
      <c r="A1296" s="5">
        <v>45625</v>
      </c>
      <c r="B1296" s="7">
        <f>Table1[[#This Row],[TotalPrice]] * (1 - Table1[[#This Row],[Discount]])</f>
        <v>139.13</v>
      </c>
      <c r="C1296" s="7">
        <f>Table1[[#This Row],[Net Sales]] * 0.2</f>
        <v>27.826000000000001</v>
      </c>
      <c r="D1296" t="s">
        <v>19</v>
      </c>
      <c r="E1296" t="s">
        <v>27</v>
      </c>
      <c r="F1296">
        <v>1</v>
      </c>
      <c r="G1296">
        <v>139.13</v>
      </c>
      <c r="H1296" t="s">
        <v>33</v>
      </c>
      <c r="I1296" t="s">
        <v>35</v>
      </c>
      <c r="J1296" s="3">
        <v>0</v>
      </c>
      <c r="K1296" t="s">
        <v>40</v>
      </c>
      <c r="L1296">
        <v>139.13</v>
      </c>
      <c r="M1296" t="s">
        <v>47</v>
      </c>
      <c r="O1296">
        <v>1</v>
      </c>
      <c r="P1296" t="s">
        <v>1345</v>
      </c>
      <c r="Q1296" t="s">
        <v>2757</v>
      </c>
      <c r="R1296">
        <v>35.92</v>
      </c>
      <c r="S1296" s="5">
        <v>45625</v>
      </c>
      <c r="T1296" s="5">
        <v>45628</v>
      </c>
      <c r="U1296" t="s">
        <v>2922</v>
      </c>
    </row>
    <row r="1297" spans="1:21" x14ac:dyDescent="0.25">
      <c r="A1297" s="5">
        <v>45026</v>
      </c>
      <c r="B1297" s="7">
        <f>Table1[[#This Row],[TotalPrice]] * (1 - Table1[[#This Row],[Discount]])</f>
        <v>3263.34</v>
      </c>
      <c r="C1297" s="7">
        <f>Table1[[#This Row],[Net Sales]] * 0.2</f>
        <v>652.66800000000012</v>
      </c>
      <c r="D1297" t="s">
        <v>23</v>
      </c>
      <c r="E1297" t="s">
        <v>27</v>
      </c>
      <c r="F1297">
        <v>6</v>
      </c>
      <c r="G1297">
        <v>543.89</v>
      </c>
      <c r="H1297" t="s">
        <v>33</v>
      </c>
      <c r="I1297" t="s">
        <v>36</v>
      </c>
      <c r="J1297" s="3">
        <v>0</v>
      </c>
      <c r="K1297" t="s">
        <v>42</v>
      </c>
      <c r="L1297">
        <v>3263.34</v>
      </c>
      <c r="M1297" t="s">
        <v>47</v>
      </c>
      <c r="O1297">
        <v>1</v>
      </c>
      <c r="P1297" t="s">
        <v>1346</v>
      </c>
      <c r="Q1297" t="s">
        <v>2758</v>
      </c>
      <c r="R1297">
        <v>13.19</v>
      </c>
      <c r="S1297" s="5">
        <v>45026</v>
      </c>
      <c r="T1297" s="5">
        <v>45036</v>
      </c>
      <c r="U1297" t="s">
        <v>2926</v>
      </c>
    </row>
    <row r="1298" spans="1:21" x14ac:dyDescent="0.25">
      <c r="A1298" s="5">
        <v>45301</v>
      </c>
      <c r="B1298" s="7">
        <f>Table1[[#This Row],[TotalPrice]] * (1 - Table1[[#This Row],[Discount]])</f>
        <v>4174.3</v>
      </c>
      <c r="C1298" s="7">
        <f>Table1[[#This Row],[Net Sales]] * 0.2</f>
        <v>834.86000000000013</v>
      </c>
      <c r="D1298" t="s">
        <v>21</v>
      </c>
      <c r="E1298" t="s">
        <v>30</v>
      </c>
      <c r="F1298">
        <v>19</v>
      </c>
      <c r="G1298">
        <v>219.7</v>
      </c>
      <c r="H1298" t="s">
        <v>32</v>
      </c>
      <c r="I1298" t="s">
        <v>36</v>
      </c>
      <c r="J1298" s="3">
        <v>0</v>
      </c>
      <c r="K1298" t="s">
        <v>38</v>
      </c>
      <c r="L1298">
        <v>4174.3</v>
      </c>
      <c r="M1298" t="s">
        <v>47</v>
      </c>
      <c r="N1298" t="s">
        <v>48</v>
      </c>
      <c r="O1298">
        <v>0</v>
      </c>
      <c r="P1298" t="s">
        <v>1347</v>
      </c>
      <c r="Q1298" t="s">
        <v>2759</v>
      </c>
      <c r="R1298">
        <v>15.38</v>
      </c>
      <c r="S1298" s="5">
        <v>45301</v>
      </c>
      <c r="T1298" s="5">
        <v>45307</v>
      </c>
      <c r="U1298" t="s">
        <v>2924</v>
      </c>
    </row>
    <row r="1299" spans="1:21" x14ac:dyDescent="0.25">
      <c r="A1299" s="5">
        <v>45794</v>
      </c>
      <c r="B1299" s="7">
        <f>Table1[[#This Row],[TotalPrice]] * (1 - Table1[[#This Row],[Discount]])</f>
        <v>510.85109999999992</v>
      </c>
      <c r="C1299" s="7">
        <f>Table1[[#This Row],[Net Sales]] * 0.2</f>
        <v>102.17021999999999</v>
      </c>
      <c r="D1299" t="s">
        <v>20</v>
      </c>
      <c r="E1299" t="s">
        <v>25</v>
      </c>
      <c r="F1299">
        <v>6</v>
      </c>
      <c r="G1299">
        <v>94.34</v>
      </c>
      <c r="H1299" t="s">
        <v>33</v>
      </c>
      <c r="I1299" t="s">
        <v>36</v>
      </c>
      <c r="J1299" s="3">
        <v>0.05</v>
      </c>
      <c r="K1299" t="s">
        <v>38</v>
      </c>
      <c r="L1299">
        <v>537.73799999999994</v>
      </c>
      <c r="M1299" t="s">
        <v>47</v>
      </c>
      <c r="N1299" t="s">
        <v>50</v>
      </c>
      <c r="O1299">
        <v>1</v>
      </c>
      <c r="P1299" t="s">
        <v>1348</v>
      </c>
      <c r="Q1299" t="s">
        <v>2760</v>
      </c>
      <c r="R1299">
        <v>49.26</v>
      </c>
      <c r="S1299" s="5">
        <v>45794</v>
      </c>
      <c r="T1299" s="5">
        <v>45800</v>
      </c>
      <c r="U1299" t="s">
        <v>2923</v>
      </c>
    </row>
    <row r="1300" spans="1:21" x14ac:dyDescent="0.25">
      <c r="A1300" s="5">
        <v>45499</v>
      </c>
      <c r="B1300" s="7">
        <f>Table1[[#This Row],[TotalPrice]] * (1 - Table1[[#This Row],[Discount]])</f>
        <v>3163.9864499999999</v>
      </c>
      <c r="C1300" s="7">
        <f>Table1[[#This Row],[Net Sales]] * 0.2</f>
        <v>632.79728999999998</v>
      </c>
      <c r="D1300" t="s">
        <v>22</v>
      </c>
      <c r="E1300" t="s">
        <v>24</v>
      </c>
      <c r="F1300">
        <v>9</v>
      </c>
      <c r="G1300">
        <v>486.58</v>
      </c>
      <c r="H1300" t="s">
        <v>32</v>
      </c>
      <c r="I1300" t="s">
        <v>36</v>
      </c>
      <c r="J1300" s="3">
        <v>0.15</v>
      </c>
      <c r="K1300" t="s">
        <v>38</v>
      </c>
      <c r="L1300">
        <v>3722.337</v>
      </c>
      <c r="M1300" t="s">
        <v>43</v>
      </c>
      <c r="N1300" t="s">
        <v>48</v>
      </c>
      <c r="O1300">
        <v>0</v>
      </c>
      <c r="P1300" t="s">
        <v>1349</v>
      </c>
      <c r="Q1300" t="s">
        <v>2761</v>
      </c>
      <c r="R1300">
        <v>38.72</v>
      </c>
      <c r="S1300" s="5">
        <v>45499</v>
      </c>
      <c r="T1300" s="5">
        <v>45503</v>
      </c>
      <c r="U1300" t="s">
        <v>2925</v>
      </c>
    </row>
    <row r="1301" spans="1:21" x14ac:dyDescent="0.25">
      <c r="A1301" s="5">
        <v>45652</v>
      </c>
      <c r="B1301" s="7">
        <f>Table1[[#This Row],[TotalPrice]] * (1 - Table1[[#This Row],[Discount]])</f>
        <v>5018.7161999999989</v>
      </c>
      <c r="C1301" s="7">
        <f>Table1[[#This Row],[Net Sales]] * 0.2</f>
        <v>1003.7432399999998</v>
      </c>
      <c r="D1301" t="s">
        <v>20</v>
      </c>
      <c r="E1301" t="s">
        <v>26</v>
      </c>
      <c r="F1301">
        <v>12</v>
      </c>
      <c r="G1301">
        <v>578.86</v>
      </c>
      <c r="H1301" t="s">
        <v>34</v>
      </c>
      <c r="I1301" t="s">
        <v>36</v>
      </c>
      <c r="J1301" s="3">
        <v>0.15</v>
      </c>
      <c r="K1301" t="s">
        <v>39</v>
      </c>
      <c r="L1301">
        <v>5904.3719999999994</v>
      </c>
      <c r="M1301" t="s">
        <v>47</v>
      </c>
      <c r="N1301" t="s">
        <v>48</v>
      </c>
      <c r="O1301">
        <v>0</v>
      </c>
      <c r="P1301" t="s">
        <v>1350</v>
      </c>
      <c r="Q1301" t="s">
        <v>2762</v>
      </c>
      <c r="R1301">
        <v>25.84</v>
      </c>
      <c r="S1301" s="5">
        <v>45652</v>
      </c>
      <c r="T1301" s="5">
        <v>45660</v>
      </c>
      <c r="U1301" t="s">
        <v>2923</v>
      </c>
    </row>
    <row r="1302" spans="1:21" x14ac:dyDescent="0.25">
      <c r="A1302" s="5">
        <v>45680</v>
      </c>
      <c r="B1302" s="7">
        <f>Table1[[#This Row],[TotalPrice]] * (1 - Table1[[#This Row],[Discount]])</f>
        <v>1378.16</v>
      </c>
      <c r="C1302" s="7">
        <f>Table1[[#This Row],[Net Sales]] * 0.2</f>
        <v>275.63200000000001</v>
      </c>
      <c r="D1302" t="s">
        <v>19</v>
      </c>
      <c r="E1302" t="s">
        <v>29</v>
      </c>
      <c r="F1302">
        <v>7</v>
      </c>
      <c r="G1302">
        <v>196.88</v>
      </c>
      <c r="H1302" t="s">
        <v>33</v>
      </c>
      <c r="I1302" t="s">
        <v>36</v>
      </c>
      <c r="J1302" s="3">
        <v>0</v>
      </c>
      <c r="K1302" t="s">
        <v>41</v>
      </c>
      <c r="L1302">
        <v>1378.16</v>
      </c>
      <c r="M1302" t="s">
        <v>46</v>
      </c>
      <c r="N1302" t="s">
        <v>49</v>
      </c>
      <c r="O1302">
        <v>0</v>
      </c>
      <c r="P1302" t="s">
        <v>1351</v>
      </c>
      <c r="Q1302" t="s">
        <v>2070</v>
      </c>
      <c r="R1302">
        <v>44.92</v>
      </c>
      <c r="S1302" s="5">
        <v>45680</v>
      </c>
      <c r="T1302" s="5">
        <v>45688</v>
      </c>
      <c r="U1302" t="s">
        <v>2922</v>
      </c>
    </row>
    <row r="1303" spans="1:21" x14ac:dyDescent="0.25">
      <c r="A1303" s="5">
        <v>45376</v>
      </c>
      <c r="B1303" s="7">
        <f>Table1[[#This Row],[TotalPrice]] * (1 - Table1[[#This Row],[Discount]])</f>
        <v>2530.6343999999999</v>
      </c>
      <c r="C1303" s="7">
        <f>Table1[[#This Row],[Net Sales]] * 0.2</f>
        <v>506.12688000000003</v>
      </c>
      <c r="D1303" t="s">
        <v>20</v>
      </c>
      <c r="E1303" t="s">
        <v>25</v>
      </c>
      <c r="F1303">
        <v>7</v>
      </c>
      <c r="G1303">
        <v>446.32</v>
      </c>
      <c r="H1303" t="s">
        <v>31</v>
      </c>
      <c r="I1303" t="s">
        <v>35</v>
      </c>
      <c r="J1303" s="3">
        <v>0.1</v>
      </c>
      <c r="K1303" t="s">
        <v>38</v>
      </c>
      <c r="L1303">
        <v>2811.8159999999998</v>
      </c>
      <c r="M1303" t="s">
        <v>46</v>
      </c>
      <c r="O1303">
        <v>0</v>
      </c>
      <c r="P1303" t="s">
        <v>1352</v>
      </c>
      <c r="Q1303" t="s">
        <v>2763</v>
      </c>
      <c r="R1303">
        <v>47.23</v>
      </c>
      <c r="S1303" s="5">
        <v>45376</v>
      </c>
      <c r="T1303" s="5">
        <v>45383</v>
      </c>
      <c r="U1303" t="s">
        <v>2923</v>
      </c>
    </row>
    <row r="1304" spans="1:21" x14ac:dyDescent="0.25">
      <c r="A1304" s="5">
        <v>45720</v>
      </c>
      <c r="B1304" s="7">
        <f>Table1[[#This Row],[TotalPrice]] * (1 - Table1[[#This Row],[Discount]])</f>
        <v>4921.18</v>
      </c>
      <c r="C1304" s="7">
        <f>Table1[[#This Row],[Net Sales]] * 0.2</f>
        <v>984.2360000000001</v>
      </c>
      <c r="D1304" t="s">
        <v>22</v>
      </c>
      <c r="E1304" t="s">
        <v>29</v>
      </c>
      <c r="F1304">
        <v>11</v>
      </c>
      <c r="G1304">
        <v>447.38</v>
      </c>
      <c r="H1304" t="s">
        <v>34</v>
      </c>
      <c r="I1304" t="s">
        <v>35</v>
      </c>
      <c r="J1304" s="3">
        <v>0</v>
      </c>
      <c r="K1304" t="s">
        <v>38</v>
      </c>
      <c r="L1304">
        <v>4921.18</v>
      </c>
      <c r="M1304" t="s">
        <v>44</v>
      </c>
      <c r="N1304" t="s">
        <v>49</v>
      </c>
      <c r="O1304">
        <v>0</v>
      </c>
      <c r="P1304" t="s">
        <v>1353</v>
      </c>
      <c r="Q1304" t="s">
        <v>2102</v>
      </c>
      <c r="R1304">
        <v>36.72</v>
      </c>
      <c r="S1304" s="5">
        <v>45720</v>
      </c>
      <c r="T1304" s="5">
        <v>45727</v>
      </c>
      <c r="U1304" t="s">
        <v>2925</v>
      </c>
    </row>
    <row r="1305" spans="1:21" x14ac:dyDescent="0.25">
      <c r="A1305" s="5">
        <v>45219</v>
      </c>
      <c r="B1305" s="7">
        <f>Table1[[#This Row],[TotalPrice]] * (1 - Table1[[#This Row],[Discount]])</f>
        <v>3122.3556000000003</v>
      </c>
      <c r="C1305" s="7">
        <f>Table1[[#This Row],[Net Sales]] * 0.2</f>
        <v>624.47112000000016</v>
      </c>
      <c r="D1305" t="s">
        <v>20</v>
      </c>
      <c r="E1305" t="s">
        <v>26</v>
      </c>
      <c r="F1305">
        <v>14</v>
      </c>
      <c r="G1305">
        <v>275.33999999999997</v>
      </c>
      <c r="H1305" t="s">
        <v>31</v>
      </c>
      <c r="I1305" t="s">
        <v>36</v>
      </c>
      <c r="J1305" s="3">
        <v>0.1</v>
      </c>
      <c r="K1305" t="s">
        <v>40</v>
      </c>
      <c r="L1305">
        <v>3469.2840000000001</v>
      </c>
      <c r="M1305" t="s">
        <v>43</v>
      </c>
      <c r="O1305">
        <v>1</v>
      </c>
      <c r="P1305" t="s">
        <v>1354</v>
      </c>
      <c r="Q1305" t="s">
        <v>2764</v>
      </c>
      <c r="R1305">
        <v>32.799999999999997</v>
      </c>
      <c r="S1305" s="5">
        <v>45219</v>
      </c>
      <c r="T1305" s="5">
        <v>45223</v>
      </c>
      <c r="U1305" t="s">
        <v>2923</v>
      </c>
    </row>
    <row r="1306" spans="1:21" x14ac:dyDescent="0.25">
      <c r="A1306" s="5">
        <v>45554</v>
      </c>
      <c r="B1306" s="7">
        <f>Table1[[#This Row],[TotalPrice]] * (1 - Table1[[#This Row],[Discount]])</f>
        <v>39.939799999999998</v>
      </c>
      <c r="C1306" s="7">
        <f>Table1[[#This Row],[Net Sales]] * 0.2</f>
        <v>7.9879600000000002</v>
      </c>
      <c r="D1306" t="s">
        <v>22</v>
      </c>
      <c r="E1306" t="s">
        <v>26</v>
      </c>
      <c r="F1306">
        <v>2</v>
      </c>
      <c r="G1306">
        <v>27.64</v>
      </c>
      <c r="H1306" t="s">
        <v>31</v>
      </c>
      <c r="I1306" t="s">
        <v>36</v>
      </c>
      <c r="J1306" s="3">
        <v>0.15</v>
      </c>
      <c r="K1306" t="s">
        <v>39</v>
      </c>
      <c r="L1306">
        <v>46.988</v>
      </c>
      <c r="M1306" t="s">
        <v>45</v>
      </c>
      <c r="N1306" t="s">
        <v>48</v>
      </c>
      <c r="O1306">
        <v>0</v>
      </c>
      <c r="P1306" t="s">
        <v>1355</v>
      </c>
      <c r="Q1306" t="s">
        <v>2765</v>
      </c>
      <c r="R1306">
        <v>21.73</v>
      </c>
      <c r="S1306" s="5">
        <v>45554</v>
      </c>
      <c r="T1306" s="5">
        <v>45563</v>
      </c>
      <c r="U1306" t="s">
        <v>2925</v>
      </c>
    </row>
    <row r="1307" spans="1:21" x14ac:dyDescent="0.25">
      <c r="A1307" s="5">
        <v>45192</v>
      </c>
      <c r="B1307" s="7">
        <f>Table1[[#This Row],[TotalPrice]] * (1 - Table1[[#This Row],[Discount]])</f>
        <v>7468.1</v>
      </c>
      <c r="C1307" s="7">
        <f>Table1[[#This Row],[Net Sales]] * 0.2</f>
        <v>1493.6200000000001</v>
      </c>
      <c r="D1307" t="s">
        <v>21</v>
      </c>
      <c r="E1307" t="s">
        <v>28</v>
      </c>
      <c r="F1307">
        <v>17</v>
      </c>
      <c r="G1307">
        <v>439.3</v>
      </c>
      <c r="H1307" t="s">
        <v>31</v>
      </c>
      <c r="I1307" t="s">
        <v>36</v>
      </c>
      <c r="J1307" s="3">
        <v>0</v>
      </c>
      <c r="K1307" t="s">
        <v>39</v>
      </c>
      <c r="L1307">
        <v>7468.1</v>
      </c>
      <c r="M1307" t="s">
        <v>43</v>
      </c>
      <c r="N1307" t="s">
        <v>48</v>
      </c>
      <c r="O1307">
        <v>0</v>
      </c>
      <c r="P1307" t="s">
        <v>1356</v>
      </c>
      <c r="Q1307" t="s">
        <v>2766</v>
      </c>
      <c r="R1307">
        <v>12.87</v>
      </c>
      <c r="S1307" s="5">
        <v>45192</v>
      </c>
      <c r="T1307" s="5">
        <v>45195</v>
      </c>
      <c r="U1307" t="s">
        <v>2924</v>
      </c>
    </row>
    <row r="1308" spans="1:21" x14ac:dyDescent="0.25">
      <c r="A1308" s="5">
        <v>45657</v>
      </c>
      <c r="B1308" s="7">
        <f>Table1[[#This Row],[TotalPrice]] * (1 - Table1[[#This Row],[Discount]])</f>
        <v>8607.15</v>
      </c>
      <c r="C1308" s="7">
        <f>Table1[[#This Row],[Net Sales]] * 0.2</f>
        <v>1721.43</v>
      </c>
      <c r="D1308" t="s">
        <v>19</v>
      </c>
      <c r="E1308" t="s">
        <v>30</v>
      </c>
      <c r="F1308">
        <v>15</v>
      </c>
      <c r="G1308">
        <v>573.80999999999995</v>
      </c>
      <c r="H1308" t="s">
        <v>33</v>
      </c>
      <c r="I1308" t="s">
        <v>36</v>
      </c>
      <c r="J1308" s="3">
        <v>0</v>
      </c>
      <c r="K1308" t="s">
        <v>38</v>
      </c>
      <c r="L1308">
        <v>8607.15</v>
      </c>
      <c r="M1308" t="s">
        <v>44</v>
      </c>
      <c r="N1308" t="s">
        <v>49</v>
      </c>
      <c r="O1308">
        <v>0</v>
      </c>
      <c r="P1308" t="s">
        <v>1357</v>
      </c>
      <c r="Q1308" t="s">
        <v>2169</v>
      </c>
      <c r="R1308">
        <v>35.869999999999997</v>
      </c>
      <c r="S1308" s="5">
        <v>45657</v>
      </c>
      <c r="T1308" s="5">
        <v>45659</v>
      </c>
      <c r="U1308" t="s">
        <v>2922</v>
      </c>
    </row>
    <row r="1309" spans="1:21" x14ac:dyDescent="0.25">
      <c r="A1309" s="5">
        <v>45314</v>
      </c>
      <c r="B1309" s="7">
        <f>Table1[[#This Row],[TotalPrice]] * (1 - Table1[[#This Row],[Discount]])</f>
        <v>6174.1288499999991</v>
      </c>
      <c r="C1309" s="7">
        <f>Table1[[#This Row],[Net Sales]] * 0.2</f>
        <v>1234.8257699999999</v>
      </c>
      <c r="D1309" t="s">
        <v>21</v>
      </c>
      <c r="E1309" t="s">
        <v>26</v>
      </c>
      <c r="F1309">
        <v>19</v>
      </c>
      <c r="G1309">
        <v>360.06</v>
      </c>
      <c r="H1309" t="s">
        <v>33</v>
      </c>
      <c r="I1309" t="s">
        <v>35</v>
      </c>
      <c r="J1309" s="3">
        <v>0.05</v>
      </c>
      <c r="K1309" t="s">
        <v>37</v>
      </c>
      <c r="L1309">
        <v>6499.0829999999996</v>
      </c>
      <c r="M1309" t="s">
        <v>46</v>
      </c>
      <c r="N1309" t="s">
        <v>48</v>
      </c>
      <c r="O1309">
        <v>0</v>
      </c>
      <c r="P1309" t="s">
        <v>1358</v>
      </c>
      <c r="Q1309" t="s">
        <v>2431</v>
      </c>
      <c r="R1309">
        <v>33.19</v>
      </c>
      <c r="S1309" s="5">
        <v>45314</v>
      </c>
      <c r="T1309" s="5">
        <v>45322</v>
      </c>
      <c r="U1309" t="s">
        <v>2924</v>
      </c>
    </row>
    <row r="1310" spans="1:21" x14ac:dyDescent="0.25">
      <c r="A1310" s="5">
        <v>45090</v>
      </c>
      <c r="B1310" s="7">
        <f>Table1[[#This Row],[TotalPrice]] * (1 - Table1[[#This Row],[Discount]])</f>
        <v>3034.5840000000012</v>
      </c>
      <c r="C1310" s="7">
        <f>Table1[[#This Row],[Net Sales]] * 0.2</f>
        <v>606.91680000000031</v>
      </c>
      <c r="D1310" t="s">
        <v>19</v>
      </c>
      <c r="E1310" t="s">
        <v>24</v>
      </c>
      <c r="F1310">
        <v>7</v>
      </c>
      <c r="G1310">
        <v>535.20000000000005</v>
      </c>
      <c r="H1310" t="s">
        <v>33</v>
      </c>
      <c r="I1310" t="s">
        <v>36</v>
      </c>
      <c r="J1310" s="3">
        <v>0.1</v>
      </c>
      <c r="K1310" t="s">
        <v>39</v>
      </c>
      <c r="L1310">
        <v>3371.7600000000011</v>
      </c>
      <c r="M1310" t="s">
        <v>46</v>
      </c>
      <c r="O1310">
        <v>0</v>
      </c>
      <c r="P1310" t="s">
        <v>1359</v>
      </c>
      <c r="Q1310" t="s">
        <v>2767</v>
      </c>
      <c r="R1310">
        <v>10.44</v>
      </c>
      <c r="S1310" s="5">
        <v>45090</v>
      </c>
      <c r="T1310" s="5">
        <v>45100</v>
      </c>
      <c r="U1310" t="s">
        <v>2922</v>
      </c>
    </row>
    <row r="1311" spans="1:21" x14ac:dyDescent="0.25">
      <c r="A1311" s="5">
        <v>45108</v>
      </c>
      <c r="B1311" s="7">
        <f>Table1[[#This Row],[TotalPrice]] * (1 - Table1[[#This Row],[Discount]])</f>
        <v>3061.47</v>
      </c>
      <c r="C1311" s="7">
        <f>Table1[[#This Row],[Net Sales]] * 0.2</f>
        <v>612.29399999999998</v>
      </c>
      <c r="D1311" t="s">
        <v>19</v>
      </c>
      <c r="E1311" t="s">
        <v>27</v>
      </c>
      <c r="F1311">
        <v>19</v>
      </c>
      <c r="G1311">
        <v>161.13</v>
      </c>
      <c r="H1311" t="s">
        <v>32</v>
      </c>
      <c r="I1311" t="s">
        <v>35</v>
      </c>
      <c r="J1311" s="3">
        <v>0</v>
      </c>
      <c r="K1311" t="s">
        <v>41</v>
      </c>
      <c r="L1311">
        <v>3061.47</v>
      </c>
      <c r="M1311" t="s">
        <v>45</v>
      </c>
      <c r="N1311" t="s">
        <v>48</v>
      </c>
      <c r="O1311">
        <v>0</v>
      </c>
      <c r="P1311" t="s">
        <v>1360</v>
      </c>
      <c r="Q1311" t="s">
        <v>2768</v>
      </c>
      <c r="R1311">
        <v>5.46</v>
      </c>
      <c r="S1311" s="5">
        <v>45108</v>
      </c>
      <c r="T1311" s="5">
        <v>45113</v>
      </c>
      <c r="U1311" t="s">
        <v>2922</v>
      </c>
    </row>
    <row r="1312" spans="1:21" x14ac:dyDescent="0.25">
      <c r="A1312" s="5">
        <v>45738</v>
      </c>
      <c r="B1312" s="7">
        <f>Table1[[#This Row],[TotalPrice]] * (1 - Table1[[#This Row],[Discount]])</f>
        <v>235.24599999999998</v>
      </c>
      <c r="C1312" s="7">
        <f>Table1[[#This Row],[Net Sales]] * 0.2</f>
        <v>47.049199999999999</v>
      </c>
      <c r="D1312" t="s">
        <v>20</v>
      </c>
      <c r="E1312" t="s">
        <v>24</v>
      </c>
      <c r="F1312">
        <v>11</v>
      </c>
      <c r="G1312">
        <v>29.6</v>
      </c>
      <c r="H1312" t="s">
        <v>34</v>
      </c>
      <c r="I1312" t="s">
        <v>36</v>
      </c>
      <c r="J1312" s="3">
        <v>0.15</v>
      </c>
      <c r="K1312" t="s">
        <v>40</v>
      </c>
      <c r="L1312">
        <v>276.76</v>
      </c>
      <c r="M1312" t="s">
        <v>47</v>
      </c>
      <c r="N1312" t="s">
        <v>48</v>
      </c>
      <c r="O1312">
        <v>1</v>
      </c>
      <c r="P1312" t="s">
        <v>1361</v>
      </c>
      <c r="Q1312" t="s">
        <v>2769</v>
      </c>
      <c r="R1312">
        <v>34.96</v>
      </c>
      <c r="S1312" s="5">
        <v>45738</v>
      </c>
      <c r="T1312" s="5">
        <v>45741</v>
      </c>
      <c r="U1312" t="s">
        <v>2923</v>
      </c>
    </row>
    <row r="1313" spans="1:21" x14ac:dyDescent="0.25">
      <c r="A1313" s="5">
        <v>45695</v>
      </c>
      <c r="B1313" s="7">
        <f>Table1[[#This Row],[TotalPrice]] * (1 - Table1[[#This Row],[Discount]])</f>
        <v>1998.6084000000001</v>
      </c>
      <c r="C1313" s="7">
        <f>Table1[[#This Row],[Net Sales]] * 0.2</f>
        <v>399.72168000000005</v>
      </c>
      <c r="D1313" t="s">
        <v>20</v>
      </c>
      <c r="E1313" t="s">
        <v>24</v>
      </c>
      <c r="F1313">
        <v>16</v>
      </c>
      <c r="G1313">
        <v>172.89</v>
      </c>
      <c r="H1313" t="s">
        <v>31</v>
      </c>
      <c r="I1313" t="s">
        <v>35</v>
      </c>
      <c r="J1313" s="3">
        <v>0.15</v>
      </c>
      <c r="K1313" t="s">
        <v>41</v>
      </c>
      <c r="L1313">
        <v>2351.3040000000001</v>
      </c>
      <c r="M1313" t="s">
        <v>45</v>
      </c>
      <c r="N1313" t="s">
        <v>48</v>
      </c>
      <c r="O1313">
        <v>1</v>
      </c>
      <c r="P1313" t="s">
        <v>1362</v>
      </c>
      <c r="Q1313" t="s">
        <v>2770</v>
      </c>
      <c r="R1313">
        <v>41.87</v>
      </c>
      <c r="S1313" s="5">
        <v>45695</v>
      </c>
      <c r="T1313" s="5">
        <v>45703</v>
      </c>
      <c r="U1313" t="s">
        <v>2923</v>
      </c>
    </row>
    <row r="1314" spans="1:21" x14ac:dyDescent="0.25">
      <c r="A1314" s="5">
        <v>45217</v>
      </c>
      <c r="B1314" s="7">
        <f>Table1[[#This Row],[TotalPrice]] * (1 - Table1[[#This Row],[Discount]])</f>
        <v>240.3</v>
      </c>
      <c r="C1314" s="7">
        <f>Table1[[#This Row],[Net Sales]] * 0.2</f>
        <v>48.06</v>
      </c>
      <c r="D1314" t="s">
        <v>21</v>
      </c>
      <c r="E1314" t="s">
        <v>25</v>
      </c>
      <c r="F1314">
        <v>5</v>
      </c>
      <c r="G1314">
        <v>48.06</v>
      </c>
      <c r="H1314" t="s">
        <v>32</v>
      </c>
      <c r="I1314" t="s">
        <v>35</v>
      </c>
      <c r="J1314" s="3">
        <v>0</v>
      </c>
      <c r="K1314" t="s">
        <v>38</v>
      </c>
      <c r="L1314">
        <v>240.3</v>
      </c>
      <c r="M1314" t="s">
        <v>44</v>
      </c>
      <c r="N1314" t="s">
        <v>48</v>
      </c>
      <c r="O1314">
        <v>0</v>
      </c>
      <c r="P1314" t="s">
        <v>1363</v>
      </c>
      <c r="Q1314" t="s">
        <v>2771</v>
      </c>
      <c r="R1314">
        <v>19.170000000000002</v>
      </c>
      <c r="S1314" s="5">
        <v>45217</v>
      </c>
      <c r="T1314" s="5">
        <v>45225</v>
      </c>
      <c r="U1314" t="s">
        <v>2924</v>
      </c>
    </row>
    <row r="1315" spans="1:21" x14ac:dyDescent="0.25">
      <c r="A1315" s="5">
        <v>45293</v>
      </c>
      <c r="B1315" s="7">
        <f>Table1[[#This Row],[TotalPrice]] * (1 - Table1[[#This Row],[Discount]])</f>
        <v>316.1592</v>
      </c>
      <c r="C1315" s="7">
        <f>Table1[[#This Row],[Net Sales]] * 0.2</f>
        <v>63.231840000000005</v>
      </c>
      <c r="D1315" t="s">
        <v>22</v>
      </c>
      <c r="E1315" t="s">
        <v>26</v>
      </c>
      <c r="F1315">
        <v>7</v>
      </c>
      <c r="G1315">
        <v>55.76</v>
      </c>
      <c r="H1315" t="s">
        <v>33</v>
      </c>
      <c r="I1315" t="s">
        <v>35</v>
      </c>
      <c r="J1315" s="3">
        <v>0.1</v>
      </c>
      <c r="K1315" t="s">
        <v>38</v>
      </c>
      <c r="L1315">
        <v>351.28800000000001</v>
      </c>
      <c r="M1315" t="s">
        <v>43</v>
      </c>
      <c r="O1315">
        <v>0</v>
      </c>
      <c r="P1315" t="s">
        <v>1364</v>
      </c>
      <c r="Q1315" t="s">
        <v>2772</v>
      </c>
      <c r="R1315">
        <v>38.979999999999997</v>
      </c>
      <c r="S1315" s="5">
        <v>45293</v>
      </c>
      <c r="T1315" s="5">
        <v>45302</v>
      </c>
      <c r="U1315" t="s">
        <v>2925</v>
      </c>
    </row>
    <row r="1316" spans="1:21" x14ac:dyDescent="0.25">
      <c r="A1316" s="5">
        <v>45724</v>
      </c>
      <c r="B1316" s="7">
        <f>Table1[[#This Row],[TotalPrice]] * (1 - Table1[[#This Row],[Discount]])</f>
        <v>71.036199999999994</v>
      </c>
      <c r="C1316" s="7">
        <f>Table1[[#This Row],[Net Sales]] * 0.2</f>
        <v>14.207239999999999</v>
      </c>
      <c r="D1316" t="s">
        <v>20</v>
      </c>
      <c r="E1316" t="s">
        <v>24</v>
      </c>
      <c r="F1316">
        <v>4</v>
      </c>
      <c r="G1316">
        <v>24.58</v>
      </c>
      <c r="H1316" t="s">
        <v>31</v>
      </c>
      <c r="I1316" t="s">
        <v>35</v>
      </c>
      <c r="J1316" s="3">
        <v>0.15</v>
      </c>
      <c r="K1316" t="s">
        <v>40</v>
      </c>
      <c r="L1316">
        <v>83.571999999999989</v>
      </c>
      <c r="M1316" t="s">
        <v>46</v>
      </c>
      <c r="N1316" t="s">
        <v>50</v>
      </c>
      <c r="O1316">
        <v>0</v>
      </c>
      <c r="P1316" t="s">
        <v>1365</v>
      </c>
      <c r="Q1316" t="s">
        <v>2773</v>
      </c>
      <c r="R1316">
        <v>39.869999999999997</v>
      </c>
      <c r="S1316" s="5">
        <v>45724</v>
      </c>
      <c r="T1316" s="5">
        <v>45733</v>
      </c>
      <c r="U1316" t="s">
        <v>2923</v>
      </c>
    </row>
    <row r="1317" spans="1:21" x14ac:dyDescent="0.25">
      <c r="A1317" s="5">
        <v>45110</v>
      </c>
      <c r="B1317" s="7">
        <f>Table1[[#This Row],[TotalPrice]] * (1 - Table1[[#This Row],[Discount]])</f>
        <v>1009.64</v>
      </c>
      <c r="C1317" s="7">
        <f>Table1[[#This Row],[Net Sales]] * 0.2</f>
        <v>201.928</v>
      </c>
      <c r="D1317" t="s">
        <v>23</v>
      </c>
      <c r="E1317" t="s">
        <v>26</v>
      </c>
      <c r="F1317">
        <v>2</v>
      </c>
      <c r="G1317">
        <v>504.82</v>
      </c>
      <c r="H1317" t="s">
        <v>34</v>
      </c>
      <c r="I1317" t="s">
        <v>36</v>
      </c>
      <c r="J1317" s="3">
        <v>0</v>
      </c>
      <c r="K1317" t="s">
        <v>40</v>
      </c>
      <c r="L1317">
        <v>1009.64</v>
      </c>
      <c r="M1317" t="s">
        <v>46</v>
      </c>
      <c r="N1317" t="s">
        <v>48</v>
      </c>
      <c r="O1317">
        <v>0</v>
      </c>
      <c r="P1317" t="s">
        <v>1366</v>
      </c>
      <c r="Q1317" t="s">
        <v>2774</v>
      </c>
      <c r="R1317">
        <v>25.54</v>
      </c>
      <c r="S1317" s="5">
        <v>45110</v>
      </c>
      <c r="T1317" s="5">
        <v>45115</v>
      </c>
      <c r="U1317" t="s">
        <v>2926</v>
      </c>
    </row>
    <row r="1318" spans="1:21" x14ac:dyDescent="0.25">
      <c r="A1318" s="5">
        <v>45245</v>
      </c>
      <c r="B1318" s="7">
        <f>Table1[[#This Row],[TotalPrice]] * (1 - Table1[[#This Row],[Discount]])</f>
        <v>3799.0053000000003</v>
      </c>
      <c r="C1318" s="7">
        <f>Table1[[#This Row],[Net Sales]] * 0.2</f>
        <v>759.80106000000012</v>
      </c>
      <c r="D1318" t="s">
        <v>21</v>
      </c>
      <c r="E1318" t="s">
        <v>29</v>
      </c>
      <c r="F1318">
        <v>17</v>
      </c>
      <c r="G1318">
        <v>275.89</v>
      </c>
      <c r="H1318" t="s">
        <v>31</v>
      </c>
      <c r="I1318" t="s">
        <v>35</v>
      </c>
      <c r="J1318" s="3">
        <v>0.1</v>
      </c>
      <c r="K1318" t="s">
        <v>42</v>
      </c>
      <c r="L1318">
        <v>4221.1170000000002</v>
      </c>
      <c r="M1318" t="s">
        <v>44</v>
      </c>
      <c r="N1318" t="s">
        <v>48</v>
      </c>
      <c r="O1318">
        <v>0</v>
      </c>
      <c r="P1318" t="s">
        <v>1367</v>
      </c>
      <c r="Q1318" t="s">
        <v>2775</v>
      </c>
      <c r="R1318">
        <v>15.43</v>
      </c>
      <c r="S1318" s="5">
        <v>45245</v>
      </c>
      <c r="T1318" s="5">
        <v>45252</v>
      </c>
      <c r="U1318" t="s">
        <v>2924</v>
      </c>
    </row>
    <row r="1319" spans="1:21" x14ac:dyDescent="0.25">
      <c r="A1319" s="5">
        <v>45332</v>
      </c>
      <c r="B1319" s="7">
        <f>Table1[[#This Row],[TotalPrice]] * (1 - Table1[[#This Row],[Discount]])</f>
        <v>951.85529999999994</v>
      </c>
      <c r="C1319" s="7">
        <f>Table1[[#This Row],[Net Sales]] * 0.2</f>
        <v>190.37106</v>
      </c>
      <c r="D1319" t="s">
        <v>23</v>
      </c>
      <c r="E1319" t="s">
        <v>26</v>
      </c>
      <c r="F1319">
        <v>9</v>
      </c>
      <c r="G1319">
        <v>130.57</v>
      </c>
      <c r="H1319" t="s">
        <v>33</v>
      </c>
      <c r="I1319" t="s">
        <v>35</v>
      </c>
      <c r="J1319" s="3">
        <v>0.1</v>
      </c>
      <c r="K1319" t="s">
        <v>37</v>
      </c>
      <c r="L1319">
        <v>1057.617</v>
      </c>
      <c r="M1319" t="s">
        <v>47</v>
      </c>
      <c r="N1319" t="s">
        <v>50</v>
      </c>
      <c r="O1319">
        <v>0</v>
      </c>
      <c r="P1319" t="s">
        <v>1368</v>
      </c>
      <c r="Q1319" t="s">
        <v>2776</v>
      </c>
      <c r="R1319">
        <v>37.14</v>
      </c>
      <c r="S1319" s="5">
        <v>45332</v>
      </c>
      <c r="T1319" s="5">
        <v>45339</v>
      </c>
      <c r="U1319" t="s">
        <v>2926</v>
      </c>
    </row>
    <row r="1320" spans="1:21" x14ac:dyDescent="0.25">
      <c r="A1320" s="5">
        <v>45756</v>
      </c>
      <c r="B1320" s="7">
        <f>Table1[[#This Row],[TotalPrice]] * (1 - Table1[[#This Row],[Discount]])</f>
        <v>3752.64</v>
      </c>
      <c r="C1320" s="7">
        <f>Table1[[#This Row],[Net Sales]] * 0.2</f>
        <v>750.52800000000002</v>
      </c>
      <c r="D1320" t="s">
        <v>23</v>
      </c>
      <c r="E1320" t="s">
        <v>28</v>
      </c>
      <c r="F1320">
        <v>12</v>
      </c>
      <c r="G1320">
        <v>312.72000000000003</v>
      </c>
      <c r="H1320" t="s">
        <v>33</v>
      </c>
      <c r="I1320" t="s">
        <v>36</v>
      </c>
      <c r="J1320" s="3">
        <v>0</v>
      </c>
      <c r="K1320" t="s">
        <v>37</v>
      </c>
      <c r="L1320">
        <v>3752.64</v>
      </c>
      <c r="M1320" t="s">
        <v>44</v>
      </c>
      <c r="O1320">
        <v>0</v>
      </c>
      <c r="P1320" t="s">
        <v>1369</v>
      </c>
      <c r="Q1320" t="s">
        <v>2019</v>
      </c>
      <c r="R1320">
        <v>18.46</v>
      </c>
      <c r="S1320" s="5">
        <v>45756</v>
      </c>
      <c r="T1320" s="5">
        <v>45766</v>
      </c>
      <c r="U1320" t="s">
        <v>2926</v>
      </c>
    </row>
    <row r="1321" spans="1:21" x14ac:dyDescent="0.25">
      <c r="A1321" s="5">
        <v>45178</v>
      </c>
      <c r="B1321" s="7">
        <f>Table1[[#This Row],[TotalPrice]] * (1 - Table1[[#This Row],[Discount]])</f>
        <v>3617.1116999999999</v>
      </c>
      <c r="C1321" s="7">
        <f>Table1[[#This Row],[Net Sales]] * 0.2</f>
        <v>723.42234000000008</v>
      </c>
      <c r="D1321" t="s">
        <v>23</v>
      </c>
      <c r="E1321" t="s">
        <v>29</v>
      </c>
      <c r="F1321">
        <v>18</v>
      </c>
      <c r="G1321">
        <v>222.66</v>
      </c>
      <c r="H1321" t="s">
        <v>33</v>
      </c>
      <c r="I1321" t="s">
        <v>35</v>
      </c>
      <c r="J1321" s="3">
        <v>0.05</v>
      </c>
      <c r="K1321" t="s">
        <v>38</v>
      </c>
      <c r="L1321">
        <v>3807.4859999999999</v>
      </c>
      <c r="M1321" t="s">
        <v>44</v>
      </c>
      <c r="N1321" t="s">
        <v>49</v>
      </c>
      <c r="O1321">
        <v>0</v>
      </c>
      <c r="P1321" t="s">
        <v>1370</v>
      </c>
      <c r="Q1321" t="s">
        <v>2777</v>
      </c>
      <c r="R1321">
        <v>12.91</v>
      </c>
      <c r="S1321" s="5">
        <v>45178</v>
      </c>
      <c r="T1321" s="5">
        <v>45181</v>
      </c>
      <c r="U1321" t="s">
        <v>2926</v>
      </c>
    </row>
    <row r="1322" spans="1:21" x14ac:dyDescent="0.25">
      <c r="A1322" s="5">
        <v>45004</v>
      </c>
      <c r="B1322" s="7">
        <f>Table1[[#This Row],[TotalPrice]] * (1 - Table1[[#This Row],[Discount]])</f>
        <v>4388.5416249999998</v>
      </c>
      <c r="C1322" s="7">
        <f>Table1[[#This Row],[Net Sales]] * 0.2</f>
        <v>877.70832500000006</v>
      </c>
      <c r="D1322" t="s">
        <v>19</v>
      </c>
      <c r="E1322" t="s">
        <v>25</v>
      </c>
      <c r="F1322">
        <v>13</v>
      </c>
      <c r="G1322">
        <v>374.05</v>
      </c>
      <c r="H1322" t="s">
        <v>34</v>
      </c>
      <c r="I1322" t="s">
        <v>35</v>
      </c>
      <c r="J1322" s="3">
        <v>0.05</v>
      </c>
      <c r="K1322" t="s">
        <v>41</v>
      </c>
      <c r="L1322">
        <v>4619.5174999999999</v>
      </c>
      <c r="M1322" t="s">
        <v>46</v>
      </c>
      <c r="N1322" t="s">
        <v>48</v>
      </c>
      <c r="O1322">
        <v>0</v>
      </c>
      <c r="P1322" t="s">
        <v>1371</v>
      </c>
      <c r="Q1322" t="s">
        <v>2778</v>
      </c>
      <c r="R1322">
        <v>26.32</v>
      </c>
      <c r="S1322" s="5">
        <v>45004</v>
      </c>
      <c r="T1322" s="5">
        <v>45011</v>
      </c>
      <c r="U1322" t="s">
        <v>2922</v>
      </c>
    </row>
    <row r="1323" spans="1:21" x14ac:dyDescent="0.25">
      <c r="A1323" s="5">
        <v>45657</v>
      </c>
      <c r="B1323" s="7">
        <f>Table1[[#This Row],[TotalPrice]] * (1 - Table1[[#This Row],[Discount]])</f>
        <v>2951.7939000000001</v>
      </c>
      <c r="C1323" s="7">
        <f>Table1[[#This Row],[Net Sales]] * 0.2</f>
        <v>590.35878000000002</v>
      </c>
      <c r="D1323" t="s">
        <v>22</v>
      </c>
      <c r="E1323" t="s">
        <v>30</v>
      </c>
      <c r="F1323">
        <v>11</v>
      </c>
      <c r="G1323">
        <v>331.29</v>
      </c>
      <c r="H1323" t="s">
        <v>31</v>
      </c>
      <c r="I1323" t="s">
        <v>35</v>
      </c>
      <c r="J1323" s="3">
        <v>0.1</v>
      </c>
      <c r="K1323" t="s">
        <v>38</v>
      </c>
      <c r="L1323">
        <v>3279.7710000000002</v>
      </c>
      <c r="M1323" t="s">
        <v>45</v>
      </c>
      <c r="N1323" t="s">
        <v>50</v>
      </c>
      <c r="O1323">
        <v>0</v>
      </c>
      <c r="P1323" t="s">
        <v>1372</v>
      </c>
      <c r="Q1323" t="s">
        <v>2454</v>
      </c>
      <c r="R1323">
        <v>6.22</v>
      </c>
      <c r="S1323" s="5">
        <v>45657</v>
      </c>
      <c r="T1323" s="5">
        <v>45659</v>
      </c>
      <c r="U1323" t="s">
        <v>2925</v>
      </c>
    </row>
    <row r="1324" spans="1:21" x14ac:dyDescent="0.25">
      <c r="A1324" s="5">
        <v>45254</v>
      </c>
      <c r="B1324" s="7">
        <f>Table1[[#This Row],[TotalPrice]] * (1 - Table1[[#This Row],[Discount]])</f>
        <v>2667.6</v>
      </c>
      <c r="C1324" s="7">
        <f>Table1[[#This Row],[Net Sales]] * 0.2</f>
        <v>533.52</v>
      </c>
      <c r="D1324" t="s">
        <v>22</v>
      </c>
      <c r="E1324" t="s">
        <v>25</v>
      </c>
      <c r="F1324">
        <v>5</v>
      </c>
      <c r="G1324">
        <v>533.52</v>
      </c>
      <c r="H1324" t="s">
        <v>34</v>
      </c>
      <c r="I1324" t="s">
        <v>35</v>
      </c>
      <c r="J1324" s="3">
        <v>0</v>
      </c>
      <c r="K1324" t="s">
        <v>40</v>
      </c>
      <c r="L1324">
        <v>2667.6</v>
      </c>
      <c r="M1324" t="s">
        <v>45</v>
      </c>
      <c r="N1324" t="s">
        <v>48</v>
      </c>
      <c r="O1324">
        <v>1</v>
      </c>
      <c r="P1324" t="s">
        <v>1373</v>
      </c>
      <c r="Q1324" t="s">
        <v>2779</v>
      </c>
      <c r="R1324">
        <v>9.08</v>
      </c>
      <c r="S1324" s="5">
        <v>45254</v>
      </c>
      <c r="T1324" s="5">
        <v>45256</v>
      </c>
      <c r="U1324" t="s">
        <v>2925</v>
      </c>
    </row>
    <row r="1325" spans="1:21" x14ac:dyDescent="0.25">
      <c r="A1325" s="5">
        <v>45792</v>
      </c>
      <c r="B1325" s="7">
        <f>Table1[[#This Row],[TotalPrice]] * (1 - Table1[[#This Row],[Discount]])</f>
        <v>4922.3999999999996</v>
      </c>
      <c r="C1325" s="7">
        <f>Table1[[#This Row],[Net Sales]] * 0.2</f>
        <v>984.48</v>
      </c>
      <c r="D1325" t="s">
        <v>19</v>
      </c>
      <c r="E1325" t="s">
        <v>27</v>
      </c>
      <c r="F1325">
        <v>10</v>
      </c>
      <c r="G1325">
        <v>492.24</v>
      </c>
      <c r="H1325" t="s">
        <v>32</v>
      </c>
      <c r="I1325" t="s">
        <v>36</v>
      </c>
      <c r="J1325" s="3">
        <v>0</v>
      </c>
      <c r="K1325" t="s">
        <v>38</v>
      </c>
      <c r="L1325">
        <v>4922.3999999999996</v>
      </c>
      <c r="M1325" t="s">
        <v>44</v>
      </c>
      <c r="N1325" t="s">
        <v>50</v>
      </c>
      <c r="O1325">
        <v>0</v>
      </c>
      <c r="P1325" t="s">
        <v>1374</v>
      </c>
      <c r="Q1325" t="s">
        <v>2780</v>
      </c>
      <c r="R1325">
        <v>38.89</v>
      </c>
      <c r="S1325" s="5">
        <v>45792</v>
      </c>
      <c r="T1325" s="5">
        <v>45799</v>
      </c>
      <c r="U1325" t="s">
        <v>2922</v>
      </c>
    </row>
    <row r="1326" spans="1:21" x14ac:dyDescent="0.25">
      <c r="A1326" s="5">
        <v>45753</v>
      </c>
      <c r="B1326" s="7">
        <f>Table1[[#This Row],[TotalPrice]] * (1 - Table1[[#This Row],[Discount]])</f>
        <v>3534.5639249999995</v>
      </c>
      <c r="C1326" s="7">
        <f>Table1[[#This Row],[Net Sales]] * 0.2</f>
        <v>706.91278499999999</v>
      </c>
      <c r="D1326" t="s">
        <v>20</v>
      </c>
      <c r="E1326" t="s">
        <v>29</v>
      </c>
      <c r="F1326">
        <v>9</v>
      </c>
      <c r="G1326">
        <v>543.57000000000005</v>
      </c>
      <c r="H1326" t="s">
        <v>34</v>
      </c>
      <c r="I1326" t="s">
        <v>36</v>
      </c>
      <c r="J1326" s="3">
        <v>0.15</v>
      </c>
      <c r="K1326" t="s">
        <v>41</v>
      </c>
      <c r="L1326">
        <v>4158.3104999999996</v>
      </c>
      <c r="M1326" t="s">
        <v>46</v>
      </c>
      <c r="N1326" t="s">
        <v>49</v>
      </c>
      <c r="O1326">
        <v>0</v>
      </c>
      <c r="P1326" t="s">
        <v>1375</v>
      </c>
      <c r="Q1326" t="s">
        <v>2781</v>
      </c>
      <c r="R1326">
        <v>7.54</v>
      </c>
      <c r="S1326" s="5">
        <v>45753</v>
      </c>
      <c r="T1326" s="5">
        <v>45758</v>
      </c>
      <c r="U1326" t="s">
        <v>2923</v>
      </c>
    </row>
    <row r="1327" spans="1:21" x14ac:dyDescent="0.25">
      <c r="A1327" s="5">
        <v>45328</v>
      </c>
      <c r="B1327" s="7">
        <f>Table1[[#This Row],[TotalPrice]] * (1 - Table1[[#This Row],[Discount]])</f>
        <v>1952.0352</v>
      </c>
      <c r="C1327" s="7">
        <f>Table1[[#This Row],[Net Sales]] * 0.2</f>
        <v>390.40704000000005</v>
      </c>
      <c r="D1327" t="s">
        <v>20</v>
      </c>
      <c r="E1327" t="s">
        <v>26</v>
      </c>
      <c r="F1327">
        <v>17</v>
      </c>
      <c r="G1327">
        <v>141.76</v>
      </c>
      <c r="H1327" t="s">
        <v>34</v>
      </c>
      <c r="I1327" t="s">
        <v>35</v>
      </c>
      <c r="J1327" s="3">
        <v>0.1</v>
      </c>
      <c r="K1327" t="s">
        <v>42</v>
      </c>
      <c r="L1327">
        <v>2168.9279999999999</v>
      </c>
      <c r="M1327" t="s">
        <v>47</v>
      </c>
      <c r="N1327" t="s">
        <v>50</v>
      </c>
      <c r="O1327">
        <v>1</v>
      </c>
      <c r="P1327" t="s">
        <v>1376</v>
      </c>
      <c r="Q1327" t="s">
        <v>2782</v>
      </c>
      <c r="R1327">
        <v>9.98</v>
      </c>
      <c r="S1327" s="5">
        <v>45328</v>
      </c>
      <c r="T1327" s="5">
        <v>45336</v>
      </c>
      <c r="U1327" t="s">
        <v>2923</v>
      </c>
    </row>
    <row r="1328" spans="1:21" x14ac:dyDescent="0.25">
      <c r="A1328" s="5">
        <v>45791</v>
      </c>
      <c r="B1328" s="7">
        <f>Table1[[#This Row],[TotalPrice]] * (1 - Table1[[#This Row],[Discount]])</f>
        <v>4886.2439999999997</v>
      </c>
      <c r="C1328" s="7">
        <f>Table1[[#This Row],[Net Sales]] * 0.2</f>
        <v>977.24879999999996</v>
      </c>
      <c r="D1328" t="s">
        <v>21</v>
      </c>
      <c r="E1328" t="s">
        <v>24</v>
      </c>
      <c r="F1328">
        <v>12</v>
      </c>
      <c r="G1328">
        <v>502.7</v>
      </c>
      <c r="H1328" t="s">
        <v>34</v>
      </c>
      <c r="I1328" t="s">
        <v>35</v>
      </c>
      <c r="J1328" s="3">
        <v>0.1</v>
      </c>
      <c r="K1328" t="s">
        <v>38</v>
      </c>
      <c r="L1328">
        <v>5429.16</v>
      </c>
      <c r="M1328" t="s">
        <v>45</v>
      </c>
      <c r="N1328" t="s">
        <v>48</v>
      </c>
      <c r="O1328">
        <v>0</v>
      </c>
      <c r="P1328" t="s">
        <v>1377</v>
      </c>
      <c r="Q1328" t="s">
        <v>2783</v>
      </c>
      <c r="R1328">
        <v>6.49</v>
      </c>
      <c r="S1328" s="5">
        <v>45791</v>
      </c>
      <c r="T1328" s="5">
        <v>45797</v>
      </c>
      <c r="U1328" t="s">
        <v>2924</v>
      </c>
    </row>
    <row r="1329" spans="1:21" x14ac:dyDescent="0.25">
      <c r="A1329" s="5">
        <v>44939</v>
      </c>
      <c r="B1329" s="7">
        <f>Table1[[#This Row],[TotalPrice]] * (1 - Table1[[#This Row],[Discount]])</f>
        <v>1402.75575</v>
      </c>
      <c r="C1329" s="7">
        <f>Table1[[#This Row],[Net Sales]] * 0.2</f>
        <v>280.55115000000001</v>
      </c>
      <c r="D1329" t="s">
        <v>19</v>
      </c>
      <c r="E1329" t="s">
        <v>29</v>
      </c>
      <c r="F1329">
        <v>10</v>
      </c>
      <c r="G1329">
        <v>155.43</v>
      </c>
      <c r="H1329" t="s">
        <v>34</v>
      </c>
      <c r="I1329" t="s">
        <v>35</v>
      </c>
      <c r="J1329" s="3">
        <v>0.05</v>
      </c>
      <c r="K1329" t="s">
        <v>39</v>
      </c>
      <c r="L1329">
        <v>1476.585</v>
      </c>
      <c r="M1329" t="s">
        <v>44</v>
      </c>
      <c r="N1329" t="s">
        <v>50</v>
      </c>
      <c r="O1329">
        <v>0</v>
      </c>
      <c r="P1329" t="s">
        <v>1378</v>
      </c>
      <c r="Q1329" t="s">
        <v>2784</v>
      </c>
      <c r="R1329">
        <v>26.49</v>
      </c>
      <c r="S1329" s="5">
        <v>44939</v>
      </c>
      <c r="T1329" s="5">
        <v>44944</v>
      </c>
      <c r="U1329" t="s">
        <v>2922</v>
      </c>
    </row>
    <row r="1330" spans="1:21" x14ac:dyDescent="0.25">
      <c r="A1330" s="5">
        <v>45341</v>
      </c>
      <c r="B1330" s="7">
        <f>Table1[[#This Row],[TotalPrice]] * (1 - Table1[[#This Row],[Discount]])</f>
        <v>3667.14</v>
      </c>
      <c r="C1330" s="7">
        <f>Table1[[#This Row],[Net Sales]] * 0.2</f>
        <v>733.428</v>
      </c>
      <c r="D1330" t="s">
        <v>21</v>
      </c>
      <c r="E1330" t="s">
        <v>29</v>
      </c>
      <c r="F1330">
        <v>18</v>
      </c>
      <c r="G1330">
        <v>203.73</v>
      </c>
      <c r="H1330" t="s">
        <v>31</v>
      </c>
      <c r="I1330" t="s">
        <v>35</v>
      </c>
      <c r="J1330" s="3">
        <v>0</v>
      </c>
      <c r="K1330" t="s">
        <v>40</v>
      </c>
      <c r="L1330">
        <v>3667.14</v>
      </c>
      <c r="M1330" t="s">
        <v>44</v>
      </c>
      <c r="N1330" t="s">
        <v>49</v>
      </c>
      <c r="O1330">
        <v>1</v>
      </c>
      <c r="P1330" t="s">
        <v>1379</v>
      </c>
      <c r="Q1330" t="s">
        <v>2785</v>
      </c>
      <c r="R1330">
        <v>24.98</v>
      </c>
      <c r="S1330" s="5">
        <v>45341</v>
      </c>
      <c r="T1330" s="5">
        <v>45350</v>
      </c>
      <c r="U1330" t="s">
        <v>2924</v>
      </c>
    </row>
    <row r="1331" spans="1:21" x14ac:dyDescent="0.25">
      <c r="A1331" s="5">
        <v>45206</v>
      </c>
      <c r="B1331" s="7">
        <f>Table1[[#This Row],[TotalPrice]] * (1 - Table1[[#This Row],[Discount]])</f>
        <v>1005.9584249999999</v>
      </c>
      <c r="C1331" s="7">
        <f>Table1[[#This Row],[Net Sales]] * 0.2</f>
        <v>201.19168500000001</v>
      </c>
      <c r="D1331" t="s">
        <v>20</v>
      </c>
      <c r="E1331" t="s">
        <v>25</v>
      </c>
      <c r="F1331">
        <v>3</v>
      </c>
      <c r="G1331">
        <v>464.11</v>
      </c>
      <c r="H1331" t="s">
        <v>31</v>
      </c>
      <c r="I1331" t="s">
        <v>35</v>
      </c>
      <c r="J1331" s="3">
        <v>0.15</v>
      </c>
      <c r="K1331" t="s">
        <v>38</v>
      </c>
      <c r="L1331">
        <v>1183.4804999999999</v>
      </c>
      <c r="M1331" t="s">
        <v>44</v>
      </c>
      <c r="O1331">
        <v>0</v>
      </c>
      <c r="P1331" t="s">
        <v>1380</v>
      </c>
      <c r="Q1331" t="s">
        <v>2786</v>
      </c>
      <c r="R1331">
        <v>27.45</v>
      </c>
      <c r="S1331" s="5">
        <v>45206</v>
      </c>
      <c r="T1331" s="5">
        <v>45211</v>
      </c>
      <c r="U1331" t="s">
        <v>2923</v>
      </c>
    </row>
    <row r="1332" spans="1:21" x14ac:dyDescent="0.25">
      <c r="A1332" s="5">
        <v>45552</v>
      </c>
      <c r="B1332" s="7">
        <f>Table1[[#This Row],[TotalPrice]] * (1 - Table1[[#This Row],[Discount]])</f>
        <v>638.73334999999986</v>
      </c>
      <c r="C1332" s="7">
        <f>Table1[[#This Row],[Net Sales]] * 0.2</f>
        <v>127.74666999999998</v>
      </c>
      <c r="D1332" t="s">
        <v>22</v>
      </c>
      <c r="E1332" t="s">
        <v>27</v>
      </c>
      <c r="F1332">
        <v>2</v>
      </c>
      <c r="G1332">
        <v>442.03</v>
      </c>
      <c r="H1332" t="s">
        <v>31</v>
      </c>
      <c r="I1332" t="s">
        <v>36</v>
      </c>
      <c r="J1332" s="3">
        <v>0.15</v>
      </c>
      <c r="K1332" t="s">
        <v>40</v>
      </c>
      <c r="L1332">
        <v>751.45099999999991</v>
      </c>
      <c r="M1332" t="s">
        <v>46</v>
      </c>
      <c r="N1332" t="s">
        <v>50</v>
      </c>
      <c r="O1332">
        <v>0</v>
      </c>
      <c r="P1332" t="s">
        <v>1381</v>
      </c>
      <c r="Q1332" t="s">
        <v>2787</v>
      </c>
      <c r="R1332">
        <v>28.71</v>
      </c>
      <c r="S1332" s="5">
        <v>45552</v>
      </c>
      <c r="T1332" s="5">
        <v>45554</v>
      </c>
      <c r="U1332" t="s">
        <v>2925</v>
      </c>
    </row>
    <row r="1333" spans="1:21" x14ac:dyDescent="0.25">
      <c r="A1333" s="5">
        <v>45053</v>
      </c>
      <c r="B1333" s="7">
        <f>Table1[[#This Row],[TotalPrice]] * (1 - Table1[[#This Row],[Discount]])</f>
        <v>523.78392499999995</v>
      </c>
      <c r="C1333" s="7">
        <f>Table1[[#This Row],[Net Sales]] * 0.2</f>
        <v>104.75678499999999</v>
      </c>
      <c r="D1333" t="s">
        <v>21</v>
      </c>
      <c r="E1333" t="s">
        <v>25</v>
      </c>
      <c r="F1333">
        <v>7</v>
      </c>
      <c r="G1333">
        <v>82.91</v>
      </c>
      <c r="H1333" t="s">
        <v>32</v>
      </c>
      <c r="I1333" t="s">
        <v>36</v>
      </c>
      <c r="J1333" s="3">
        <v>0.05</v>
      </c>
      <c r="K1333" t="s">
        <v>37</v>
      </c>
      <c r="L1333">
        <v>551.35149999999999</v>
      </c>
      <c r="M1333" t="s">
        <v>46</v>
      </c>
      <c r="N1333" t="s">
        <v>50</v>
      </c>
      <c r="O1333">
        <v>1</v>
      </c>
      <c r="P1333" t="s">
        <v>1382</v>
      </c>
      <c r="Q1333" t="s">
        <v>2788</v>
      </c>
      <c r="R1333">
        <v>17.03</v>
      </c>
      <c r="S1333" s="5">
        <v>45053</v>
      </c>
      <c r="T1333" s="5">
        <v>45063</v>
      </c>
      <c r="U1333" t="s">
        <v>2924</v>
      </c>
    </row>
    <row r="1334" spans="1:21" x14ac:dyDescent="0.25">
      <c r="A1334" s="5">
        <v>45272</v>
      </c>
      <c r="B1334" s="7">
        <f>Table1[[#This Row],[TotalPrice]] * (1 - Table1[[#This Row],[Discount]])</f>
        <v>4397.1927999999998</v>
      </c>
      <c r="C1334" s="7">
        <f>Table1[[#This Row],[Net Sales]] * 0.2</f>
        <v>879.43856000000005</v>
      </c>
      <c r="D1334" t="s">
        <v>21</v>
      </c>
      <c r="E1334" t="s">
        <v>25</v>
      </c>
      <c r="F1334">
        <v>13</v>
      </c>
      <c r="G1334">
        <v>468.16</v>
      </c>
      <c r="H1334" t="s">
        <v>31</v>
      </c>
      <c r="I1334" t="s">
        <v>36</v>
      </c>
      <c r="J1334" s="3">
        <v>0.15</v>
      </c>
      <c r="K1334" t="s">
        <v>38</v>
      </c>
      <c r="L1334">
        <v>5173.1679999999997</v>
      </c>
      <c r="M1334" t="s">
        <v>47</v>
      </c>
      <c r="N1334" t="s">
        <v>49</v>
      </c>
      <c r="O1334">
        <v>0</v>
      </c>
      <c r="P1334" t="s">
        <v>1383</v>
      </c>
      <c r="Q1334" t="s">
        <v>1710</v>
      </c>
      <c r="R1334">
        <v>29.11</v>
      </c>
      <c r="S1334" s="5">
        <v>45272</v>
      </c>
      <c r="T1334" s="5">
        <v>45281</v>
      </c>
      <c r="U1334" t="s">
        <v>2924</v>
      </c>
    </row>
    <row r="1335" spans="1:21" x14ac:dyDescent="0.25">
      <c r="A1335" s="5">
        <v>45727</v>
      </c>
      <c r="B1335" s="7">
        <f>Table1[[#This Row],[TotalPrice]] * (1 - Table1[[#This Row],[Discount]])</f>
        <v>30.648899999999998</v>
      </c>
      <c r="C1335" s="7">
        <f>Table1[[#This Row],[Net Sales]] * 0.2</f>
        <v>6.1297800000000002</v>
      </c>
      <c r="D1335" t="s">
        <v>22</v>
      </c>
      <c r="E1335" t="s">
        <v>29</v>
      </c>
      <c r="F1335">
        <v>3</v>
      </c>
      <c r="G1335">
        <v>11.32</v>
      </c>
      <c r="H1335" t="s">
        <v>33</v>
      </c>
      <c r="I1335" t="s">
        <v>36</v>
      </c>
      <c r="J1335" s="3">
        <v>0.05</v>
      </c>
      <c r="K1335" t="s">
        <v>37</v>
      </c>
      <c r="L1335">
        <v>32.262</v>
      </c>
      <c r="M1335" t="s">
        <v>43</v>
      </c>
      <c r="N1335" t="s">
        <v>50</v>
      </c>
      <c r="O1335">
        <v>0</v>
      </c>
      <c r="P1335" t="s">
        <v>1384</v>
      </c>
      <c r="Q1335" t="s">
        <v>2552</v>
      </c>
      <c r="R1335">
        <v>16.39</v>
      </c>
      <c r="S1335" s="5">
        <v>45727</v>
      </c>
      <c r="T1335" s="5">
        <v>45730</v>
      </c>
      <c r="U1335" t="s">
        <v>2925</v>
      </c>
    </row>
    <row r="1336" spans="1:21" x14ac:dyDescent="0.25">
      <c r="A1336" s="5">
        <v>45380</v>
      </c>
      <c r="B1336" s="7">
        <f>Table1[[#This Row],[TotalPrice]] * (1 - Table1[[#This Row],[Discount]])</f>
        <v>341.4699</v>
      </c>
      <c r="C1336" s="7">
        <f>Table1[[#This Row],[Net Sales]] * 0.2</f>
        <v>68.293980000000005</v>
      </c>
      <c r="D1336" t="s">
        <v>19</v>
      </c>
      <c r="E1336" t="s">
        <v>27</v>
      </c>
      <c r="F1336">
        <v>1</v>
      </c>
      <c r="G1336">
        <v>378.36</v>
      </c>
      <c r="H1336" t="s">
        <v>32</v>
      </c>
      <c r="I1336" t="s">
        <v>36</v>
      </c>
      <c r="J1336" s="3">
        <v>0.05</v>
      </c>
      <c r="K1336" t="s">
        <v>37</v>
      </c>
      <c r="L1336">
        <v>359.44200000000001</v>
      </c>
      <c r="M1336" t="s">
        <v>47</v>
      </c>
      <c r="O1336">
        <v>0</v>
      </c>
      <c r="P1336" t="s">
        <v>1385</v>
      </c>
      <c r="Q1336" t="s">
        <v>2780</v>
      </c>
      <c r="R1336">
        <v>7.59</v>
      </c>
      <c r="S1336" s="5">
        <v>45380</v>
      </c>
      <c r="T1336" s="5">
        <v>45389</v>
      </c>
      <c r="U1336" t="s">
        <v>2922</v>
      </c>
    </row>
    <row r="1337" spans="1:21" x14ac:dyDescent="0.25">
      <c r="A1337" s="5">
        <v>45501</v>
      </c>
      <c r="B1337" s="7">
        <f>Table1[[#This Row],[TotalPrice]] * (1 - Table1[[#This Row],[Discount]])</f>
        <v>366.36</v>
      </c>
      <c r="C1337" s="7">
        <f>Table1[[#This Row],[Net Sales]] * 0.2</f>
        <v>73.272000000000006</v>
      </c>
      <c r="D1337" t="s">
        <v>23</v>
      </c>
      <c r="E1337" t="s">
        <v>29</v>
      </c>
      <c r="F1337">
        <v>6</v>
      </c>
      <c r="G1337">
        <v>61.06</v>
      </c>
      <c r="H1337" t="s">
        <v>34</v>
      </c>
      <c r="I1337" t="s">
        <v>35</v>
      </c>
      <c r="J1337" s="3">
        <v>0</v>
      </c>
      <c r="K1337" t="s">
        <v>42</v>
      </c>
      <c r="L1337">
        <v>366.36</v>
      </c>
      <c r="M1337" t="s">
        <v>46</v>
      </c>
      <c r="N1337" t="s">
        <v>49</v>
      </c>
      <c r="O1337">
        <v>1</v>
      </c>
      <c r="P1337" t="s">
        <v>1386</v>
      </c>
      <c r="Q1337" t="s">
        <v>2789</v>
      </c>
      <c r="R1337">
        <v>49.09</v>
      </c>
      <c r="S1337" s="5">
        <v>45501</v>
      </c>
      <c r="T1337" s="5">
        <v>45509</v>
      </c>
      <c r="U1337" t="s">
        <v>2926</v>
      </c>
    </row>
    <row r="1338" spans="1:21" x14ac:dyDescent="0.25">
      <c r="A1338" s="5">
        <v>45484</v>
      </c>
      <c r="B1338" s="7">
        <f>Table1[[#This Row],[TotalPrice]] * (1 - Table1[[#This Row],[Discount]])</f>
        <v>1112.0004000000001</v>
      </c>
      <c r="C1338" s="7">
        <f>Table1[[#This Row],[Net Sales]] * 0.2</f>
        <v>222.40008000000003</v>
      </c>
      <c r="D1338" t="s">
        <v>20</v>
      </c>
      <c r="E1338" t="s">
        <v>29</v>
      </c>
      <c r="F1338">
        <v>14</v>
      </c>
      <c r="G1338">
        <v>98.06</v>
      </c>
      <c r="H1338" t="s">
        <v>32</v>
      </c>
      <c r="I1338" t="s">
        <v>35</v>
      </c>
      <c r="J1338" s="3">
        <v>0.1</v>
      </c>
      <c r="K1338" t="s">
        <v>38</v>
      </c>
      <c r="L1338">
        <v>1235.556</v>
      </c>
      <c r="M1338" t="s">
        <v>46</v>
      </c>
      <c r="N1338" t="s">
        <v>49</v>
      </c>
      <c r="O1338">
        <v>1</v>
      </c>
      <c r="P1338" t="s">
        <v>1387</v>
      </c>
      <c r="Q1338" t="s">
        <v>2790</v>
      </c>
      <c r="R1338">
        <v>10.34</v>
      </c>
      <c r="S1338" s="5">
        <v>45484</v>
      </c>
      <c r="T1338" s="5">
        <v>45494</v>
      </c>
      <c r="U1338" t="s">
        <v>2923</v>
      </c>
    </row>
    <row r="1339" spans="1:21" x14ac:dyDescent="0.25">
      <c r="A1339" s="5">
        <v>45478</v>
      </c>
      <c r="B1339" s="7">
        <f>Table1[[#This Row],[TotalPrice]] * (1 - Table1[[#This Row],[Discount]])</f>
        <v>1431.8216</v>
      </c>
      <c r="C1339" s="7">
        <f>Table1[[#This Row],[Net Sales]] * 0.2</f>
        <v>286.36432000000002</v>
      </c>
      <c r="D1339" t="s">
        <v>23</v>
      </c>
      <c r="E1339" t="s">
        <v>24</v>
      </c>
      <c r="F1339">
        <v>16</v>
      </c>
      <c r="G1339">
        <v>123.86</v>
      </c>
      <c r="H1339" t="s">
        <v>32</v>
      </c>
      <c r="I1339" t="s">
        <v>35</v>
      </c>
      <c r="J1339" s="3">
        <v>0.15</v>
      </c>
      <c r="K1339" t="s">
        <v>38</v>
      </c>
      <c r="L1339">
        <v>1684.4960000000001</v>
      </c>
      <c r="M1339" t="s">
        <v>44</v>
      </c>
      <c r="O1339">
        <v>1</v>
      </c>
      <c r="P1339" t="s">
        <v>1388</v>
      </c>
      <c r="Q1339" t="s">
        <v>2791</v>
      </c>
      <c r="R1339">
        <v>18.02</v>
      </c>
      <c r="S1339" s="5">
        <v>45478</v>
      </c>
      <c r="T1339" s="5">
        <v>45487</v>
      </c>
      <c r="U1339" t="s">
        <v>2926</v>
      </c>
    </row>
    <row r="1340" spans="1:21" x14ac:dyDescent="0.25">
      <c r="A1340" s="5">
        <v>45370</v>
      </c>
      <c r="B1340" s="7">
        <f>Table1[[#This Row],[TotalPrice]] * (1 - Table1[[#This Row],[Discount]])</f>
        <v>1303.9319999999998</v>
      </c>
      <c r="C1340" s="7">
        <f>Table1[[#This Row],[Net Sales]] * 0.2</f>
        <v>260.78639999999996</v>
      </c>
      <c r="D1340" t="s">
        <v>19</v>
      </c>
      <c r="E1340" t="s">
        <v>24</v>
      </c>
      <c r="F1340">
        <v>16</v>
      </c>
      <c r="G1340">
        <v>90.3</v>
      </c>
      <c r="H1340" t="s">
        <v>33</v>
      </c>
      <c r="I1340" t="s">
        <v>35</v>
      </c>
      <c r="J1340" s="3">
        <v>0.05</v>
      </c>
      <c r="K1340" t="s">
        <v>41</v>
      </c>
      <c r="L1340">
        <v>1372.56</v>
      </c>
      <c r="M1340" t="s">
        <v>43</v>
      </c>
      <c r="N1340" t="s">
        <v>50</v>
      </c>
      <c r="O1340">
        <v>0</v>
      </c>
      <c r="P1340" t="s">
        <v>1389</v>
      </c>
      <c r="Q1340" t="s">
        <v>2792</v>
      </c>
      <c r="R1340">
        <v>25.25</v>
      </c>
      <c r="S1340" s="5">
        <v>45370</v>
      </c>
      <c r="T1340" s="5">
        <v>45375</v>
      </c>
      <c r="U1340" t="s">
        <v>2922</v>
      </c>
    </row>
    <row r="1341" spans="1:21" x14ac:dyDescent="0.25">
      <c r="A1341" s="5">
        <v>45285</v>
      </c>
      <c r="B1341" s="7">
        <f>Table1[[#This Row],[TotalPrice]] * (1 - Table1[[#This Row],[Discount]])</f>
        <v>6865.8678000000009</v>
      </c>
      <c r="C1341" s="7">
        <f>Table1[[#This Row],[Net Sales]] * 0.2</f>
        <v>1373.1735600000002</v>
      </c>
      <c r="D1341" t="s">
        <v>22</v>
      </c>
      <c r="E1341" t="s">
        <v>29</v>
      </c>
      <c r="F1341">
        <v>18</v>
      </c>
      <c r="G1341">
        <v>470.91</v>
      </c>
      <c r="H1341" t="s">
        <v>33</v>
      </c>
      <c r="I1341" t="s">
        <v>35</v>
      </c>
      <c r="J1341" s="3">
        <v>0.1</v>
      </c>
      <c r="K1341" t="s">
        <v>37</v>
      </c>
      <c r="L1341">
        <v>7628.7420000000011</v>
      </c>
      <c r="M1341" t="s">
        <v>44</v>
      </c>
      <c r="N1341" t="s">
        <v>48</v>
      </c>
      <c r="O1341">
        <v>0</v>
      </c>
      <c r="P1341" t="s">
        <v>1390</v>
      </c>
      <c r="Q1341" t="s">
        <v>2793</v>
      </c>
      <c r="R1341">
        <v>14.87</v>
      </c>
      <c r="S1341" s="5">
        <v>45285</v>
      </c>
      <c r="T1341" s="5">
        <v>45289</v>
      </c>
      <c r="U1341" t="s">
        <v>2925</v>
      </c>
    </row>
    <row r="1342" spans="1:21" x14ac:dyDescent="0.25">
      <c r="A1342" s="5">
        <v>45629</v>
      </c>
      <c r="B1342" s="7">
        <f>Table1[[#This Row],[TotalPrice]] * (1 - Table1[[#This Row],[Discount]])</f>
        <v>4601.3999999999996</v>
      </c>
      <c r="C1342" s="7">
        <f>Table1[[#This Row],[Net Sales]] * 0.2</f>
        <v>920.28</v>
      </c>
      <c r="D1342" t="s">
        <v>20</v>
      </c>
      <c r="E1342" t="s">
        <v>28</v>
      </c>
      <c r="F1342">
        <v>12</v>
      </c>
      <c r="G1342">
        <v>383.45</v>
      </c>
      <c r="H1342" t="s">
        <v>33</v>
      </c>
      <c r="I1342" t="s">
        <v>36</v>
      </c>
      <c r="J1342" s="3">
        <v>0</v>
      </c>
      <c r="K1342" t="s">
        <v>42</v>
      </c>
      <c r="L1342">
        <v>4601.3999999999996</v>
      </c>
      <c r="M1342" t="s">
        <v>46</v>
      </c>
      <c r="N1342" t="s">
        <v>48</v>
      </c>
      <c r="O1342">
        <v>0</v>
      </c>
      <c r="P1342" t="s">
        <v>1391</v>
      </c>
      <c r="Q1342" t="s">
        <v>2794</v>
      </c>
      <c r="R1342">
        <v>11.62</v>
      </c>
      <c r="S1342" s="5">
        <v>45629</v>
      </c>
      <c r="T1342" s="5">
        <v>45631</v>
      </c>
      <c r="U1342" t="s">
        <v>2923</v>
      </c>
    </row>
    <row r="1343" spans="1:21" x14ac:dyDescent="0.25">
      <c r="A1343" s="5">
        <v>45177</v>
      </c>
      <c r="B1343" s="7">
        <f>Table1[[#This Row],[TotalPrice]] * (1 - Table1[[#This Row],[Discount]])</f>
        <v>4247.4329999999991</v>
      </c>
      <c r="C1343" s="7">
        <f>Table1[[#This Row],[Net Sales]] * 0.2</f>
        <v>849.48659999999984</v>
      </c>
      <c r="D1343" t="s">
        <v>19</v>
      </c>
      <c r="E1343" t="s">
        <v>29</v>
      </c>
      <c r="F1343">
        <v>20</v>
      </c>
      <c r="G1343">
        <v>293.94</v>
      </c>
      <c r="H1343" t="s">
        <v>31</v>
      </c>
      <c r="I1343" t="s">
        <v>36</v>
      </c>
      <c r="J1343" s="3">
        <v>0.15</v>
      </c>
      <c r="K1343" t="s">
        <v>38</v>
      </c>
      <c r="L1343">
        <v>4996.9799999999996</v>
      </c>
      <c r="M1343" t="s">
        <v>45</v>
      </c>
      <c r="N1343" t="s">
        <v>49</v>
      </c>
      <c r="O1343">
        <v>0</v>
      </c>
      <c r="P1343" t="s">
        <v>1392</v>
      </c>
      <c r="Q1343" t="s">
        <v>2795</v>
      </c>
      <c r="R1343">
        <v>9.2899999999999991</v>
      </c>
      <c r="S1343" s="5">
        <v>45177</v>
      </c>
      <c r="T1343" s="5">
        <v>45184</v>
      </c>
      <c r="U1343" t="s">
        <v>2922</v>
      </c>
    </row>
    <row r="1344" spans="1:21" x14ac:dyDescent="0.25">
      <c r="A1344" s="5">
        <v>45296</v>
      </c>
      <c r="B1344" s="7">
        <f>Table1[[#This Row],[TotalPrice]] * (1 - Table1[[#This Row],[Discount]])</f>
        <v>908.02</v>
      </c>
      <c r="C1344" s="7">
        <f>Table1[[#This Row],[Net Sales]] * 0.2</f>
        <v>181.60400000000001</v>
      </c>
      <c r="D1344" t="s">
        <v>19</v>
      </c>
      <c r="E1344" t="s">
        <v>26</v>
      </c>
      <c r="F1344">
        <v>2</v>
      </c>
      <c r="G1344">
        <v>454.01</v>
      </c>
      <c r="H1344" t="s">
        <v>31</v>
      </c>
      <c r="I1344" t="s">
        <v>35</v>
      </c>
      <c r="J1344" s="3">
        <v>0</v>
      </c>
      <c r="K1344" t="s">
        <v>41</v>
      </c>
      <c r="L1344">
        <v>908.02</v>
      </c>
      <c r="M1344" t="s">
        <v>43</v>
      </c>
      <c r="N1344" t="s">
        <v>50</v>
      </c>
      <c r="O1344">
        <v>0</v>
      </c>
      <c r="P1344" t="s">
        <v>1393</v>
      </c>
      <c r="Q1344" t="s">
        <v>2796</v>
      </c>
      <c r="R1344">
        <v>9.7799999999999994</v>
      </c>
      <c r="S1344" s="5">
        <v>45296</v>
      </c>
      <c r="T1344" s="5">
        <v>45298</v>
      </c>
      <c r="U1344" t="s">
        <v>2922</v>
      </c>
    </row>
    <row r="1345" spans="1:21" x14ac:dyDescent="0.25">
      <c r="A1345" s="5">
        <v>45141</v>
      </c>
      <c r="B1345" s="7">
        <f>Table1[[#This Row],[TotalPrice]] * (1 - Table1[[#This Row],[Discount]])</f>
        <v>738.01937499999997</v>
      </c>
      <c r="C1345" s="7">
        <f>Table1[[#This Row],[Net Sales]] * 0.2</f>
        <v>147.60387499999999</v>
      </c>
      <c r="D1345" t="s">
        <v>20</v>
      </c>
      <c r="E1345" t="s">
        <v>27</v>
      </c>
      <c r="F1345">
        <v>5</v>
      </c>
      <c r="G1345">
        <v>163.55000000000001</v>
      </c>
      <c r="H1345" t="s">
        <v>34</v>
      </c>
      <c r="I1345" t="s">
        <v>36</v>
      </c>
      <c r="J1345" s="3">
        <v>0.05</v>
      </c>
      <c r="K1345" t="s">
        <v>39</v>
      </c>
      <c r="L1345">
        <v>776.86249999999995</v>
      </c>
      <c r="M1345" t="s">
        <v>47</v>
      </c>
      <c r="O1345">
        <v>0</v>
      </c>
      <c r="P1345" t="s">
        <v>1394</v>
      </c>
      <c r="Q1345" t="s">
        <v>2797</v>
      </c>
      <c r="R1345">
        <v>28.9</v>
      </c>
      <c r="S1345" s="5">
        <v>45141</v>
      </c>
      <c r="T1345" s="5">
        <v>45148</v>
      </c>
      <c r="U1345" t="s">
        <v>2923</v>
      </c>
    </row>
    <row r="1346" spans="1:21" x14ac:dyDescent="0.25">
      <c r="A1346" s="5">
        <v>45699</v>
      </c>
      <c r="B1346" s="7">
        <f>Table1[[#This Row],[TotalPrice]] * (1 - Table1[[#This Row],[Discount]])</f>
        <v>1699.32</v>
      </c>
      <c r="C1346" s="7">
        <f>Table1[[#This Row],[Net Sales]] * 0.2</f>
        <v>339.86400000000003</v>
      </c>
      <c r="D1346" t="s">
        <v>21</v>
      </c>
      <c r="E1346" t="s">
        <v>28</v>
      </c>
      <c r="F1346">
        <v>12</v>
      </c>
      <c r="G1346">
        <v>141.61000000000001</v>
      </c>
      <c r="H1346" t="s">
        <v>31</v>
      </c>
      <c r="I1346" t="s">
        <v>35</v>
      </c>
      <c r="J1346" s="3">
        <v>0</v>
      </c>
      <c r="K1346" t="s">
        <v>39</v>
      </c>
      <c r="L1346">
        <v>1699.32</v>
      </c>
      <c r="M1346" t="s">
        <v>45</v>
      </c>
      <c r="N1346" t="s">
        <v>50</v>
      </c>
      <c r="O1346">
        <v>0</v>
      </c>
      <c r="P1346" t="s">
        <v>1395</v>
      </c>
      <c r="Q1346" t="s">
        <v>2798</v>
      </c>
      <c r="R1346">
        <v>11.72</v>
      </c>
      <c r="S1346" s="5">
        <v>45699</v>
      </c>
      <c r="T1346" s="5">
        <v>45709</v>
      </c>
      <c r="U1346" t="s">
        <v>2924</v>
      </c>
    </row>
    <row r="1347" spans="1:21" x14ac:dyDescent="0.25">
      <c r="A1347" s="5">
        <v>45094</v>
      </c>
      <c r="B1347" s="7">
        <f>Table1[[#This Row],[TotalPrice]] * (1 - Table1[[#This Row],[Discount]])</f>
        <v>1614.3948</v>
      </c>
      <c r="C1347" s="7">
        <f>Table1[[#This Row],[Net Sales]] * 0.2</f>
        <v>322.87896000000001</v>
      </c>
      <c r="D1347" t="s">
        <v>20</v>
      </c>
      <c r="E1347" t="s">
        <v>27</v>
      </c>
      <c r="F1347">
        <v>6</v>
      </c>
      <c r="G1347">
        <v>332.18</v>
      </c>
      <c r="H1347" t="s">
        <v>31</v>
      </c>
      <c r="I1347" t="s">
        <v>35</v>
      </c>
      <c r="J1347" s="3">
        <v>0.1</v>
      </c>
      <c r="K1347" t="s">
        <v>42</v>
      </c>
      <c r="L1347">
        <v>1793.7719999999999</v>
      </c>
      <c r="M1347" t="s">
        <v>43</v>
      </c>
      <c r="N1347" t="s">
        <v>50</v>
      </c>
      <c r="O1347">
        <v>0</v>
      </c>
      <c r="P1347" t="s">
        <v>1396</v>
      </c>
      <c r="Q1347" t="s">
        <v>2799</v>
      </c>
      <c r="R1347">
        <v>21.95</v>
      </c>
      <c r="S1347" s="5">
        <v>45094</v>
      </c>
      <c r="T1347" s="5">
        <v>45098</v>
      </c>
      <c r="U1347" t="s">
        <v>2923</v>
      </c>
    </row>
    <row r="1348" spans="1:21" x14ac:dyDescent="0.25">
      <c r="A1348" s="5">
        <v>45327</v>
      </c>
      <c r="B1348" s="7">
        <f>Table1[[#This Row],[TotalPrice]] * (1 - Table1[[#This Row],[Discount]])</f>
        <v>4692.9553999999998</v>
      </c>
      <c r="C1348" s="7">
        <f>Table1[[#This Row],[Net Sales]] * 0.2</f>
        <v>938.59108000000003</v>
      </c>
      <c r="D1348" t="s">
        <v>22</v>
      </c>
      <c r="E1348" t="s">
        <v>28</v>
      </c>
      <c r="F1348">
        <v>14</v>
      </c>
      <c r="G1348">
        <v>463.96</v>
      </c>
      <c r="H1348" t="s">
        <v>34</v>
      </c>
      <c r="I1348" t="s">
        <v>36</v>
      </c>
      <c r="J1348" s="3">
        <v>0.15</v>
      </c>
      <c r="K1348" t="s">
        <v>41</v>
      </c>
      <c r="L1348">
        <v>5521.1239999999998</v>
      </c>
      <c r="M1348" t="s">
        <v>44</v>
      </c>
      <c r="O1348">
        <v>0</v>
      </c>
      <c r="P1348" t="s">
        <v>1397</v>
      </c>
      <c r="Q1348" t="s">
        <v>2800</v>
      </c>
      <c r="R1348">
        <v>29.19</v>
      </c>
      <c r="S1348" s="5">
        <v>45327</v>
      </c>
      <c r="T1348" s="5">
        <v>45336</v>
      </c>
      <c r="U1348" t="s">
        <v>2925</v>
      </c>
    </row>
    <row r="1349" spans="1:21" x14ac:dyDescent="0.25">
      <c r="A1349" s="5">
        <v>45368</v>
      </c>
      <c r="B1349" s="7">
        <f>Table1[[#This Row],[TotalPrice]] * (1 - Table1[[#This Row],[Discount]])</f>
        <v>493.25074999999993</v>
      </c>
      <c r="C1349" s="7">
        <f>Table1[[#This Row],[Net Sales]] * 0.2</f>
        <v>98.650149999999996</v>
      </c>
      <c r="D1349" t="s">
        <v>20</v>
      </c>
      <c r="E1349" t="s">
        <v>26</v>
      </c>
      <c r="F1349">
        <v>10</v>
      </c>
      <c r="G1349">
        <v>68.27</v>
      </c>
      <c r="H1349" t="s">
        <v>32</v>
      </c>
      <c r="I1349" t="s">
        <v>35</v>
      </c>
      <c r="J1349" s="3">
        <v>0.15</v>
      </c>
      <c r="K1349" t="s">
        <v>41</v>
      </c>
      <c r="L1349">
        <v>580.29499999999996</v>
      </c>
      <c r="M1349" t="s">
        <v>45</v>
      </c>
      <c r="O1349">
        <v>0</v>
      </c>
      <c r="P1349" t="s">
        <v>1398</v>
      </c>
      <c r="Q1349" t="s">
        <v>2446</v>
      </c>
      <c r="R1349">
        <v>24.33</v>
      </c>
      <c r="S1349" s="5">
        <v>45368</v>
      </c>
      <c r="T1349" s="5">
        <v>45378</v>
      </c>
      <c r="U1349" t="s">
        <v>2923</v>
      </c>
    </row>
    <row r="1350" spans="1:21" x14ac:dyDescent="0.25">
      <c r="A1350" s="5">
        <v>45325</v>
      </c>
      <c r="B1350" s="7">
        <f>Table1[[#This Row],[TotalPrice]] * (1 - Table1[[#This Row],[Discount]])</f>
        <v>195.01220000000001</v>
      </c>
      <c r="C1350" s="7">
        <f>Table1[[#This Row],[Net Sales]] * 0.2</f>
        <v>39.002440000000007</v>
      </c>
      <c r="D1350" t="s">
        <v>22</v>
      </c>
      <c r="E1350" t="s">
        <v>24</v>
      </c>
      <c r="F1350">
        <v>8</v>
      </c>
      <c r="G1350">
        <v>27.01</v>
      </c>
      <c r="H1350" t="s">
        <v>33</v>
      </c>
      <c r="I1350" t="s">
        <v>35</v>
      </c>
      <c r="J1350" s="3">
        <v>0.05</v>
      </c>
      <c r="K1350" t="s">
        <v>37</v>
      </c>
      <c r="L1350">
        <v>205.27600000000001</v>
      </c>
      <c r="M1350" t="s">
        <v>43</v>
      </c>
      <c r="N1350" t="s">
        <v>48</v>
      </c>
      <c r="O1350">
        <v>1</v>
      </c>
      <c r="P1350" t="s">
        <v>1399</v>
      </c>
      <c r="Q1350" t="s">
        <v>2801</v>
      </c>
      <c r="R1350">
        <v>42.65</v>
      </c>
      <c r="S1350" s="5">
        <v>45325</v>
      </c>
      <c r="T1350" s="5">
        <v>45331</v>
      </c>
      <c r="U1350" t="s">
        <v>2925</v>
      </c>
    </row>
    <row r="1351" spans="1:21" x14ac:dyDescent="0.25">
      <c r="A1351" s="5">
        <v>45016</v>
      </c>
      <c r="B1351" s="7">
        <f>Table1[[#This Row],[TotalPrice]] * (1 - Table1[[#This Row],[Discount]])</f>
        <v>574.452</v>
      </c>
      <c r="C1351" s="7">
        <f>Table1[[#This Row],[Net Sales]] * 0.2</f>
        <v>114.8904</v>
      </c>
      <c r="D1351" t="s">
        <v>21</v>
      </c>
      <c r="E1351" t="s">
        <v>29</v>
      </c>
      <c r="F1351">
        <v>9</v>
      </c>
      <c r="G1351">
        <v>78.8</v>
      </c>
      <c r="H1351" t="s">
        <v>34</v>
      </c>
      <c r="I1351" t="s">
        <v>36</v>
      </c>
      <c r="J1351" s="3">
        <v>0.1</v>
      </c>
      <c r="K1351" t="s">
        <v>38</v>
      </c>
      <c r="L1351">
        <v>638.28</v>
      </c>
      <c r="M1351" t="s">
        <v>43</v>
      </c>
      <c r="N1351" t="s">
        <v>48</v>
      </c>
      <c r="O1351">
        <v>0</v>
      </c>
      <c r="P1351" t="s">
        <v>1400</v>
      </c>
      <c r="Q1351" t="s">
        <v>2304</v>
      </c>
      <c r="R1351">
        <v>9.2899999999999991</v>
      </c>
      <c r="S1351" s="5">
        <v>45016</v>
      </c>
      <c r="T1351" s="5">
        <v>45026</v>
      </c>
      <c r="U1351" t="s">
        <v>2924</v>
      </c>
    </row>
    <row r="1352" spans="1:21" x14ac:dyDescent="0.25">
      <c r="A1352" s="5">
        <v>45156</v>
      </c>
      <c r="B1352" s="7">
        <f>Table1[[#This Row],[TotalPrice]] * (1 - Table1[[#This Row],[Discount]])</f>
        <v>2019.3008</v>
      </c>
      <c r="C1352" s="7">
        <f>Table1[[#This Row],[Net Sales]] * 0.2</f>
        <v>403.86016000000001</v>
      </c>
      <c r="D1352" t="s">
        <v>23</v>
      </c>
      <c r="E1352" t="s">
        <v>29</v>
      </c>
      <c r="F1352">
        <v>16</v>
      </c>
      <c r="G1352">
        <v>174.68</v>
      </c>
      <c r="H1352" t="s">
        <v>31</v>
      </c>
      <c r="I1352" t="s">
        <v>35</v>
      </c>
      <c r="J1352" s="3">
        <v>0.15</v>
      </c>
      <c r="K1352" t="s">
        <v>39</v>
      </c>
      <c r="L1352">
        <v>2375.6480000000001</v>
      </c>
      <c r="M1352" t="s">
        <v>45</v>
      </c>
      <c r="O1352">
        <v>0</v>
      </c>
      <c r="P1352" t="s">
        <v>1401</v>
      </c>
      <c r="Q1352" t="s">
        <v>2639</v>
      </c>
      <c r="R1352">
        <v>45.99</v>
      </c>
      <c r="S1352" s="5">
        <v>45156</v>
      </c>
      <c r="T1352" s="5">
        <v>45160</v>
      </c>
      <c r="U1352" t="s">
        <v>2926</v>
      </c>
    </row>
    <row r="1353" spans="1:21" x14ac:dyDescent="0.25">
      <c r="A1353" s="5">
        <v>45179</v>
      </c>
      <c r="B1353" s="7">
        <f>Table1[[#This Row],[TotalPrice]] * (1 - Table1[[#This Row],[Discount]])</f>
        <v>1104.8766000000001</v>
      </c>
      <c r="C1353" s="7">
        <f>Table1[[#This Row],[Net Sales]] * 0.2</f>
        <v>220.97532000000001</v>
      </c>
      <c r="D1353" t="s">
        <v>22</v>
      </c>
      <c r="E1353" t="s">
        <v>30</v>
      </c>
      <c r="F1353">
        <v>4</v>
      </c>
      <c r="G1353">
        <v>306.06</v>
      </c>
      <c r="H1353" t="s">
        <v>33</v>
      </c>
      <c r="I1353" t="s">
        <v>35</v>
      </c>
      <c r="J1353" s="3">
        <v>0.05</v>
      </c>
      <c r="K1353" t="s">
        <v>40</v>
      </c>
      <c r="L1353">
        <v>1163.028</v>
      </c>
      <c r="M1353" t="s">
        <v>44</v>
      </c>
      <c r="N1353" t="s">
        <v>49</v>
      </c>
      <c r="O1353">
        <v>1</v>
      </c>
      <c r="P1353" t="s">
        <v>1402</v>
      </c>
      <c r="Q1353" t="s">
        <v>2174</v>
      </c>
      <c r="R1353">
        <v>32.75</v>
      </c>
      <c r="S1353" s="5">
        <v>45179</v>
      </c>
      <c r="T1353" s="5">
        <v>45182</v>
      </c>
      <c r="U1353" t="s">
        <v>2925</v>
      </c>
    </row>
    <row r="1354" spans="1:21" x14ac:dyDescent="0.25">
      <c r="A1354" s="5">
        <v>45320</v>
      </c>
      <c r="B1354" s="7">
        <f>Table1[[#This Row],[TotalPrice]] * (1 - Table1[[#This Row],[Discount]])</f>
        <v>1970.64</v>
      </c>
      <c r="C1354" s="7">
        <f>Table1[[#This Row],[Net Sales]] * 0.2</f>
        <v>394.12800000000004</v>
      </c>
      <c r="D1354" t="s">
        <v>20</v>
      </c>
      <c r="E1354" t="s">
        <v>29</v>
      </c>
      <c r="F1354">
        <v>12</v>
      </c>
      <c r="G1354">
        <v>164.22</v>
      </c>
      <c r="H1354" t="s">
        <v>33</v>
      </c>
      <c r="I1354" t="s">
        <v>36</v>
      </c>
      <c r="J1354" s="3">
        <v>0</v>
      </c>
      <c r="K1354" t="s">
        <v>42</v>
      </c>
      <c r="L1354">
        <v>1970.64</v>
      </c>
      <c r="M1354" t="s">
        <v>45</v>
      </c>
      <c r="N1354" t="s">
        <v>48</v>
      </c>
      <c r="O1354">
        <v>0</v>
      </c>
      <c r="P1354" t="s">
        <v>1403</v>
      </c>
      <c r="Q1354" t="s">
        <v>2792</v>
      </c>
      <c r="R1354">
        <v>21.46</v>
      </c>
      <c r="S1354" s="5">
        <v>45320</v>
      </c>
      <c r="T1354" s="5">
        <v>45325</v>
      </c>
      <c r="U1354" t="s">
        <v>2923</v>
      </c>
    </row>
    <row r="1355" spans="1:21" x14ac:dyDescent="0.25">
      <c r="A1355" s="5">
        <v>45372</v>
      </c>
      <c r="B1355" s="7">
        <f>Table1[[#This Row],[TotalPrice]] * (1 - Table1[[#This Row],[Discount]])</f>
        <v>6725.8</v>
      </c>
      <c r="C1355" s="7">
        <f>Table1[[#This Row],[Net Sales]] * 0.2</f>
        <v>1345.16</v>
      </c>
      <c r="D1355" t="s">
        <v>21</v>
      </c>
      <c r="E1355" t="s">
        <v>29</v>
      </c>
      <c r="F1355">
        <v>20</v>
      </c>
      <c r="G1355">
        <v>336.29</v>
      </c>
      <c r="H1355" t="s">
        <v>33</v>
      </c>
      <c r="I1355" t="s">
        <v>36</v>
      </c>
      <c r="J1355" s="3">
        <v>0</v>
      </c>
      <c r="K1355" t="s">
        <v>37</v>
      </c>
      <c r="L1355">
        <v>6725.8</v>
      </c>
      <c r="M1355" t="s">
        <v>44</v>
      </c>
      <c r="N1355" t="s">
        <v>48</v>
      </c>
      <c r="O1355">
        <v>0</v>
      </c>
      <c r="P1355" t="s">
        <v>1404</v>
      </c>
      <c r="Q1355" t="s">
        <v>2802</v>
      </c>
      <c r="R1355">
        <v>25.02</v>
      </c>
      <c r="S1355" s="5">
        <v>45372</v>
      </c>
      <c r="T1355" s="5">
        <v>45381</v>
      </c>
      <c r="U1355" t="s">
        <v>2924</v>
      </c>
    </row>
    <row r="1356" spans="1:21" x14ac:dyDescent="0.25">
      <c r="A1356" s="5">
        <v>45507</v>
      </c>
      <c r="B1356" s="7">
        <f>Table1[[#This Row],[TotalPrice]] * (1 - Table1[[#This Row],[Discount]])</f>
        <v>1022.0175</v>
      </c>
      <c r="C1356" s="7">
        <f>Table1[[#This Row],[Net Sales]] * 0.2</f>
        <v>204.40350000000001</v>
      </c>
      <c r="D1356" t="s">
        <v>23</v>
      </c>
      <c r="E1356" t="s">
        <v>29</v>
      </c>
      <c r="F1356">
        <v>7</v>
      </c>
      <c r="G1356">
        <v>180.25</v>
      </c>
      <c r="H1356" t="s">
        <v>34</v>
      </c>
      <c r="I1356" t="s">
        <v>36</v>
      </c>
      <c r="J1356" s="3">
        <v>0.1</v>
      </c>
      <c r="K1356" t="s">
        <v>41</v>
      </c>
      <c r="L1356">
        <v>1135.575</v>
      </c>
      <c r="M1356" t="s">
        <v>44</v>
      </c>
      <c r="N1356" t="s">
        <v>50</v>
      </c>
      <c r="O1356">
        <v>0</v>
      </c>
      <c r="P1356" t="s">
        <v>1405</v>
      </c>
      <c r="Q1356" t="s">
        <v>2803</v>
      </c>
      <c r="R1356">
        <v>36.79</v>
      </c>
      <c r="S1356" s="5">
        <v>45507</v>
      </c>
      <c r="T1356" s="5">
        <v>45509</v>
      </c>
      <c r="U1356" t="s">
        <v>2926</v>
      </c>
    </row>
    <row r="1357" spans="1:21" x14ac:dyDescent="0.25">
      <c r="A1357" s="5">
        <v>45782</v>
      </c>
      <c r="B1357" s="7">
        <f>Table1[[#This Row],[TotalPrice]] * (1 - Table1[[#This Row],[Discount]])</f>
        <v>21.75</v>
      </c>
      <c r="C1357" s="7">
        <f>Table1[[#This Row],[Net Sales]] * 0.2</f>
        <v>4.3500000000000005</v>
      </c>
      <c r="D1357" t="s">
        <v>21</v>
      </c>
      <c r="E1357" t="s">
        <v>28</v>
      </c>
      <c r="F1357">
        <v>1</v>
      </c>
      <c r="G1357">
        <v>21.75</v>
      </c>
      <c r="H1357" t="s">
        <v>33</v>
      </c>
      <c r="I1357" t="s">
        <v>36</v>
      </c>
      <c r="J1357" s="3">
        <v>0</v>
      </c>
      <c r="K1357" t="s">
        <v>38</v>
      </c>
      <c r="L1357">
        <v>21.75</v>
      </c>
      <c r="M1357" t="s">
        <v>47</v>
      </c>
      <c r="N1357" t="s">
        <v>48</v>
      </c>
      <c r="O1357">
        <v>0</v>
      </c>
      <c r="P1357" t="s">
        <v>1406</v>
      </c>
      <c r="Q1357" t="s">
        <v>2804</v>
      </c>
      <c r="R1357">
        <v>7.35</v>
      </c>
      <c r="S1357" s="5">
        <v>45782</v>
      </c>
      <c r="T1357" s="5">
        <v>45791</v>
      </c>
      <c r="U1357" t="s">
        <v>2924</v>
      </c>
    </row>
    <row r="1358" spans="1:21" x14ac:dyDescent="0.25">
      <c r="A1358" s="5">
        <v>44965</v>
      </c>
      <c r="B1358" s="7">
        <f>Table1[[#This Row],[TotalPrice]] * (1 - Table1[[#This Row],[Discount]])</f>
        <v>1570.6548</v>
      </c>
      <c r="C1358" s="7">
        <f>Table1[[#This Row],[Net Sales]] * 0.2</f>
        <v>314.13096000000002</v>
      </c>
      <c r="D1358" t="s">
        <v>23</v>
      </c>
      <c r="E1358" t="s">
        <v>29</v>
      </c>
      <c r="F1358">
        <v>13</v>
      </c>
      <c r="G1358">
        <v>149.16</v>
      </c>
      <c r="H1358" t="s">
        <v>33</v>
      </c>
      <c r="I1358" t="s">
        <v>36</v>
      </c>
      <c r="J1358" s="3">
        <v>0.1</v>
      </c>
      <c r="K1358" t="s">
        <v>37</v>
      </c>
      <c r="L1358">
        <v>1745.172</v>
      </c>
      <c r="M1358" t="s">
        <v>47</v>
      </c>
      <c r="O1358">
        <v>1</v>
      </c>
      <c r="P1358" t="s">
        <v>1407</v>
      </c>
      <c r="Q1358" t="s">
        <v>2113</v>
      </c>
      <c r="R1358">
        <v>20.9</v>
      </c>
      <c r="S1358" s="5">
        <v>44965</v>
      </c>
      <c r="T1358" s="5">
        <v>44973</v>
      </c>
      <c r="U1358" t="s">
        <v>2926</v>
      </c>
    </row>
    <row r="1359" spans="1:21" x14ac:dyDescent="0.25">
      <c r="A1359" s="5">
        <v>45072</v>
      </c>
      <c r="B1359" s="7">
        <f>Table1[[#This Row],[TotalPrice]] * (1 - Table1[[#This Row],[Discount]])</f>
        <v>1117.2017499999999</v>
      </c>
      <c r="C1359" s="7">
        <f>Table1[[#This Row],[Net Sales]] * 0.2</f>
        <v>223.44035</v>
      </c>
      <c r="D1359" t="s">
        <v>22</v>
      </c>
      <c r="E1359" t="s">
        <v>27</v>
      </c>
      <c r="F1359">
        <v>7</v>
      </c>
      <c r="G1359">
        <v>220.9</v>
      </c>
      <c r="H1359" t="s">
        <v>32</v>
      </c>
      <c r="I1359" t="s">
        <v>35</v>
      </c>
      <c r="J1359" s="3">
        <v>0.15</v>
      </c>
      <c r="K1359" t="s">
        <v>42</v>
      </c>
      <c r="L1359">
        <v>1314.355</v>
      </c>
      <c r="M1359" t="s">
        <v>44</v>
      </c>
      <c r="N1359" t="s">
        <v>48</v>
      </c>
      <c r="O1359">
        <v>0</v>
      </c>
      <c r="P1359" t="s">
        <v>1408</v>
      </c>
      <c r="Q1359" t="s">
        <v>2805</v>
      </c>
      <c r="R1359">
        <v>15.25</v>
      </c>
      <c r="S1359" s="5">
        <v>45072</v>
      </c>
      <c r="T1359" s="5">
        <v>45082</v>
      </c>
      <c r="U1359" t="s">
        <v>2925</v>
      </c>
    </row>
    <row r="1360" spans="1:21" x14ac:dyDescent="0.25">
      <c r="A1360" s="5">
        <v>45488</v>
      </c>
      <c r="B1360" s="7">
        <f>Table1[[#This Row],[TotalPrice]] * (1 - Table1[[#This Row],[Discount]])</f>
        <v>295.05870000000004</v>
      </c>
      <c r="C1360" s="7">
        <f>Table1[[#This Row],[Net Sales]] * 0.2</f>
        <v>59.01174000000001</v>
      </c>
      <c r="D1360" t="s">
        <v>19</v>
      </c>
      <c r="E1360" t="s">
        <v>27</v>
      </c>
      <c r="F1360">
        <v>1</v>
      </c>
      <c r="G1360">
        <v>364.27</v>
      </c>
      <c r="H1360" t="s">
        <v>32</v>
      </c>
      <c r="I1360" t="s">
        <v>36</v>
      </c>
      <c r="J1360" s="3">
        <v>0.1</v>
      </c>
      <c r="K1360" t="s">
        <v>38</v>
      </c>
      <c r="L1360">
        <v>327.84300000000002</v>
      </c>
      <c r="M1360" t="s">
        <v>46</v>
      </c>
      <c r="N1360" t="s">
        <v>50</v>
      </c>
      <c r="O1360">
        <v>0</v>
      </c>
      <c r="P1360" t="s">
        <v>1409</v>
      </c>
      <c r="Q1360" t="s">
        <v>2806</v>
      </c>
      <c r="R1360">
        <v>8.91</v>
      </c>
      <c r="S1360" s="5">
        <v>45488</v>
      </c>
      <c r="T1360" s="5">
        <v>45495</v>
      </c>
      <c r="U1360" t="s">
        <v>2922</v>
      </c>
    </row>
    <row r="1361" spans="1:21" x14ac:dyDescent="0.25">
      <c r="A1361" s="5">
        <v>45644</v>
      </c>
      <c r="B1361" s="7">
        <f>Table1[[#This Row],[TotalPrice]] * (1 - Table1[[#This Row],[Discount]])</f>
        <v>2757.78</v>
      </c>
      <c r="C1361" s="7">
        <f>Table1[[#This Row],[Net Sales]] * 0.2</f>
        <v>551.55600000000004</v>
      </c>
      <c r="D1361" t="s">
        <v>21</v>
      </c>
      <c r="E1361" t="s">
        <v>28</v>
      </c>
      <c r="F1361">
        <v>9</v>
      </c>
      <c r="G1361">
        <v>306.42</v>
      </c>
      <c r="H1361" t="s">
        <v>33</v>
      </c>
      <c r="I1361" t="s">
        <v>35</v>
      </c>
      <c r="J1361" s="3">
        <v>0</v>
      </c>
      <c r="K1361" t="s">
        <v>42</v>
      </c>
      <c r="L1361">
        <v>2757.78</v>
      </c>
      <c r="M1361" t="s">
        <v>43</v>
      </c>
      <c r="O1361">
        <v>0</v>
      </c>
      <c r="P1361" t="s">
        <v>1410</v>
      </c>
      <c r="Q1361" t="s">
        <v>2807</v>
      </c>
      <c r="R1361">
        <v>15.81</v>
      </c>
      <c r="S1361" s="5">
        <v>45644</v>
      </c>
      <c r="T1361" s="5">
        <v>45653</v>
      </c>
      <c r="U1361" t="s">
        <v>2924</v>
      </c>
    </row>
    <row r="1362" spans="1:21" x14ac:dyDescent="0.25">
      <c r="A1362" s="5">
        <v>45564</v>
      </c>
      <c r="B1362" s="7">
        <f>Table1[[#This Row],[TotalPrice]] * (1 - Table1[[#This Row],[Discount]])</f>
        <v>8587.6200000000008</v>
      </c>
      <c r="C1362" s="7">
        <f>Table1[[#This Row],[Net Sales]] * 0.2</f>
        <v>1717.5240000000003</v>
      </c>
      <c r="D1362" t="s">
        <v>21</v>
      </c>
      <c r="E1362" t="s">
        <v>29</v>
      </c>
      <c r="F1362">
        <v>18</v>
      </c>
      <c r="G1362">
        <v>589</v>
      </c>
      <c r="H1362" t="s">
        <v>31</v>
      </c>
      <c r="I1362" t="s">
        <v>35</v>
      </c>
      <c r="J1362" s="3">
        <v>0.1</v>
      </c>
      <c r="K1362" t="s">
        <v>41</v>
      </c>
      <c r="L1362">
        <v>9541.8000000000011</v>
      </c>
      <c r="M1362" t="s">
        <v>47</v>
      </c>
      <c r="N1362" t="s">
        <v>50</v>
      </c>
      <c r="O1362">
        <v>0</v>
      </c>
      <c r="P1362" t="s">
        <v>1411</v>
      </c>
      <c r="Q1362" t="s">
        <v>2808</v>
      </c>
      <c r="R1362">
        <v>37.78</v>
      </c>
      <c r="S1362" s="5">
        <v>45564</v>
      </c>
      <c r="T1362" s="5">
        <v>45573</v>
      </c>
      <c r="U1362" t="s">
        <v>2924</v>
      </c>
    </row>
    <row r="1363" spans="1:21" x14ac:dyDescent="0.25">
      <c r="A1363" s="5">
        <v>45590</v>
      </c>
      <c r="B1363" s="7">
        <f>Table1[[#This Row],[TotalPrice]] * (1 - Table1[[#This Row],[Discount]])</f>
        <v>3232.8719999999998</v>
      </c>
      <c r="C1363" s="7">
        <f>Table1[[#This Row],[Net Sales]] * 0.2</f>
        <v>646.57439999999997</v>
      </c>
      <c r="D1363" t="s">
        <v>20</v>
      </c>
      <c r="E1363" t="s">
        <v>26</v>
      </c>
      <c r="F1363">
        <v>16</v>
      </c>
      <c r="G1363">
        <v>249.45</v>
      </c>
      <c r="H1363" t="s">
        <v>33</v>
      </c>
      <c r="I1363" t="s">
        <v>35</v>
      </c>
      <c r="J1363" s="3">
        <v>0.1</v>
      </c>
      <c r="K1363" t="s">
        <v>38</v>
      </c>
      <c r="L1363">
        <v>3592.08</v>
      </c>
      <c r="M1363" t="s">
        <v>47</v>
      </c>
      <c r="N1363" t="s">
        <v>48</v>
      </c>
      <c r="O1363">
        <v>0</v>
      </c>
      <c r="P1363" t="s">
        <v>1412</v>
      </c>
      <c r="Q1363" t="s">
        <v>2809</v>
      </c>
      <c r="R1363">
        <v>20.92</v>
      </c>
      <c r="S1363" s="5">
        <v>45590</v>
      </c>
      <c r="T1363" s="5">
        <v>45597</v>
      </c>
      <c r="U1363" t="s">
        <v>2923</v>
      </c>
    </row>
    <row r="1364" spans="1:21" x14ac:dyDescent="0.25">
      <c r="A1364" s="5">
        <v>45663</v>
      </c>
      <c r="B1364" s="7">
        <f>Table1[[#This Row],[TotalPrice]] * (1 - Table1[[#This Row],[Discount]])</f>
        <v>7947.7759999999998</v>
      </c>
      <c r="C1364" s="7">
        <f>Table1[[#This Row],[Net Sales]] * 0.2</f>
        <v>1589.5552</v>
      </c>
      <c r="D1364" t="s">
        <v>21</v>
      </c>
      <c r="E1364" t="s">
        <v>28</v>
      </c>
      <c r="F1364">
        <v>20</v>
      </c>
      <c r="G1364">
        <v>440.32</v>
      </c>
      <c r="H1364" t="s">
        <v>33</v>
      </c>
      <c r="I1364" t="s">
        <v>36</v>
      </c>
      <c r="J1364" s="3">
        <v>0.05</v>
      </c>
      <c r="K1364" t="s">
        <v>38</v>
      </c>
      <c r="L1364">
        <v>8366.08</v>
      </c>
      <c r="M1364" t="s">
        <v>46</v>
      </c>
      <c r="N1364" t="s">
        <v>49</v>
      </c>
      <c r="O1364">
        <v>1</v>
      </c>
      <c r="P1364" t="s">
        <v>1413</v>
      </c>
      <c r="Q1364" t="s">
        <v>2810</v>
      </c>
      <c r="R1364">
        <v>6.17</v>
      </c>
      <c r="S1364" s="5">
        <v>45663</v>
      </c>
      <c r="T1364" s="5">
        <v>45673</v>
      </c>
      <c r="U1364" t="s">
        <v>2924</v>
      </c>
    </row>
    <row r="1365" spans="1:21" x14ac:dyDescent="0.25">
      <c r="A1365" s="5">
        <v>45249</v>
      </c>
      <c r="B1365" s="7">
        <f>Table1[[#This Row],[TotalPrice]] * (1 - Table1[[#This Row],[Discount]])</f>
        <v>304.02</v>
      </c>
      <c r="C1365" s="7">
        <f>Table1[[#This Row],[Net Sales]] * 0.2</f>
        <v>60.804000000000002</v>
      </c>
      <c r="D1365" t="s">
        <v>22</v>
      </c>
      <c r="E1365" t="s">
        <v>29</v>
      </c>
      <c r="F1365">
        <v>3</v>
      </c>
      <c r="G1365">
        <v>101.34</v>
      </c>
      <c r="H1365" t="s">
        <v>32</v>
      </c>
      <c r="I1365" t="s">
        <v>35</v>
      </c>
      <c r="J1365" s="3">
        <v>0</v>
      </c>
      <c r="K1365" t="s">
        <v>40</v>
      </c>
      <c r="L1365">
        <v>304.02</v>
      </c>
      <c r="M1365" t="s">
        <v>46</v>
      </c>
      <c r="O1365">
        <v>0</v>
      </c>
      <c r="P1365" t="s">
        <v>1414</v>
      </c>
      <c r="Q1365" t="s">
        <v>2811</v>
      </c>
      <c r="R1365">
        <v>23.15</v>
      </c>
      <c r="S1365" s="5">
        <v>45249</v>
      </c>
      <c r="T1365" s="5">
        <v>45251</v>
      </c>
      <c r="U1365" t="s">
        <v>2925</v>
      </c>
    </row>
    <row r="1366" spans="1:21" x14ac:dyDescent="0.25">
      <c r="A1366" s="5">
        <v>45393</v>
      </c>
      <c r="B1366" s="7">
        <f>Table1[[#This Row],[TotalPrice]] * (1 - Table1[[#This Row],[Discount]])</f>
        <v>4780.8764249999995</v>
      </c>
      <c r="C1366" s="7">
        <f>Table1[[#This Row],[Net Sales]] * 0.2</f>
        <v>956.17528499999992</v>
      </c>
      <c r="D1366" t="s">
        <v>20</v>
      </c>
      <c r="E1366" t="s">
        <v>25</v>
      </c>
      <c r="F1366">
        <v>17</v>
      </c>
      <c r="G1366">
        <v>311.61</v>
      </c>
      <c r="H1366" t="s">
        <v>32</v>
      </c>
      <c r="I1366" t="s">
        <v>36</v>
      </c>
      <c r="J1366" s="3">
        <v>0.05</v>
      </c>
      <c r="K1366" t="s">
        <v>37</v>
      </c>
      <c r="L1366">
        <v>5032.5014999999994</v>
      </c>
      <c r="M1366" t="s">
        <v>43</v>
      </c>
      <c r="O1366">
        <v>1</v>
      </c>
      <c r="P1366" t="s">
        <v>1415</v>
      </c>
      <c r="Q1366" t="s">
        <v>2812</v>
      </c>
      <c r="R1366">
        <v>29.9</v>
      </c>
      <c r="S1366" s="5">
        <v>45393</v>
      </c>
      <c r="T1366" s="5">
        <v>45399</v>
      </c>
      <c r="U1366" t="s">
        <v>2923</v>
      </c>
    </row>
    <row r="1367" spans="1:21" x14ac:dyDescent="0.25">
      <c r="A1367" s="5">
        <v>45381</v>
      </c>
      <c r="B1367" s="7">
        <f>Table1[[#This Row],[TotalPrice]] * (1 - Table1[[#This Row],[Discount]])</f>
        <v>637.50509999999997</v>
      </c>
      <c r="C1367" s="7">
        <f>Table1[[#This Row],[Net Sales]] * 0.2</f>
        <v>127.50102</v>
      </c>
      <c r="D1367" t="s">
        <v>20</v>
      </c>
      <c r="E1367" t="s">
        <v>28</v>
      </c>
      <c r="F1367">
        <v>2</v>
      </c>
      <c r="G1367">
        <v>441.18</v>
      </c>
      <c r="H1367" t="s">
        <v>31</v>
      </c>
      <c r="I1367" t="s">
        <v>36</v>
      </c>
      <c r="J1367" s="3">
        <v>0.15</v>
      </c>
      <c r="K1367" t="s">
        <v>42</v>
      </c>
      <c r="L1367">
        <v>750.00599999999997</v>
      </c>
      <c r="M1367" t="s">
        <v>47</v>
      </c>
      <c r="O1367">
        <v>1</v>
      </c>
      <c r="P1367" t="s">
        <v>1416</v>
      </c>
      <c r="Q1367" t="s">
        <v>2813</v>
      </c>
      <c r="R1367">
        <v>23.07</v>
      </c>
      <c r="S1367" s="5">
        <v>45381</v>
      </c>
      <c r="T1367" s="5">
        <v>45388</v>
      </c>
      <c r="U1367" t="s">
        <v>2923</v>
      </c>
    </row>
    <row r="1368" spans="1:21" x14ac:dyDescent="0.25">
      <c r="A1368" s="5">
        <v>45621</v>
      </c>
      <c r="B1368" s="7">
        <f>Table1[[#This Row],[TotalPrice]] * (1 - Table1[[#This Row],[Discount]])</f>
        <v>4643.8920000000007</v>
      </c>
      <c r="C1368" s="7">
        <f>Table1[[#This Row],[Net Sales]] * 0.2</f>
        <v>928.77840000000015</v>
      </c>
      <c r="D1368" t="s">
        <v>21</v>
      </c>
      <c r="E1368" t="s">
        <v>27</v>
      </c>
      <c r="F1368">
        <v>20</v>
      </c>
      <c r="G1368">
        <v>286.66000000000003</v>
      </c>
      <c r="H1368" t="s">
        <v>34</v>
      </c>
      <c r="I1368" t="s">
        <v>36</v>
      </c>
      <c r="J1368" s="3">
        <v>0.1</v>
      </c>
      <c r="K1368" t="s">
        <v>40</v>
      </c>
      <c r="L1368">
        <v>5159.880000000001</v>
      </c>
      <c r="M1368" t="s">
        <v>46</v>
      </c>
      <c r="N1368" t="s">
        <v>50</v>
      </c>
      <c r="O1368">
        <v>0</v>
      </c>
      <c r="P1368" t="s">
        <v>1417</v>
      </c>
      <c r="Q1368" t="s">
        <v>1769</v>
      </c>
      <c r="R1368">
        <v>15.54</v>
      </c>
      <c r="S1368" s="5">
        <v>45621</v>
      </c>
      <c r="T1368" s="5">
        <v>45625</v>
      </c>
      <c r="U1368" t="s">
        <v>2924</v>
      </c>
    </row>
    <row r="1369" spans="1:21" x14ac:dyDescent="0.25">
      <c r="A1369" s="5">
        <v>45663</v>
      </c>
      <c r="B1369" s="7">
        <f>Table1[[#This Row],[TotalPrice]] * (1 - Table1[[#This Row],[Discount]])</f>
        <v>5674.1889749999991</v>
      </c>
      <c r="C1369" s="7">
        <f>Table1[[#This Row],[Net Sales]] * 0.2</f>
        <v>1134.8377949999999</v>
      </c>
      <c r="D1369" t="s">
        <v>21</v>
      </c>
      <c r="E1369" t="s">
        <v>30</v>
      </c>
      <c r="F1369">
        <v>13</v>
      </c>
      <c r="G1369">
        <v>483.63</v>
      </c>
      <c r="H1369" t="s">
        <v>32</v>
      </c>
      <c r="I1369" t="s">
        <v>36</v>
      </c>
      <c r="J1369" s="3">
        <v>0.05</v>
      </c>
      <c r="K1369" t="s">
        <v>40</v>
      </c>
      <c r="L1369">
        <v>5972.8304999999991</v>
      </c>
      <c r="M1369" t="s">
        <v>47</v>
      </c>
      <c r="N1369" t="s">
        <v>48</v>
      </c>
      <c r="O1369">
        <v>0</v>
      </c>
      <c r="P1369" t="s">
        <v>1418</v>
      </c>
      <c r="Q1369" t="s">
        <v>2814</v>
      </c>
      <c r="R1369">
        <v>18.22</v>
      </c>
      <c r="S1369" s="5">
        <v>45663</v>
      </c>
      <c r="T1369" s="5">
        <v>45672</v>
      </c>
      <c r="U1369" t="s">
        <v>2924</v>
      </c>
    </row>
    <row r="1370" spans="1:21" x14ac:dyDescent="0.25">
      <c r="A1370" s="5">
        <v>45031</v>
      </c>
      <c r="B1370" s="7">
        <f>Table1[[#This Row],[TotalPrice]] * (1 - Table1[[#This Row],[Discount]])</f>
        <v>2195.9629999999997</v>
      </c>
      <c r="C1370" s="7">
        <f>Table1[[#This Row],[Net Sales]] * 0.2</f>
        <v>439.19259999999997</v>
      </c>
      <c r="D1370" t="s">
        <v>23</v>
      </c>
      <c r="E1370" t="s">
        <v>29</v>
      </c>
      <c r="F1370">
        <v>8</v>
      </c>
      <c r="G1370">
        <v>304.14999999999998</v>
      </c>
      <c r="H1370" t="s">
        <v>31</v>
      </c>
      <c r="I1370" t="s">
        <v>35</v>
      </c>
      <c r="J1370" s="3">
        <v>0.05</v>
      </c>
      <c r="K1370" t="s">
        <v>40</v>
      </c>
      <c r="L1370">
        <v>2311.54</v>
      </c>
      <c r="M1370" t="s">
        <v>46</v>
      </c>
      <c r="O1370">
        <v>0</v>
      </c>
      <c r="P1370" t="s">
        <v>1419</v>
      </c>
      <c r="Q1370" t="s">
        <v>2815</v>
      </c>
      <c r="R1370">
        <v>41.73</v>
      </c>
      <c r="S1370" s="5">
        <v>45031</v>
      </c>
      <c r="T1370" s="5">
        <v>45034</v>
      </c>
      <c r="U1370" t="s">
        <v>2926</v>
      </c>
    </row>
    <row r="1371" spans="1:21" x14ac:dyDescent="0.25">
      <c r="A1371" s="5">
        <v>45329</v>
      </c>
      <c r="B1371" s="7">
        <f>Table1[[#This Row],[TotalPrice]] * (1 - Table1[[#This Row],[Discount]])</f>
        <v>3662.9009999999989</v>
      </c>
      <c r="C1371" s="7">
        <f>Table1[[#This Row],[Net Sales]] * 0.2</f>
        <v>732.58019999999988</v>
      </c>
      <c r="D1371" t="s">
        <v>19</v>
      </c>
      <c r="E1371" t="s">
        <v>30</v>
      </c>
      <c r="F1371">
        <v>10</v>
      </c>
      <c r="G1371">
        <v>452.21</v>
      </c>
      <c r="H1371" t="s">
        <v>32</v>
      </c>
      <c r="I1371" t="s">
        <v>36</v>
      </c>
      <c r="J1371" s="3">
        <v>0.1</v>
      </c>
      <c r="K1371" t="s">
        <v>37</v>
      </c>
      <c r="L1371">
        <v>4069.889999999999</v>
      </c>
      <c r="M1371" t="s">
        <v>47</v>
      </c>
      <c r="N1371" t="s">
        <v>50</v>
      </c>
      <c r="O1371">
        <v>0</v>
      </c>
      <c r="P1371" t="s">
        <v>1420</v>
      </c>
      <c r="Q1371" t="s">
        <v>2816</v>
      </c>
      <c r="R1371">
        <v>15.87</v>
      </c>
      <c r="S1371" s="5">
        <v>45329</v>
      </c>
      <c r="T1371" s="5">
        <v>45339</v>
      </c>
      <c r="U1371" t="s">
        <v>2922</v>
      </c>
    </row>
    <row r="1372" spans="1:21" x14ac:dyDescent="0.25">
      <c r="A1372" s="5">
        <v>45079</v>
      </c>
      <c r="B1372" s="7">
        <f>Table1[[#This Row],[TotalPrice]] * (1 - Table1[[#This Row],[Discount]])</f>
        <v>804.03840000000002</v>
      </c>
      <c r="C1372" s="7">
        <f>Table1[[#This Row],[Net Sales]] * 0.2</f>
        <v>160.80768</v>
      </c>
      <c r="D1372" t="s">
        <v>19</v>
      </c>
      <c r="E1372" t="s">
        <v>30</v>
      </c>
      <c r="F1372">
        <v>4</v>
      </c>
      <c r="G1372">
        <v>248.16</v>
      </c>
      <c r="H1372" t="s">
        <v>31</v>
      </c>
      <c r="I1372" t="s">
        <v>36</v>
      </c>
      <c r="J1372" s="3">
        <v>0.1</v>
      </c>
      <c r="K1372" t="s">
        <v>41</v>
      </c>
      <c r="L1372">
        <v>893.37599999999998</v>
      </c>
      <c r="M1372" t="s">
        <v>45</v>
      </c>
      <c r="O1372">
        <v>1</v>
      </c>
      <c r="P1372" t="s">
        <v>1421</v>
      </c>
      <c r="Q1372" t="s">
        <v>2817</v>
      </c>
      <c r="R1372">
        <v>45.11</v>
      </c>
      <c r="S1372" s="5">
        <v>45079</v>
      </c>
      <c r="T1372" s="5">
        <v>45082</v>
      </c>
      <c r="U1372" t="s">
        <v>2922</v>
      </c>
    </row>
    <row r="1373" spans="1:21" x14ac:dyDescent="0.25">
      <c r="A1373" s="5">
        <v>45162</v>
      </c>
      <c r="B1373" s="7">
        <f>Table1[[#This Row],[TotalPrice]] * (1 - Table1[[#This Row],[Discount]])</f>
        <v>2080</v>
      </c>
      <c r="C1373" s="7">
        <f>Table1[[#This Row],[Net Sales]] * 0.2</f>
        <v>416</v>
      </c>
      <c r="D1373" t="s">
        <v>19</v>
      </c>
      <c r="E1373" t="s">
        <v>24</v>
      </c>
      <c r="F1373">
        <v>4</v>
      </c>
      <c r="G1373">
        <v>520</v>
      </c>
      <c r="H1373" t="s">
        <v>32</v>
      </c>
      <c r="I1373" t="s">
        <v>36</v>
      </c>
      <c r="J1373" s="3">
        <v>0</v>
      </c>
      <c r="K1373" t="s">
        <v>37</v>
      </c>
      <c r="L1373">
        <v>2080</v>
      </c>
      <c r="M1373" t="s">
        <v>45</v>
      </c>
      <c r="N1373" t="s">
        <v>50</v>
      </c>
      <c r="O1373">
        <v>0</v>
      </c>
      <c r="P1373" t="s">
        <v>1422</v>
      </c>
      <c r="Q1373" t="s">
        <v>2818</v>
      </c>
      <c r="R1373">
        <v>18.25</v>
      </c>
      <c r="S1373" s="5">
        <v>45162</v>
      </c>
      <c r="T1373" s="5">
        <v>45171</v>
      </c>
      <c r="U1373" t="s">
        <v>2922</v>
      </c>
    </row>
    <row r="1374" spans="1:21" x14ac:dyDescent="0.25">
      <c r="A1374" s="5">
        <v>45632</v>
      </c>
      <c r="B1374" s="7">
        <f>Table1[[#This Row],[TotalPrice]] * (1 - Table1[[#This Row],[Discount]])</f>
        <v>6281.77</v>
      </c>
      <c r="C1374" s="7">
        <f>Table1[[#This Row],[Net Sales]] * 0.2</f>
        <v>1256.3540000000003</v>
      </c>
      <c r="D1374" t="s">
        <v>20</v>
      </c>
      <c r="E1374" t="s">
        <v>27</v>
      </c>
      <c r="F1374">
        <v>11</v>
      </c>
      <c r="G1374">
        <v>571.07000000000005</v>
      </c>
      <c r="H1374" t="s">
        <v>32</v>
      </c>
      <c r="I1374" t="s">
        <v>36</v>
      </c>
      <c r="J1374" s="3">
        <v>0</v>
      </c>
      <c r="K1374" t="s">
        <v>39</v>
      </c>
      <c r="L1374">
        <v>6281.77</v>
      </c>
      <c r="M1374" t="s">
        <v>44</v>
      </c>
      <c r="N1374" t="s">
        <v>49</v>
      </c>
      <c r="O1374">
        <v>0</v>
      </c>
      <c r="P1374" t="s">
        <v>1423</v>
      </c>
      <c r="Q1374" t="s">
        <v>2819</v>
      </c>
      <c r="R1374">
        <v>12.6</v>
      </c>
      <c r="S1374" s="5">
        <v>45632</v>
      </c>
      <c r="T1374" s="5">
        <v>45637</v>
      </c>
      <c r="U1374" t="s">
        <v>2923</v>
      </c>
    </row>
    <row r="1375" spans="1:21" x14ac:dyDescent="0.25">
      <c r="A1375" s="5">
        <v>45268</v>
      </c>
      <c r="B1375" s="7">
        <f>Table1[[#This Row],[TotalPrice]] * (1 - Table1[[#This Row],[Discount]])</f>
        <v>584.2287</v>
      </c>
      <c r="C1375" s="7">
        <f>Table1[[#This Row],[Net Sales]] * 0.2</f>
        <v>116.84574000000001</v>
      </c>
      <c r="D1375" t="s">
        <v>19</v>
      </c>
      <c r="E1375" t="s">
        <v>29</v>
      </c>
      <c r="F1375">
        <v>11</v>
      </c>
      <c r="G1375">
        <v>65.569999999999993</v>
      </c>
      <c r="H1375" t="s">
        <v>34</v>
      </c>
      <c r="I1375" t="s">
        <v>36</v>
      </c>
      <c r="J1375" s="3">
        <v>0.1</v>
      </c>
      <c r="K1375" t="s">
        <v>41</v>
      </c>
      <c r="L1375">
        <v>649.14300000000003</v>
      </c>
      <c r="M1375" t="s">
        <v>46</v>
      </c>
      <c r="N1375" t="s">
        <v>49</v>
      </c>
      <c r="O1375">
        <v>1</v>
      </c>
      <c r="P1375" t="s">
        <v>1424</v>
      </c>
      <c r="Q1375" t="s">
        <v>2820</v>
      </c>
      <c r="R1375">
        <v>30.43</v>
      </c>
      <c r="S1375" s="5">
        <v>45268</v>
      </c>
      <c r="T1375" s="5">
        <v>45274</v>
      </c>
      <c r="U1375" t="s">
        <v>2922</v>
      </c>
    </row>
    <row r="1376" spans="1:21" x14ac:dyDescent="0.25">
      <c r="A1376" s="5">
        <v>45058</v>
      </c>
      <c r="B1376" s="7">
        <f>Table1[[#This Row],[TotalPrice]] * (1 - Table1[[#This Row],[Discount]])</f>
        <v>1588.08</v>
      </c>
      <c r="C1376" s="7">
        <f>Table1[[#This Row],[Net Sales]] * 0.2</f>
        <v>317.61599999999999</v>
      </c>
      <c r="D1376" t="s">
        <v>20</v>
      </c>
      <c r="E1376" t="s">
        <v>29</v>
      </c>
      <c r="F1376">
        <v>4</v>
      </c>
      <c r="G1376">
        <v>397.02</v>
      </c>
      <c r="H1376" t="s">
        <v>32</v>
      </c>
      <c r="I1376" t="s">
        <v>35</v>
      </c>
      <c r="J1376" s="3">
        <v>0</v>
      </c>
      <c r="K1376" t="s">
        <v>39</v>
      </c>
      <c r="L1376">
        <v>1588.08</v>
      </c>
      <c r="M1376" t="s">
        <v>47</v>
      </c>
      <c r="N1376" t="s">
        <v>48</v>
      </c>
      <c r="O1376">
        <v>0</v>
      </c>
      <c r="P1376" t="s">
        <v>1425</v>
      </c>
      <c r="Q1376" t="s">
        <v>2821</v>
      </c>
      <c r="R1376">
        <v>23.25</v>
      </c>
      <c r="S1376" s="5">
        <v>45058</v>
      </c>
      <c r="T1376" s="5">
        <v>45066</v>
      </c>
      <c r="U1376" t="s">
        <v>2923</v>
      </c>
    </row>
    <row r="1377" spans="1:21" x14ac:dyDescent="0.25">
      <c r="A1377" s="5">
        <v>45771</v>
      </c>
      <c r="B1377" s="7">
        <f>Table1[[#This Row],[TotalPrice]] * (1 - Table1[[#This Row],[Discount]])</f>
        <v>1528.38375</v>
      </c>
      <c r="C1377" s="7">
        <f>Table1[[#This Row],[Net Sales]] * 0.2</f>
        <v>305.67675000000003</v>
      </c>
      <c r="D1377" t="s">
        <v>23</v>
      </c>
      <c r="E1377" t="s">
        <v>24</v>
      </c>
      <c r="F1377">
        <v>10</v>
      </c>
      <c r="G1377">
        <v>169.35</v>
      </c>
      <c r="H1377" t="s">
        <v>31</v>
      </c>
      <c r="I1377" t="s">
        <v>36</v>
      </c>
      <c r="J1377" s="3">
        <v>0.05</v>
      </c>
      <c r="K1377" t="s">
        <v>38</v>
      </c>
      <c r="L1377">
        <v>1608.825</v>
      </c>
      <c r="M1377" t="s">
        <v>45</v>
      </c>
      <c r="N1377" t="s">
        <v>50</v>
      </c>
      <c r="O1377">
        <v>0</v>
      </c>
      <c r="P1377" t="s">
        <v>1426</v>
      </c>
      <c r="Q1377" t="s">
        <v>2822</v>
      </c>
      <c r="R1377">
        <v>44.91</v>
      </c>
      <c r="S1377" s="5">
        <v>45771</v>
      </c>
      <c r="T1377" s="5">
        <v>45774</v>
      </c>
      <c r="U1377" t="s">
        <v>2926</v>
      </c>
    </row>
    <row r="1378" spans="1:21" x14ac:dyDescent="0.25">
      <c r="A1378" s="5">
        <v>45039</v>
      </c>
      <c r="B1378" s="7">
        <f>Table1[[#This Row],[TotalPrice]] * (1 - Table1[[#This Row],[Discount]])</f>
        <v>2765.2239</v>
      </c>
      <c r="C1378" s="7">
        <f>Table1[[#This Row],[Net Sales]] * 0.2</f>
        <v>553.04478000000006</v>
      </c>
      <c r="D1378" t="s">
        <v>22</v>
      </c>
      <c r="E1378" t="s">
        <v>29</v>
      </c>
      <c r="F1378">
        <v>9</v>
      </c>
      <c r="G1378">
        <v>340.44</v>
      </c>
      <c r="H1378" t="s">
        <v>34</v>
      </c>
      <c r="I1378" t="s">
        <v>36</v>
      </c>
      <c r="J1378" s="3">
        <v>0.05</v>
      </c>
      <c r="K1378" t="s">
        <v>40</v>
      </c>
      <c r="L1378">
        <v>2910.7620000000002</v>
      </c>
      <c r="M1378" t="s">
        <v>46</v>
      </c>
      <c r="N1378" t="s">
        <v>48</v>
      </c>
      <c r="O1378">
        <v>1</v>
      </c>
      <c r="P1378" t="s">
        <v>1427</v>
      </c>
      <c r="Q1378" t="s">
        <v>2823</v>
      </c>
      <c r="R1378">
        <v>36.68</v>
      </c>
      <c r="S1378" s="5">
        <v>45039</v>
      </c>
      <c r="T1378" s="5">
        <v>45049</v>
      </c>
      <c r="U1378" t="s">
        <v>2925</v>
      </c>
    </row>
    <row r="1379" spans="1:21" x14ac:dyDescent="0.25">
      <c r="A1379" s="5">
        <v>44944</v>
      </c>
      <c r="B1379" s="7">
        <f>Table1[[#This Row],[TotalPrice]] * (1 - Table1[[#This Row],[Discount]])</f>
        <v>108.48049999999999</v>
      </c>
      <c r="C1379" s="7">
        <f>Table1[[#This Row],[Net Sales]] * 0.2</f>
        <v>21.696100000000001</v>
      </c>
      <c r="D1379" t="s">
        <v>21</v>
      </c>
      <c r="E1379" t="s">
        <v>28</v>
      </c>
      <c r="F1379">
        <v>1</v>
      </c>
      <c r="G1379">
        <v>120.2</v>
      </c>
      <c r="H1379" t="s">
        <v>34</v>
      </c>
      <c r="I1379" t="s">
        <v>36</v>
      </c>
      <c r="J1379" s="3">
        <v>0.05</v>
      </c>
      <c r="K1379" t="s">
        <v>40</v>
      </c>
      <c r="L1379">
        <v>114.19</v>
      </c>
      <c r="M1379" t="s">
        <v>43</v>
      </c>
      <c r="N1379" t="s">
        <v>50</v>
      </c>
      <c r="O1379">
        <v>0</v>
      </c>
      <c r="P1379" t="s">
        <v>1428</v>
      </c>
      <c r="Q1379" t="s">
        <v>2765</v>
      </c>
      <c r="R1379">
        <v>44.99</v>
      </c>
      <c r="S1379" s="5">
        <v>44944</v>
      </c>
      <c r="T1379" s="5">
        <v>44947</v>
      </c>
      <c r="U1379" t="s">
        <v>2924</v>
      </c>
    </row>
    <row r="1380" spans="1:21" x14ac:dyDescent="0.25">
      <c r="A1380" s="5">
        <v>45788</v>
      </c>
      <c r="B1380" s="7">
        <f>Table1[[#This Row],[TotalPrice]] * (1 - Table1[[#This Row],[Discount]])</f>
        <v>1590.9955749999999</v>
      </c>
      <c r="C1380" s="7">
        <f>Table1[[#This Row],[Net Sales]] * 0.2</f>
        <v>318.19911500000001</v>
      </c>
      <c r="D1380" t="s">
        <v>21</v>
      </c>
      <c r="E1380" t="s">
        <v>25</v>
      </c>
      <c r="F1380">
        <v>13</v>
      </c>
      <c r="G1380">
        <v>169.39</v>
      </c>
      <c r="H1380" t="s">
        <v>31</v>
      </c>
      <c r="I1380" t="s">
        <v>35</v>
      </c>
      <c r="J1380" s="3">
        <v>0.15</v>
      </c>
      <c r="K1380" t="s">
        <v>41</v>
      </c>
      <c r="L1380">
        <v>1871.7594999999999</v>
      </c>
      <c r="M1380" t="s">
        <v>45</v>
      </c>
      <c r="O1380">
        <v>0</v>
      </c>
      <c r="P1380" t="s">
        <v>1429</v>
      </c>
      <c r="Q1380" t="s">
        <v>2824</v>
      </c>
      <c r="R1380">
        <v>6.81</v>
      </c>
      <c r="S1380" s="5">
        <v>45788</v>
      </c>
      <c r="T1380" s="5">
        <v>45798</v>
      </c>
      <c r="U1380" t="s">
        <v>2924</v>
      </c>
    </row>
    <row r="1381" spans="1:21" x14ac:dyDescent="0.25">
      <c r="A1381" s="5">
        <v>45649</v>
      </c>
      <c r="B1381" s="7">
        <f>Table1[[#This Row],[TotalPrice]] * (1 - Table1[[#This Row],[Discount]])</f>
        <v>1540.7479999999998</v>
      </c>
      <c r="C1381" s="7">
        <f>Table1[[#This Row],[Net Sales]] * 0.2</f>
        <v>308.14959999999996</v>
      </c>
      <c r="D1381" t="s">
        <v>23</v>
      </c>
      <c r="E1381" t="s">
        <v>29</v>
      </c>
      <c r="F1381">
        <v>10</v>
      </c>
      <c r="G1381">
        <v>170.72</v>
      </c>
      <c r="H1381" t="s">
        <v>32</v>
      </c>
      <c r="I1381" t="s">
        <v>35</v>
      </c>
      <c r="J1381" s="3">
        <v>0.05</v>
      </c>
      <c r="K1381" t="s">
        <v>39</v>
      </c>
      <c r="L1381">
        <v>1621.84</v>
      </c>
      <c r="M1381" t="s">
        <v>43</v>
      </c>
      <c r="N1381" t="s">
        <v>48</v>
      </c>
      <c r="O1381">
        <v>0</v>
      </c>
      <c r="P1381" t="s">
        <v>1430</v>
      </c>
      <c r="Q1381" t="s">
        <v>2825</v>
      </c>
      <c r="R1381">
        <v>29.18</v>
      </c>
      <c r="S1381" s="5">
        <v>45649</v>
      </c>
      <c r="T1381" s="5">
        <v>45659</v>
      </c>
      <c r="U1381" t="s">
        <v>2926</v>
      </c>
    </row>
    <row r="1382" spans="1:21" x14ac:dyDescent="0.25">
      <c r="A1382" s="5">
        <v>45158</v>
      </c>
      <c r="B1382" s="7">
        <f>Table1[[#This Row],[TotalPrice]] * (1 - Table1[[#This Row],[Discount]])</f>
        <v>2105.3144249999996</v>
      </c>
      <c r="C1382" s="7">
        <f>Table1[[#This Row],[Net Sales]] * 0.2</f>
        <v>421.06288499999994</v>
      </c>
      <c r="D1382" t="s">
        <v>23</v>
      </c>
      <c r="E1382" t="s">
        <v>26</v>
      </c>
      <c r="F1382">
        <v>9</v>
      </c>
      <c r="G1382">
        <v>323.77</v>
      </c>
      <c r="H1382" t="s">
        <v>32</v>
      </c>
      <c r="I1382" t="s">
        <v>35</v>
      </c>
      <c r="J1382" s="3">
        <v>0.15</v>
      </c>
      <c r="K1382" t="s">
        <v>40</v>
      </c>
      <c r="L1382">
        <v>2476.8404999999998</v>
      </c>
      <c r="M1382" t="s">
        <v>46</v>
      </c>
      <c r="O1382">
        <v>0</v>
      </c>
      <c r="P1382" t="s">
        <v>1431</v>
      </c>
      <c r="Q1382" t="s">
        <v>2826</v>
      </c>
      <c r="R1382">
        <v>6.36</v>
      </c>
      <c r="S1382" s="5">
        <v>45158</v>
      </c>
      <c r="T1382" s="5">
        <v>45166</v>
      </c>
      <c r="U1382" t="s">
        <v>2926</v>
      </c>
    </row>
    <row r="1383" spans="1:21" x14ac:dyDescent="0.25">
      <c r="A1383" s="5">
        <v>45734</v>
      </c>
      <c r="B1383" s="7">
        <f>Table1[[#This Row],[TotalPrice]] * (1 - Table1[[#This Row],[Discount]])</f>
        <v>1927.44</v>
      </c>
      <c r="C1383" s="7">
        <f>Table1[[#This Row],[Net Sales]] * 0.2</f>
        <v>385.48800000000006</v>
      </c>
      <c r="D1383" t="s">
        <v>22</v>
      </c>
      <c r="E1383" t="s">
        <v>27</v>
      </c>
      <c r="F1383">
        <v>4</v>
      </c>
      <c r="G1383">
        <v>481.86</v>
      </c>
      <c r="H1383" t="s">
        <v>31</v>
      </c>
      <c r="I1383" t="s">
        <v>35</v>
      </c>
      <c r="J1383" s="3">
        <v>0</v>
      </c>
      <c r="K1383" t="s">
        <v>42</v>
      </c>
      <c r="L1383">
        <v>1927.44</v>
      </c>
      <c r="M1383" t="s">
        <v>43</v>
      </c>
      <c r="N1383" t="s">
        <v>48</v>
      </c>
      <c r="O1383">
        <v>0</v>
      </c>
      <c r="P1383" t="s">
        <v>1432</v>
      </c>
      <c r="Q1383" t="s">
        <v>2827</v>
      </c>
      <c r="R1383">
        <v>21.92</v>
      </c>
      <c r="S1383" s="5">
        <v>45734</v>
      </c>
      <c r="T1383" s="5">
        <v>45739</v>
      </c>
      <c r="U1383" t="s">
        <v>2925</v>
      </c>
    </row>
    <row r="1384" spans="1:21" x14ac:dyDescent="0.25">
      <c r="A1384" s="5">
        <v>45307</v>
      </c>
      <c r="B1384" s="7">
        <f>Table1[[#This Row],[TotalPrice]] * (1 - Table1[[#This Row],[Discount]])</f>
        <v>312.2</v>
      </c>
      <c r="C1384" s="7">
        <f>Table1[[#This Row],[Net Sales]] * 0.2</f>
        <v>62.44</v>
      </c>
      <c r="D1384" t="s">
        <v>22</v>
      </c>
      <c r="E1384" t="s">
        <v>25</v>
      </c>
      <c r="F1384">
        <v>4</v>
      </c>
      <c r="G1384">
        <v>78.05</v>
      </c>
      <c r="H1384" t="s">
        <v>32</v>
      </c>
      <c r="I1384" t="s">
        <v>36</v>
      </c>
      <c r="J1384" s="3">
        <v>0</v>
      </c>
      <c r="K1384" t="s">
        <v>40</v>
      </c>
      <c r="L1384">
        <v>312.2</v>
      </c>
      <c r="M1384" t="s">
        <v>45</v>
      </c>
      <c r="O1384">
        <v>0</v>
      </c>
      <c r="P1384" t="s">
        <v>1433</v>
      </c>
      <c r="Q1384" t="s">
        <v>2828</v>
      </c>
      <c r="R1384">
        <v>14.03</v>
      </c>
      <c r="S1384" s="5">
        <v>45307</v>
      </c>
      <c r="T1384" s="5">
        <v>45315</v>
      </c>
      <c r="U1384" t="s">
        <v>2925</v>
      </c>
    </row>
    <row r="1385" spans="1:21" x14ac:dyDescent="0.25">
      <c r="A1385" s="5">
        <v>45441</v>
      </c>
      <c r="B1385" s="7">
        <f>Table1[[#This Row],[TotalPrice]] * (1 - Table1[[#This Row],[Discount]])</f>
        <v>278.964</v>
      </c>
      <c r="C1385" s="7">
        <f>Table1[[#This Row],[Net Sales]] * 0.2</f>
        <v>55.7928</v>
      </c>
      <c r="D1385" t="s">
        <v>19</v>
      </c>
      <c r="E1385" t="s">
        <v>29</v>
      </c>
      <c r="F1385">
        <v>6</v>
      </c>
      <c r="G1385">
        <v>57.4</v>
      </c>
      <c r="H1385" t="s">
        <v>33</v>
      </c>
      <c r="I1385" t="s">
        <v>35</v>
      </c>
      <c r="J1385" s="3">
        <v>0.1</v>
      </c>
      <c r="K1385" t="s">
        <v>37</v>
      </c>
      <c r="L1385">
        <v>309.95999999999998</v>
      </c>
      <c r="M1385" t="s">
        <v>46</v>
      </c>
      <c r="N1385" t="s">
        <v>48</v>
      </c>
      <c r="O1385">
        <v>0</v>
      </c>
      <c r="P1385" t="s">
        <v>1434</v>
      </c>
      <c r="Q1385" t="s">
        <v>2829</v>
      </c>
      <c r="R1385">
        <v>26.42</v>
      </c>
      <c r="S1385" s="5">
        <v>45441</v>
      </c>
      <c r="T1385" s="5">
        <v>45451</v>
      </c>
      <c r="U1385" t="s">
        <v>2922</v>
      </c>
    </row>
    <row r="1386" spans="1:21" x14ac:dyDescent="0.25">
      <c r="A1386" s="5">
        <v>45741</v>
      </c>
      <c r="B1386" s="7">
        <f>Table1[[#This Row],[TotalPrice]] * (1 - Table1[[#This Row],[Discount]])</f>
        <v>2958.5074500000001</v>
      </c>
      <c r="C1386" s="7">
        <f>Table1[[#This Row],[Net Sales]] * 0.2</f>
        <v>591.70149000000004</v>
      </c>
      <c r="D1386" t="s">
        <v>20</v>
      </c>
      <c r="E1386" t="s">
        <v>24</v>
      </c>
      <c r="F1386">
        <v>9</v>
      </c>
      <c r="G1386">
        <v>454.98</v>
      </c>
      <c r="H1386" t="s">
        <v>31</v>
      </c>
      <c r="I1386" t="s">
        <v>35</v>
      </c>
      <c r="J1386" s="3">
        <v>0.15</v>
      </c>
      <c r="K1386" t="s">
        <v>37</v>
      </c>
      <c r="L1386">
        <v>3480.5970000000002</v>
      </c>
      <c r="M1386" t="s">
        <v>45</v>
      </c>
      <c r="O1386">
        <v>0</v>
      </c>
      <c r="P1386" t="s">
        <v>1435</v>
      </c>
      <c r="Q1386" t="s">
        <v>2830</v>
      </c>
      <c r="R1386">
        <v>40.76</v>
      </c>
      <c r="S1386" s="5">
        <v>45741</v>
      </c>
      <c r="T1386" s="5">
        <v>45743</v>
      </c>
      <c r="U1386" t="s">
        <v>2923</v>
      </c>
    </row>
    <row r="1387" spans="1:21" x14ac:dyDescent="0.25">
      <c r="A1387" s="5">
        <v>45738</v>
      </c>
      <c r="B1387" s="7">
        <f>Table1[[#This Row],[TotalPrice]] * (1 - Table1[[#This Row],[Discount]])</f>
        <v>3630.9831249999997</v>
      </c>
      <c r="C1387" s="7">
        <f>Table1[[#This Row],[Net Sales]] * 0.2</f>
        <v>726.19662500000004</v>
      </c>
      <c r="D1387" t="s">
        <v>22</v>
      </c>
      <c r="E1387" t="s">
        <v>26</v>
      </c>
      <c r="F1387">
        <v>11</v>
      </c>
      <c r="G1387">
        <v>365.75</v>
      </c>
      <c r="H1387" t="s">
        <v>34</v>
      </c>
      <c r="I1387" t="s">
        <v>35</v>
      </c>
      <c r="J1387" s="3">
        <v>0.05</v>
      </c>
      <c r="K1387" t="s">
        <v>42</v>
      </c>
      <c r="L1387">
        <v>3822.0875000000001</v>
      </c>
      <c r="M1387" t="s">
        <v>46</v>
      </c>
      <c r="N1387" t="s">
        <v>48</v>
      </c>
      <c r="O1387">
        <v>1</v>
      </c>
      <c r="P1387" t="s">
        <v>1436</v>
      </c>
      <c r="Q1387" t="s">
        <v>2831</v>
      </c>
      <c r="R1387">
        <v>8.3699999999999992</v>
      </c>
      <c r="S1387" s="5">
        <v>45738</v>
      </c>
      <c r="T1387" s="5">
        <v>45743</v>
      </c>
      <c r="U1387" t="s">
        <v>2925</v>
      </c>
    </row>
    <row r="1388" spans="1:21" x14ac:dyDescent="0.25">
      <c r="A1388" s="5">
        <v>45521</v>
      </c>
      <c r="B1388" s="7">
        <f>Table1[[#This Row],[TotalPrice]] * (1 - Table1[[#This Row],[Discount]])</f>
        <v>675.21439999999996</v>
      </c>
      <c r="C1388" s="7">
        <f>Table1[[#This Row],[Net Sales]] * 0.2</f>
        <v>135.04288</v>
      </c>
      <c r="D1388" t="s">
        <v>19</v>
      </c>
      <c r="E1388" t="s">
        <v>25</v>
      </c>
      <c r="F1388">
        <v>7</v>
      </c>
      <c r="G1388">
        <v>106.88</v>
      </c>
      <c r="H1388" t="s">
        <v>33</v>
      </c>
      <c r="I1388" t="s">
        <v>36</v>
      </c>
      <c r="J1388" s="3">
        <v>0.05</v>
      </c>
      <c r="K1388" t="s">
        <v>41</v>
      </c>
      <c r="L1388">
        <v>710.75199999999995</v>
      </c>
      <c r="M1388" t="s">
        <v>47</v>
      </c>
      <c r="N1388" t="s">
        <v>50</v>
      </c>
      <c r="O1388">
        <v>1</v>
      </c>
      <c r="P1388" t="s">
        <v>1437</v>
      </c>
      <c r="Q1388" t="s">
        <v>2832</v>
      </c>
      <c r="R1388">
        <v>26.12</v>
      </c>
      <c r="S1388" s="5">
        <v>45521</v>
      </c>
      <c r="T1388" s="5">
        <v>45528</v>
      </c>
      <c r="U1388" t="s">
        <v>2922</v>
      </c>
    </row>
    <row r="1389" spans="1:21" x14ac:dyDescent="0.25">
      <c r="A1389" s="5">
        <v>45445</v>
      </c>
      <c r="B1389" s="7">
        <f>Table1[[#This Row],[TotalPrice]] * (1 - Table1[[#This Row],[Discount]])</f>
        <v>406.58760000000001</v>
      </c>
      <c r="C1389" s="7">
        <f>Table1[[#This Row],[Net Sales]] * 0.2</f>
        <v>81.317520000000002</v>
      </c>
      <c r="D1389" t="s">
        <v>20</v>
      </c>
      <c r="E1389" t="s">
        <v>30</v>
      </c>
      <c r="F1389">
        <v>2</v>
      </c>
      <c r="G1389">
        <v>250.98</v>
      </c>
      <c r="H1389" t="s">
        <v>31</v>
      </c>
      <c r="I1389" t="s">
        <v>35</v>
      </c>
      <c r="J1389" s="3">
        <v>0.1</v>
      </c>
      <c r="K1389" t="s">
        <v>37</v>
      </c>
      <c r="L1389">
        <v>451.76400000000001</v>
      </c>
      <c r="M1389" t="s">
        <v>43</v>
      </c>
      <c r="N1389" t="s">
        <v>50</v>
      </c>
      <c r="O1389">
        <v>0</v>
      </c>
      <c r="P1389" t="s">
        <v>1438</v>
      </c>
      <c r="Q1389" t="s">
        <v>2833</v>
      </c>
      <c r="R1389">
        <v>18.8</v>
      </c>
      <c r="S1389" s="5">
        <v>45445</v>
      </c>
      <c r="T1389" s="5">
        <v>45455</v>
      </c>
      <c r="U1389" t="s">
        <v>2923</v>
      </c>
    </row>
    <row r="1390" spans="1:21" x14ac:dyDescent="0.25">
      <c r="A1390" s="5">
        <v>45016</v>
      </c>
      <c r="B1390" s="7">
        <f>Table1[[#This Row],[TotalPrice]] * (1 - Table1[[#This Row],[Discount]])</f>
        <v>3831.5591999999997</v>
      </c>
      <c r="C1390" s="7">
        <f>Table1[[#This Row],[Net Sales]] * 0.2</f>
        <v>766.31183999999996</v>
      </c>
      <c r="D1390" t="s">
        <v>20</v>
      </c>
      <c r="E1390" t="s">
        <v>28</v>
      </c>
      <c r="F1390">
        <v>8</v>
      </c>
      <c r="G1390">
        <v>591.29</v>
      </c>
      <c r="H1390" t="s">
        <v>33</v>
      </c>
      <c r="I1390" t="s">
        <v>36</v>
      </c>
      <c r="J1390" s="3">
        <v>0.1</v>
      </c>
      <c r="K1390" t="s">
        <v>41</v>
      </c>
      <c r="L1390">
        <v>4257.2879999999996</v>
      </c>
      <c r="M1390" t="s">
        <v>45</v>
      </c>
      <c r="O1390">
        <v>1</v>
      </c>
      <c r="P1390" t="s">
        <v>1439</v>
      </c>
      <c r="Q1390" t="s">
        <v>2834</v>
      </c>
      <c r="R1390">
        <v>45.14</v>
      </c>
      <c r="S1390" s="5">
        <v>45016</v>
      </c>
      <c r="T1390" s="5">
        <v>45026</v>
      </c>
      <c r="U1390" t="s">
        <v>2923</v>
      </c>
    </row>
    <row r="1391" spans="1:21" x14ac:dyDescent="0.25">
      <c r="A1391" s="5">
        <v>45431</v>
      </c>
      <c r="B1391" s="7">
        <f>Table1[[#This Row],[TotalPrice]] * (1 - Table1[[#This Row],[Discount]])</f>
        <v>6007.2385499999991</v>
      </c>
      <c r="C1391" s="7">
        <f>Table1[[#This Row],[Net Sales]] * 0.2</f>
        <v>1201.4477099999999</v>
      </c>
      <c r="D1391" t="s">
        <v>23</v>
      </c>
      <c r="E1391" t="s">
        <v>28</v>
      </c>
      <c r="F1391">
        <v>18</v>
      </c>
      <c r="G1391">
        <v>369.79</v>
      </c>
      <c r="H1391" t="s">
        <v>32</v>
      </c>
      <c r="I1391" t="s">
        <v>35</v>
      </c>
      <c r="J1391" s="3">
        <v>0.05</v>
      </c>
      <c r="K1391" t="s">
        <v>37</v>
      </c>
      <c r="L1391">
        <v>6323.4089999999997</v>
      </c>
      <c r="M1391" t="s">
        <v>47</v>
      </c>
      <c r="N1391" t="s">
        <v>48</v>
      </c>
      <c r="O1391">
        <v>1</v>
      </c>
      <c r="P1391" t="s">
        <v>1440</v>
      </c>
      <c r="Q1391" t="s">
        <v>2835</v>
      </c>
      <c r="R1391">
        <v>16.399999999999999</v>
      </c>
      <c r="S1391" s="5">
        <v>45431</v>
      </c>
      <c r="T1391" s="5">
        <v>45435</v>
      </c>
      <c r="U1391" t="s">
        <v>2926</v>
      </c>
    </row>
    <row r="1392" spans="1:21" x14ac:dyDescent="0.25">
      <c r="A1392" s="5">
        <v>44987</v>
      </c>
      <c r="B1392" s="7">
        <f>Table1[[#This Row],[TotalPrice]] * (1 - Table1[[#This Row],[Discount]])</f>
        <v>2019.8159999999998</v>
      </c>
      <c r="C1392" s="7">
        <f>Table1[[#This Row],[Net Sales]] * 0.2</f>
        <v>403.96319999999997</v>
      </c>
      <c r="D1392" t="s">
        <v>23</v>
      </c>
      <c r="E1392" t="s">
        <v>26</v>
      </c>
      <c r="F1392">
        <v>15</v>
      </c>
      <c r="G1392">
        <v>166.24</v>
      </c>
      <c r="H1392" t="s">
        <v>34</v>
      </c>
      <c r="I1392" t="s">
        <v>35</v>
      </c>
      <c r="J1392" s="3">
        <v>0.1</v>
      </c>
      <c r="K1392" t="s">
        <v>41</v>
      </c>
      <c r="L1392">
        <v>2244.2399999999998</v>
      </c>
      <c r="M1392" t="s">
        <v>46</v>
      </c>
      <c r="N1392" t="s">
        <v>49</v>
      </c>
      <c r="O1392">
        <v>0</v>
      </c>
      <c r="P1392" t="s">
        <v>1441</v>
      </c>
      <c r="Q1392" t="s">
        <v>2836</v>
      </c>
      <c r="R1392">
        <v>9.86</v>
      </c>
      <c r="S1392" s="5">
        <v>44987</v>
      </c>
      <c r="T1392" s="5">
        <v>44990</v>
      </c>
      <c r="U1392" t="s">
        <v>2926</v>
      </c>
    </row>
    <row r="1393" spans="1:21" x14ac:dyDescent="0.25">
      <c r="A1393" s="5">
        <v>44998</v>
      </c>
      <c r="B1393" s="7">
        <f>Table1[[#This Row],[TotalPrice]] * (1 - Table1[[#This Row],[Discount]])</f>
        <v>2260.7891999999997</v>
      </c>
      <c r="C1393" s="7">
        <f>Table1[[#This Row],[Net Sales]] * 0.2</f>
        <v>452.15783999999996</v>
      </c>
      <c r="D1393" t="s">
        <v>21</v>
      </c>
      <c r="E1393" t="s">
        <v>30</v>
      </c>
      <c r="F1393">
        <v>12</v>
      </c>
      <c r="G1393">
        <v>260.76</v>
      </c>
      <c r="H1393" t="s">
        <v>33</v>
      </c>
      <c r="I1393" t="s">
        <v>35</v>
      </c>
      <c r="J1393" s="3">
        <v>0.15</v>
      </c>
      <c r="K1393" t="s">
        <v>40</v>
      </c>
      <c r="L1393">
        <v>2659.752</v>
      </c>
      <c r="M1393" t="s">
        <v>43</v>
      </c>
      <c r="O1393">
        <v>0</v>
      </c>
      <c r="P1393" t="s">
        <v>1442</v>
      </c>
      <c r="Q1393" t="s">
        <v>2837</v>
      </c>
      <c r="R1393">
        <v>20.92</v>
      </c>
      <c r="S1393" s="5">
        <v>44998</v>
      </c>
      <c r="T1393" s="5">
        <v>45007</v>
      </c>
      <c r="U1393" t="s">
        <v>2924</v>
      </c>
    </row>
    <row r="1394" spans="1:21" x14ac:dyDescent="0.25">
      <c r="A1394" s="5">
        <v>45763</v>
      </c>
      <c r="B1394" s="7">
        <f>Table1[[#This Row],[TotalPrice]] * (1 - Table1[[#This Row],[Discount]])</f>
        <v>3146.3857499999999</v>
      </c>
      <c r="C1394" s="7">
        <f>Table1[[#This Row],[Net Sales]] * 0.2</f>
        <v>629.27715000000001</v>
      </c>
      <c r="D1394" t="s">
        <v>23</v>
      </c>
      <c r="E1394" t="s">
        <v>24</v>
      </c>
      <c r="F1394">
        <v>10</v>
      </c>
      <c r="G1394">
        <v>348.63</v>
      </c>
      <c r="H1394" t="s">
        <v>34</v>
      </c>
      <c r="I1394" t="s">
        <v>35</v>
      </c>
      <c r="J1394" s="3">
        <v>0.05</v>
      </c>
      <c r="K1394" t="s">
        <v>41</v>
      </c>
      <c r="L1394">
        <v>3311.9850000000001</v>
      </c>
      <c r="M1394" t="s">
        <v>45</v>
      </c>
      <c r="O1394">
        <v>1</v>
      </c>
      <c r="P1394" t="s">
        <v>1443</v>
      </c>
      <c r="Q1394" t="s">
        <v>2838</v>
      </c>
      <c r="R1394">
        <v>42.79</v>
      </c>
      <c r="S1394" s="5">
        <v>45763</v>
      </c>
      <c r="T1394" s="5">
        <v>45765</v>
      </c>
      <c r="U1394" t="s">
        <v>2926</v>
      </c>
    </row>
    <row r="1395" spans="1:21" x14ac:dyDescent="0.25">
      <c r="A1395" s="5">
        <v>45448</v>
      </c>
      <c r="B1395" s="7">
        <f>Table1[[#This Row],[TotalPrice]] * (1 - Table1[[#This Row],[Discount]])</f>
        <v>2366.4</v>
      </c>
      <c r="C1395" s="7">
        <f>Table1[[#This Row],[Net Sales]] * 0.2</f>
        <v>473.28000000000003</v>
      </c>
      <c r="D1395" t="s">
        <v>21</v>
      </c>
      <c r="E1395" t="s">
        <v>27</v>
      </c>
      <c r="F1395">
        <v>5</v>
      </c>
      <c r="G1395">
        <v>473.28</v>
      </c>
      <c r="H1395" t="s">
        <v>32</v>
      </c>
      <c r="I1395" t="s">
        <v>36</v>
      </c>
      <c r="J1395" s="3">
        <v>0</v>
      </c>
      <c r="K1395" t="s">
        <v>41</v>
      </c>
      <c r="L1395">
        <v>2366.4</v>
      </c>
      <c r="M1395" t="s">
        <v>45</v>
      </c>
      <c r="N1395" t="s">
        <v>49</v>
      </c>
      <c r="O1395">
        <v>1</v>
      </c>
      <c r="P1395" t="s">
        <v>1444</v>
      </c>
      <c r="Q1395" t="s">
        <v>2839</v>
      </c>
      <c r="R1395">
        <v>30.69</v>
      </c>
      <c r="S1395" s="5">
        <v>45448</v>
      </c>
      <c r="T1395" s="5">
        <v>45458</v>
      </c>
      <c r="U1395" t="s">
        <v>2924</v>
      </c>
    </row>
    <row r="1396" spans="1:21" x14ac:dyDescent="0.25">
      <c r="A1396" s="5">
        <v>45536</v>
      </c>
      <c r="B1396" s="7">
        <f>Table1[[#This Row],[TotalPrice]] * (1 - Table1[[#This Row],[Discount]])</f>
        <v>6429.28</v>
      </c>
      <c r="C1396" s="7">
        <f>Table1[[#This Row],[Net Sales]] * 0.2</f>
        <v>1285.856</v>
      </c>
      <c r="D1396" t="s">
        <v>21</v>
      </c>
      <c r="E1396" t="s">
        <v>27</v>
      </c>
      <c r="F1396">
        <v>16</v>
      </c>
      <c r="G1396">
        <v>401.83</v>
      </c>
      <c r="H1396" t="s">
        <v>31</v>
      </c>
      <c r="I1396" t="s">
        <v>36</v>
      </c>
      <c r="J1396" s="3">
        <v>0</v>
      </c>
      <c r="K1396" t="s">
        <v>37</v>
      </c>
      <c r="L1396">
        <v>6429.28</v>
      </c>
      <c r="M1396" t="s">
        <v>47</v>
      </c>
      <c r="N1396" t="s">
        <v>48</v>
      </c>
      <c r="O1396">
        <v>0</v>
      </c>
      <c r="P1396" t="s">
        <v>1445</v>
      </c>
      <c r="Q1396" t="s">
        <v>2164</v>
      </c>
      <c r="R1396">
        <v>21.54</v>
      </c>
      <c r="S1396" s="5">
        <v>45536</v>
      </c>
      <c r="T1396" s="5">
        <v>45540</v>
      </c>
      <c r="U1396" t="s">
        <v>2924</v>
      </c>
    </row>
    <row r="1397" spans="1:21" x14ac:dyDescent="0.25">
      <c r="A1397" s="5">
        <v>45556</v>
      </c>
      <c r="B1397" s="7">
        <f>Table1[[#This Row],[TotalPrice]] * (1 - Table1[[#This Row],[Discount]])</f>
        <v>2692.9</v>
      </c>
      <c r="C1397" s="7">
        <f>Table1[[#This Row],[Net Sales]] * 0.2</f>
        <v>538.58000000000004</v>
      </c>
      <c r="D1397" t="s">
        <v>21</v>
      </c>
      <c r="E1397" t="s">
        <v>25</v>
      </c>
      <c r="F1397">
        <v>10</v>
      </c>
      <c r="G1397">
        <v>269.29000000000002</v>
      </c>
      <c r="H1397" t="s">
        <v>33</v>
      </c>
      <c r="I1397" t="s">
        <v>36</v>
      </c>
      <c r="J1397" s="3">
        <v>0</v>
      </c>
      <c r="K1397" t="s">
        <v>37</v>
      </c>
      <c r="L1397">
        <v>2692.9</v>
      </c>
      <c r="M1397" t="s">
        <v>46</v>
      </c>
      <c r="N1397" t="s">
        <v>49</v>
      </c>
      <c r="O1397">
        <v>0</v>
      </c>
      <c r="P1397" t="s">
        <v>1446</v>
      </c>
      <c r="Q1397" t="s">
        <v>2721</v>
      </c>
      <c r="R1397">
        <v>14.09</v>
      </c>
      <c r="S1397" s="5">
        <v>45556</v>
      </c>
      <c r="T1397" s="5">
        <v>45565</v>
      </c>
      <c r="U1397" t="s">
        <v>2924</v>
      </c>
    </row>
    <row r="1398" spans="1:21" x14ac:dyDescent="0.25">
      <c r="A1398" s="5">
        <v>45668</v>
      </c>
      <c r="B1398" s="7">
        <f>Table1[[#This Row],[TotalPrice]] * (1 - Table1[[#This Row],[Discount]])</f>
        <v>1166.1022</v>
      </c>
      <c r="C1398" s="7">
        <f>Table1[[#This Row],[Net Sales]] * 0.2</f>
        <v>233.22044000000002</v>
      </c>
      <c r="D1398" t="s">
        <v>21</v>
      </c>
      <c r="E1398" t="s">
        <v>26</v>
      </c>
      <c r="F1398">
        <v>4</v>
      </c>
      <c r="G1398">
        <v>323.02</v>
      </c>
      <c r="H1398" t="s">
        <v>33</v>
      </c>
      <c r="I1398" t="s">
        <v>36</v>
      </c>
      <c r="J1398" s="3">
        <v>0.05</v>
      </c>
      <c r="K1398" t="s">
        <v>41</v>
      </c>
      <c r="L1398">
        <v>1227.4760000000001</v>
      </c>
      <c r="M1398" t="s">
        <v>47</v>
      </c>
      <c r="O1398">
        <v>0</v>
      </c>
      <c r="P1398" t="s">
        <v>1447</v>
      </c>
      <c r="Q1398" t="s">
        <v>2840</v>
      </c>
      <c r="R1398">
        <v>19.53</v>
      </c>
      <c r="S1398" s="5">
        <v>45668</v>
      </c>
      <c r="T1398" s="5">
        <v>45673</v>
      </c>
      <c r="U1398" t="s">
        <v>2924</v>
      </c>
    </row>
    <row r="1399" spans="1:21" x14ac:dyDescent="0.25">
      <c r="A1399" s="5">
        <v>44930</v>
      </c>
      <c r="B1399" s="7">
        <f>Table1[[#This Row],[TotalPrice]] * (1 - Table1[[#This Row],[Discount]])</f>
        <v>4767.3078749999986</v>
      </c>
      <c r="C1399" s="7">
        <f>Table1[[#This Row],[Net Sales]] * 0.2</f>
        <v>953.46157499999981</v>
      </c>
      <c r="D1399" t="s">
        <v>23</v>
      </c>
      <c r="E1399" t="s">
        <v>28</v>
      </c>
      <c r="F1399">
        <v>15</v>
      </c>
      <c r="G1399">
        <v>439.89</v>
      </c>
      <c r="H1399" t="s">
        <v>34</v>
      </c>
      <c r="I1399" t="s">
        <v>36</v>
      </c>
      <c r="J1399" s="3">
        <v>0.15</v>
      </c>
      <c r="K1399" t="s">
        <v>41</v>
      </c>
      <c r="L1399">
        <v>5608.5974999999989</v>
      </c>
      <c r="M1399" t="s">
        <v>43</v>
      </c>
      <c r="N1399" t="s">
        <v>48</v>
      </c>
      <c r="O1399">
        <v>0</v>
      </c>
      <c r="P1399" t="s">
        <v>1448</v>
      </c>
      <c r="Q1399" t="s">
        <v>2841</v>
      </c>
      <c r="R1399">
        <v>49.71</v>
      </c>
      <c r="S1399" s="5">
        <v>44930</v>
      </c>
      <c r="T1399" s="5">
        <v>44934</v>
      </c>
      <c r="U1399" t="s">
        <v>2926</v>
      </c>
    </row>
    <row r="1400" spans="1:21" x14ac:dyDescent="0.25">
      <c r="A1400" s="5">
        <v>45048</v>
      </c>
      <c r="B1400" s="7">
        <f>Table1[[#This Row],[TotalPrice]] * (1 - Table1[[#This Row],[Discount]])</f>
        <v>6975.8195999999989</v>
      </c>
      <c r="C1400" s="7">
        <f>Table1[[#This Row],[Net Sales]] * 0.2</f>
        <v>1395.16392</v>
      </c>
      <c r="D1400" t="s">
        <v>23</v>
      </c>
      <c r="E1400" t="s">
        <v>28</v>
      </c>
      <c r="F1400">
        <v>16</v>
      </c>
      <c r="G1400">
        <v>483.09</v>
      </c>
      <c r="H1400" t="s">
        <v>33</v>
      </c>
      <c r="I1400" t="s">
        <v>35</v>
      </c>
      <c r="J1400" s="3">
        <v>0.05</v>
      </c>
      <c r="K1400" t="s">
        <v>38</v>
      </c>
      <c r="L1400">
        <v>7342.9679999999989</v>
      </c>
      <c r="M1400" t="s">
        <v>46</v>
      </c>
      <c r="O1400">
        <v>1</v>
      </c>
      <c r="P1400" t="s">
        <v>1449</v>
      </c>
      <c r="Q1400" t="s">
        <v>2735</v>
      </c>
      <c r="R1400">
        <v>37.659999999999997</v>
      </c>
      <c r="S1400" s="5">
        <v>45048</v>
      </c>
      <c r="T1400" s="5">
        <v>45051</v>
      </c>
      <c r="U1400" t="s">
        <v>2926</v>
      </c>
    </row>
    <row r="1401" spans="1:21" x14ac:dyDescent="0.25">
      <c r="A1401" s="5">
        <v>45116</v>
      </c>
      <c r="B1401" s="7">
        <f>Table1[[#This Row],[TotalPrice]] * (1 - Table1[[#This Row],[Discount]])</f>
        <v>257.26057499999996</v>
      </c>
      <c r="C1401" s="7">
        <f>Table1[[#This Row],[Net Sales]] * 0.2</f>
        <v>51.452114999999992</v>
      </c>
      <c r="D1401" t="s">
        <v>19</v>
      </c>
      <c r="E1401" t="s">
        <v>25</v>
      </c>
      <c r="F1401">
        <v>13</v>
      </c>
      <c r="G1401">
        <v>27.39</v>
      </c>
      <c r="H1401" t="s">
        <v>31</v>
      </c>
      <c r="I1401" t="s">
        <v>36</v>
      </c>
      <c r="J1401" s="3">
        <v>0.15</v>
      </c>
      <c r="K1401" t="s">
        <v>39</v>
      </c>
      <c r="L1401">
        <v>302.65949999999998</v>
      </c>
      <c r="M1401" t="s">
        <v>47</v>
      </c>
      <c r="O1401">
        <v>0</v>
      </c>
      <c r="P1401" t="s">
        <v>1450</v>
      </c>
      <c r="Q1401" t="s">
        <v>2842</v>
      </c>
      <c r="R1401">
        <v>22.95</v>
      </c>
      <c r="S1401" s="5">
        <v>45116</v>
      </c>
      <c r="T1401" s="5">
        <v>45121</v>
      </c>
      <c r="U1401" t="s">
        <v>2922</v>
      </c>
    </row>
    <row r="1402" spans="1:21" x14ac:dyDescent="0.25">
      <c r="A1402" s="5">
        <v>45715</v>
      </c>
      <c r="B1402" s="7">
        <f>Table1[[#This Row],[TotalPrice]] * (1 - Table1[[#This Row],[Discount]])</f>
        <v>7026.2873999999993</v>
      </c>
      <c r="C1402" s="7">
        <f>Table1[[#This Row],[Net Sales]] * 0.2</f>
        <v>1405.25748</v>
      </c>
      <c r="D1402" t="s">
        <v>19</v>
      </c>
      <c r="E1402" t="s">
        <v>28</v>
      </c>
      <c r="F1402">
        <v>18</v>
      </c>
      <c r="G1402">
        <v>432.52</v>
      </c>
      <c r="H1402" t="s">
        <v>34</v>
      </c>
      <c r="I1402" t="s">
        <v>36</v>
      </c>
      <c r="J1402" s="3">
        <v>0.05</v>
      </c>
      <c r="K1402" t="s">
        <v>42</v>
      </c>
      <c r="L1402">
        <v>7396.0919999999996</v>
      </c>
      <c r="M1402" t="s">
        <v>45</v>
      </c>
      <c r="N1402" t="s">
        <v>49</v>
      </c>
      <c r="O1402">
        <v>1</v>
      </c>
      <c r="P1402" t="s">
        <v>1451</v>
      </c>
      <c r="Q1402" t="s">
        <v>1563</v>
      </c>
      <c r="R1402">
        <v>34.19</v>
      </c>
      <c r="S1402" s="5">
        <v>45715</v>
      </c>
      <c r="T1402" s="5">
        <v>45720</v>
      </c>
      <c r="U1402" t="s">
        <v>2922</v>
      </c>
    </row>
    <row r="1403" spans="1:21" x14ac:dyDescent="0.25">
      <c r="A1403" s="5">
        <v>45558</v>
      </c>
      <c r="B1403" s="7">
        <f>Table1[[#This Row],[TotalPrice]] * (1 - Table1[[#This Row],[Discount]])</f>
        <v>782.31577499999992</v>
      </c>
      <c r="C1403" s="7">
        <f>Table1[[#This Row],[Net Sales]] * 0.2</f>
        <v>156.463155</v>
      </c>
      <c r="D1403" t="s">
        <v>23</v>
      </c>
      <c r="E1403" t="s">
        <v>30</v>
      </c>
      <c r="F1403">
        <v>3</v>
      </c>
      <c r="G1403">
        <v>360.93</v>
      </c>
      <c r="H1403" t="s">
        <v>31</v>
      </c>
      <c r="I1403" t="s">
        <v>35</v>
      </c>
      <c r="J1403" s="3">
        <v>0.15</v>
      </c>
      <c r="K1403" t="s">
        <v>41</v>
      </c>
      <c r="L1403">
        <v>920.37149999999997</v>
      </c>
      <c r="M1403" t="s">
        <v>46</v>
      </c>
      <c r="N1403" t="s">
        <v>50</v>
      </c>
      <c r="O1403">
        <v>0</v>
      </c>
      <c r="P1403" t="s">
        <v>1452</v>
      </c>
      <c r="Q1403" t="s">
        <v>2843</v>
      </c>
      <c r="R1403">
        <v>35.61</v>
      </c>
      <c r="S1403" s="5">
        <v>45558</v>
      </c>
      <c r="T1403" s="5">
        <v>45564</v>
      </c>
      <c r="U1403" t="s">
        <v>2926</v>
      </c>
    </row>
    <row r="1404" spans="1:21" x14ac:dyDescent="0.25">
      <c r="A1404" s="5">
        <v>45830</v>
      </c>
      <c r="B1404" s="7">
        <f>Table1[[#This Row],[TotalPrice]] * (1 - Table1[[#This Row],[Discount]])</f>
        <v>1679.049</v>
      </c>
      <c r="C1404" s="7">
        <f>Table1[[#This Row],[Net Sales]] * 0.2</f>
        <v>335.8098</v>
      </c>
      <c r="D1404" t="s">
        <v>19</v>
      </c>
      <c r="E1404" t="s">
        <v>29</v>
      </c>
      <c r="F1404">
        <v>5</v>
      </c>
      <c r="G1404">
        <v>414.58</v>
      </c>
      <c r="H1404" t="s">
        <v>31</v>
      </c>
      <c r="I1404" t="s">
        <v>36</v>
      </c>
      <c r="J1404" s="3">
        <v>0.1</v>
      </c>
      <c r="K1404" t="s">
        <v>41</v>
      </c>
      <c r="L1404">
        <v>1865.61</v>
      </c>
      <c r="M1404" t="s">
        <v>44</v>
      </c>
      <c r="O1404">
        <v>0</v>
      </c>
      <c r="P1404" t="s">
        <v>1453</v>
      </c>
      <c r="Q1404" t="s">
        <v>2844</v>
      </c>
      <c r="R1404">
        <v>14.98</v>
      </c>
      <c r="S1404" s="5">
        <v>45830</v>
      </c>
      <c r="T1404" s="5">
        <v>45839</v>
      </c>
      <c r="U1404" t="s">
        <v>2922</v>
      </c>
    </row>
    <row r="1405" spans="1:21" x14ac:dyDescent="0.25">
      <c r="A1405" s="5">
        <v>45676</v>
      </c>
      <c r="B1405" s="7">
        <f>Table1[[#This Row],[TotalPrice]] * (1 - Table1[[#This Row],[Discount]])</f>
        <v>272.16000000000003</v>
      </c>
      <c r="C1405" s="7">
        <f>Table1[[#This Row],[Net Sales]] * 0.2</f>
        <v>54.432000000000009</v>
      </c>
      <c r="D1405" t="s">
        <v>22</v>
      </c>
      <c r="E1405" t="s">
        <v>29</v>
      </c>
      <c r="F1405">
        <v>4</v>
      </c>
      <c r="G1405">
        <v>68.040000000000006</v>
      </c>
      <c r="H1405" t="s">
        <v>33</v>
      </c>
      <c r="I1405" t="s">
        <v>35</v>
      </c>
      <c r="J1405" s="3">
        <v>0</v>
      </c>
      <c r="K1405" t="s">
        <v>42</v>
      </c>
      <c r="L1405">
        <v>272.16000000000003</v>
      </c>
      <c r="M1405" t="s">
        <v>43</v>
      </c>
      <c r="N1405" t="s">
        <v>48</v>
      </c>
      <c r="O1405">
        <v>0</v>
      </c>
      <c r="P1405" t="s">
        <v>1454</v>
      </c>
      <c r="Q1405" t="s">
        <v>2845</v>
      </c>
      <c r="R1405">
        <v>18.72</v>
      </c>
      <c r="S1405" s="5">
        <v>45676</v>
      </c>
      <c r="T1405" s="5">
        <v>45685</v>
      </c>
      <c r="U1405" t="s">
        <v>2925</v>
      </c>
    </row>
    <row r="1406" spans="1:21" x14ac:dyDescent="0.25">
      <c r="A1406" s="5">
        <v>45691</v>
      </c>
      <c r="B1406" s="7">
        <f>Table1[[#This Row],[TotalPrice]] * (1 - Table1[[#This Row],[Discount]])</f>
        <v>2947.72775</v>
      </c>
      <c r="C1406" s="7">
        <f>Table1[[#This Row],[Net Sales]] * 0.2</f>
        <v>589.54555000000005</v>
      </c>
      <c r="D1406" t="s">
        <v>19</v>
      </c>
      <c r="E1406" t="s">
        <v>25</v>
      </c>
      <c r="F1406">
        <v>10</v>
      </c>
      <c r="G1406">
        <v>407.99</v>
      </c>
      <c r="H1406" t="s">
        <v>33</v>
      </c>
      <c r="I1406" t="s">
        <v>36</v>
      </c>
      <c r="J1406" s="3">
        <v>0.15</v>
      </c>
      <c r="K1406" t="s">
        <v>37</v>
      </c>
      <c r="L1406">
        <v>3467.915</v>
      </c>
      <c r="M1406" t="s">
        <v>47</v>
      </c>
      <c r="O1406">
        <v>0</v>
      </c>
      <c r="P1406" t="s">
        <v>1455</v>
      </c>
      <c r="Q1406" t="s">
        <v>2846</v>
      </c>
      <c r="R1406">
        <v>49.59</v>
      </c>
      <c r="S1406" s="5">
        <v>45691</v>
      </c>
      <c r="T1406" s="5">
        <v>45696</v>
      </c>
      <c r="U1406" t="s">
        <v>2922</v>
      </c>
    </row>
    <row r="1407" spans="1:21" x14ac:dyDescent="0.25">
      <c r="A1407" s="5">
        <v>45241</v>
      </c>
      <c r="B1407" s="7">
        <f>Table1[[#This Row],[TotalPrice]] * (1 - Table1[[#This Row],[Discount]])</f>
        <v>4121.5499999999993</v>
      </c>
      <c r="C1407" s="7">
        <f>Table1[[#This Row],[Net Sales]] * 0.2</f>
        <v>824.31</v>
      </c>
      <c r="D1407" t="s">
        <v>19</v>
      </c>
      <c r="E1407" t="s">
        <v>29</v>
      </c>
      <c r="F1407">
        <v>15</v>
      </c>
      <c r="G1407">
        <v>274.77</v>
      </c>
      <c r="H1407" t="s">
        <v>34</v>
      </c>
      <c r="I1407" t="s">
        <v>36</v>
      </c>
      <c r="J1407" s="3">
        <v>0</v>
      </c>
      <c r="K1407" t="s">
        <v>37</v>
      </c>
      <c r="L1407">
        <v>4121.5499999999993</v>
      </c>
      <c r="M1407" t="s">
        <v>47</v>
      </c>
      <c r="O1407">
        <v>1</v>
      </c>
      <c r="P1407" t="s">
        <v>1456</v>
      </c>
      <c r="Q1407" t="s">
        <v>2847</v>
      </c>
      <c r="R1407">
        <v>19.37</v>
      </c>
      <c r="S1407" s="5">
        <v>45241</v>
      </c>
      <c r="T1407" s="5">
        <v>45247</v>
      </c>
      <c r="U1407" t="s">
        <v>2922</v>
      </c>
    </row>
    <row r="1408" spans="1:21" x14ac:dyDescent="0.25">
      <c r="A1408" s="5">
        <v>45420</v>
      </c>
      <c r="B1408" s="7">
        <f>Table1[[#This Row],[TotalPrice]] * (1 - Table1[[#This Row],[Discount]])</f>
        <v>344.74087499999996</v>
      </c>
      <c r="C1408" s="7">
        <f>Table1[[#This Row],[Net Sales]] * 0.2</f>
        <v>68.948174999999992</v>
      </c>
      <c r="D1408" t="s">
        <v>19</v>
      </c>
      <c r="E1408" t="s">
        <v>26</v>
      </c>
      <c r="F1408">
        <v>15</v>
      </c>
      <c r="G1408">
        <v>31.81</v>
      </c>
      <c r="H1408" t="s">
        <v>33</v>
      </c>
      <c r="I1408" t="s">
        <v>35</v>
      </c>
      <c r="J1408" s="3">
        <v>0.15</v>
      </c>
      <c r="K1408" t="s">
        <v>37</v>
      </c>
      <c r="L1408">
        <v>405.57749999999999</v>
      </c>
      <c r="M1408" t="s">
        <v>47</v>
      </c>
      <c r="N1408" t="s">
        <v>49</v>
      </c>
      <c r="O1408">
        <v>0</v>
      </c>
      <c r="P1408" t="s">
        <v>1457</v>
      </c>
      <c r="Q1408" t="s">
        <v>2848</v>
      </c>
      <c r="R1408">
        <v>23.61</v>
      </c>
      <c r="S1408" s="5">
        <v>45420</v>
      </c>
      <c r="T1408" s="5">
        <v>45422</v>
      </c>
      <c r="U1408" t="s">
        <v>2922</v>
      </c>
    </row>
    <row r="1409" spans="1:21" x14ac:dyDescent="0.25">
      <c r="A1409" s="5">
        <v>45187</v>
      </c>
      <c r="B1409" s="7">
        <f>Table1[[#This Row],[TotalPrice]] * (1 - Table1[[#This Row],[Discount]])</f>
        <v>3756.48</v>
      </c>
      <c r="C1409" s="7">
        <f>Table1[[#This Row],[Net Sales]] * 0.2</f>
        <v>751.29600000000005</v>
      </c>
      <c r="D1409" t="s">
        <v>20</v>
      </c>
      <c r="E1409" t="s">
        <v>30</v>
      </c>
      <c r="F1409">
        <v>14</v>
      </c>
      <c r="G1409">
        <v>268.32</v>
      </c>
      <c r="H1409" t="s">
        <v>34</v>
      </c>
      <c r="I1409" t="s">
        <v>36</v>
      </c>
      <c r="J1409" s="3">
        <v>0</v>
      </c>
      <c r="K1409" t="s">
        <v>39</v>
      </c>
      <c r="L1409">
        <v>3756.48</v>
      </c>
      <c r="M1409" t="s">
        <v>43</v>
      </c>
      <c r="N1409" t="s">
        <v>50</v>
      </c>
      <c r="O1409">
        <v>0</v>
      </c>
      <c r="P1409" t="s">
        <v>1458</v>
      </c>
      <c r="Q1409" t="s">
        <v>2849</v>
      </c>
      <c r="R1409">
        <v>43.14</v>
      </c>
      <c r="S1409" s="5">
        <v>45187</v>
      </c>
      <c r="T1409" s="5">
        <v>45196</v>
      </c>
      <c r="U1409" t="s">
        <v>2923</v>
      </c>
    </row>
    <row r="1410" spans="1:21" x14ac:dyDescent="0.25">
      <c r="A1410" s="5">
        <v>45752</v>
      </c>
      <c r="B1410" s="7">
        <f>Table1[[#This Row],[TotalPrice]] * (1 - Table1[[#This Row],[Discount]])</f>
        <v>6003.6826999999994</v>
      </c>
      <c r="C1410" s="7">
        <f>Table1[[#This Row],[Net Sales]] * 0.2</f>
        <v>1200.7365399999999</v>
      </c>
      <c r="D1410" t="s">
        <v>22</v>
      </c>
      <c r="E1410" t="s">
        <v>29</v>
      </c>
      <c r="F1410">
        <v>19</v>
      </c>
      <c r="G1410">
        <v>350.12</v>
      </c>
      <c r="H1410" t="s">
        <v>34</v>
      </c>
      <c r="I1410" t="s">
        <v>36</v>
      </c>
      <c r="J1410" s="3">
        <v>0.05</v>
      </c>
      <c r="K1410" t="s">
        <v>38</v>
      </c>
      <c r="L1410">
        <v>6319.6659999999993</v>
      </c>
      <c r="M1410" t="s">
        <v>45</v>
      </c>
      <c r="N1410" t="s">
        <v>48</v>
      </c>
      <c r="O1410">
        <v>0</v>
      </c>
      <c r="P1410" t="s">
        <v>1459</v>
      </c>
      <c r="Q1410" t="s">
        <v>2393</v>
      </c>
      <c r="R1410">
        <v>48.98</v>
      </c>
      <c r="S1410" s="5">
        <v>45752</v>
      </c>
      <c r="T1410" s="5">
        <v>45760</v>
      </c>
      <c r="U1410" t="s">
        <v>2925</v>
      </c>
    </row>
    <row r="1411" spans="1:21" x14ac:dyDescent="0.25">
      <c r="A1411" s="5">
        <v>45182</v>
      </c>
      <c r="B1411" s="7">
        <f>Table1[[#This Row],[TotalPrice]] * (1 - Table1[[#This Row],[Discount]])</f>
        <v>2673.5208750000002</v>
      </c>
      <c r="C1411" s="7">
        <f>Table1[[#This Row],[Net Sales]] * 0.2</f>
        <v>534.70417500000008</v>
      </c>
      <c r="D1411" t="s">
        <v>22</v>
      </c>
      <c r="E1411" t="s">
        <v>26</v>
      </c>
      <c r="F1411">
        <v>9</v>
      </c>
      <c r="G1411">
        <v>329.15</v>
      </c>
      <c r="H1411" t="s">
        <v>32</v>
      </c>
      <c r="I1411" t="s">
        <v>36</v>
      </c>
      <c r="J1411" s="3">
        <v>0.05</v>
      </c>
      <c r="K1411" t="s">
        <v>41</v>
      </c>
      <c r="L1411">
        <v>2814.2325000000001</v>
      </c>
      <c r="M1411" t="s">
        <v>44</v>
      </c>
      <c r="N1411" t="s">
        <v>48</v>
      </c>
      <c r="O1411">
        <v>0</v>
      </c>
      <c r="P1411" t="s">
        <v>1460</v>
      </c>
      <c r="Q1411" t="s">
        <v>2850</v>
      </c>
      <c r="R1411">
        <v>29.41</v>
      </c>
      <c r="S1411" s="5">
        <v>45182</v>
      </c>
      <c r="T1411" s="5">
        <v>45184</v>
      </c>
      <c r="U1411" t="s">
        <v>2925</v>
      </c>
    </row>
    <row r="1412" spans="1:21" x14ac:dyDescent="0.25">
      <c r="A1412" s="5">
        <v>45471</v>
      </c>
      <c r="B1412" s="7">
        <f>Table1[[#This Row],[TotalPrice]] * (1 - Table1[[#This Row],[Discount]])</f>
        <v>520.80567499999995</v>
      </c>
      <c r="C1412" s="7">
        <f>Table1[[#This Row],[Net Sales]] * 0.2</f>
        <v>104.161135</v>
      </c>
      <c r="D1412" t="s">
        <v>19</v>
      </c>
      <c r="E1412" t="s">
        <v>28</v>
      </c>
      <c r="F1412">
        <v>1</v>
      </c>
      <c r="G1412">
        <v>577.07000000000005</v>
      </c>
      <c r="H1412" t="s">
        <v>33</v>
      </c>
      <c r="I1412" t="s">
        <v>35</v>
      </c>
      <c r="J1412" s="3">
        <v>0.05</v>
      </c>
      <c r="K1412" t="s">
        <v>39</v>
      </c>
      <c r="L1412">
        <v>548.2165</v>
      </c>
      <c r="M1412" t="s">
        <v>43</v>
      </c>
      <c r="N1412" t="s">
        <v>50</v>
      </c>
      <c r="O1412">
        <v>0</v>
      </c>
      <c r="P1412" t="s">
        <v>1461</v>
      </c>
      <c r="Q1412" t="s">
        <v>2851</v>
      </c>
      <c r="R1412">
        <v>22.97</v>
      </c>
      <c r="S1412" s="5">
        <v>45471</v>
      </c>
      <c r="T1412" s="5">
        <v>45479</v>
      </c>
      <c r="U1412" t="s">
        <v>2922</v>
      </c>
    </row>
    <row r="1413" spans="1:21" x14ac:dyDescent="0.25">
      <c r="A1413" s="5">
        <v>45022</v>
      </c>
      <c r="B1413" s="7">
        <f>Table1[[#This Row],[TotalPrice]] * (1 - Table1[[#This Row],[Discount]])</f>
        <v>2645.4438000000009</v>
      </c>
      <c r="C1413" s="7">
        <f>Table1[[#This Row],[Net Sales]] * 0.2</f>
        <v>529.08876000000021</v>
      </c>
      <c r="D1413" t="s">
        <v>22</v>
      </c>
      <c r="E1413" t="s">
        <v>27</v>
      </c>
      <c r="F1413">
        <v>6</v>
      </c>
      <c r="G1413">
        <v>544.33000000000004</v>
      </c>
      <c r="H1413" t="s">
        <v>31</v>
      </c>
      <c r="I1413" t="s">
        <v>35</v>
      </c>
      <c r="J1413" s="3">
        <v>0.1</v>
      </c>
      <c r="K1413" t="s">
        <v>40</v>
      </c>
      <c r="L1413">
        <v>2939.382000000001</v>
      </c>
      <c r="M1413" t="s">
        <v>47</v>
      </c>
      <c r="O1413">
        <v>0</v>
      </c>
      <c r="P1413" t="s">
        <v>1462</v>
      </c>
      <c r="Q1413" t="s">
        <v>2009</v>
      </c>
      <c r="R1413">
        <v>11.52</v>
      </c>
      <c r="S1413" s="5">
        <v>45022</v>
      </c>
      <c r="T1413" s="5">
        <v>45024</v>
      </c>
      <c r="U1413" t="s">
        <v>2925</v>
      </c>
    </row>
    <row r="1414" spans="1:21" x14ac:dyDescent="0.25">
      <c r="A1414" s="5">
        <v>45059</v>
      </c>
      <c r="B1414" s="7">
        <f>Table1[[#This Row],[TotalPrice]] * (1 - Table1[[#This Row],[Discount]])</f>
        <v>4310.5072499999987</v>
      </c>
      <c r="C1414" s="7">
        <f>Table1[[#This Row],[Net Sales]] * 0.2</f>
        <v>862.10144999999977</v>
      </c>
      <c r="D1414" t="s">
        <v>20</v>
      </c>
      <c r="E1414" t="s">
        <v>24</v>
      </c>
      <c r="F1414">
        <v>18</v>
      </c>
      <c r="G1414">
        <v>331.45</v>
      </c>
      <c r="H1414" t="s">
        <v>34</v>
      </c>
      <c r="I1414" t="s">
        <v>36</v>
      </c>
      <c r="J1414" s="3">
        <v>0.15</v>
      </c>
      <c r="K1414" t="s">
        <v>38</v>
      </c>
      <c r="L1414">
        <v>5071.1849999999986</v>
      </c>
      <c r="M1414" t="s">
        <v>47</v>
      </c>
      <c r="N1414" t="s">
        <v>50</v>
      </c>
      <c r="O1414">
        <v>1</v>
      </c>
      <c r="P1414" t="s">
        <v>1463</v>
      </c>
      <c r="Q1414" t="s">
        <v>2562</v>
      </c>
      <c r="R1414">
        <v>32.92</v>
      </c>
      <c r="S1414" s="5">
        <v>45059</v>
      </c>
      <c r="T1414" s="5">
        <v>45064</v>
      </c>
      <c r="U1414" t="s">
        <v>2923</v>
      </c>
    </row>
    <row r="1415" spans="1:21" x14ac:dyDescent="0.25">
      <c r="A1415" s="5">
        <v>45784</v>
      </c>
      <c r="B1415" s="7">
        <f>Table1[[#This Row],[TotalPrice]] * (1 - Table1[[#This Row],[Discount]])</f>
        <v>341.22060000000005</v>
      </c>
      <c r="C1415" s="7">
        <f>Table1[[#This Row],[Net Sales]] * 0.2</f>
        <v>68.244120000000009</v>
      </c>
      <c r="D1415" t="s">
        <v>19</v>
      </c>
      <c r="E1415" t="s">
        <v>24</v>
      </c>
      <c r="F1415">
        <v>1</v>
      </c>
      <c r="G1415">
        <v>421.26</v>
      </c>
      <c r="H1415" t="s">
        <v>34</v>
      </c>
      <c r="I1415" t="s">
        <v>36</v>
      </c>
      <c r="J1415" s="3">
        <v>0.1</v>
      </c>
      <c r="K1415" t="s">
        <v>37</v>
      </c>
      <c r="L1415">
        <v>379.13400000000001</v>
      </c>
      <c r="M1415" t="s">
        <v>46</v>
      </c>
      <c r="N1415" t="s">
        <v>48</v>
      </c>
      <c r="O1415">
        <v>0</v>
      </c>
      <c r="P1415" t="s">
        <v>1464</v>
      </c>
      <c r="Q1415" t="s">
        <v>2852</v>
      </c>
      <c r="R1415">
        <v>36.340000000000003</v>
      </c>
      <c r="S1415" s="5">
        <v>45784</v>
      </c>
      <c r="T1415" s="5">
        <v>45792</v>
      </c>
      <c r="U1415" t="s">
        <v>2922</v>
      </c>
    </row>
    <row r="1416" spans="1:21" x14ac:dyDescent="0.25">
      <c r="A1416" s="5">
        <v>45738</v>
      </c>
      <c r="B1416" s="7">
        <f>Table1[[#This Row],[TotalPrice]] * (1 - Table1[[#This Row],[Discount]])</f>
        <v>1798.2647999999999</v>
      </c>
      <c r="C1416" s="7">
        <f>Table1[[#This Row],[Net Sales]] * 0.2</f>
        <v>359.65296000000001</v>
      </c>
      <c r="D1416" t="s">
        <v>21</v>
      </c>
      <c r="E1416" t="s">
        <v>29</v>
      </c>
      <c r="F1416">
        <v>4</v>
      </c>
      <c r="G1416">
        <v>555.02</v>
      </c>
      <c r="H1416" t="s">
        <v>31</v>
      </c>
      <c r="I1416" t="s">
        <v>36</v>
      </c>
      <c r="J1416" s="3">
        <v>0.1</v>
      </c>
      <c r="K1416" t="s">
        <v>41</v>
      </c>
      <c r="L1416">
        <v>1998.0719999999999</v>
      </c>
      <c r="M1416" t="s">
        <v>47</v>
      </c>
      <c r="N1416" t="s">
        <v>49</v>
      </c>
      <c r="O1416">
        <v>0</v>
      </c>
      <c r="P1416" t="s">
        <v>1465</v>
      </c>
      <c r="Q1416" t="s">
        <v>2853</v>
      </c>
      <c r="R1416">
        <v>45.25</v>
      </c>
      <c r="S1416" s="5">
        <v>45738</v>
      </c>
      <c r="T1416" s="5">
        <v>45743</v>
      </c>
      <c r="U1416" t="s">
        <v>2924</v>
      </c>
    </row>
    <row r="1417" spans="1:21" x14ac:dyDescent="0.25">
      <c r="A1417" s="5">
        <v>45467</v>
      </c>
      <c r="B1417" s="7">
        <f>Table1[[#This Row],[TotalPrice]] * (1 - Table1[[#This Row],[Discount]])</f>
        <v>4826.57</v>
      </c>
      <c r="C1417" s="7">
        <f>Table1[[#This Row],[Net Sales]] * 0.2</f>
        <v>965.31399999999996</v>
      </c>
      <c r="D1417" t="s">
        <v>20</v>
      </c>
      <c r="E1417" t="s">
        <v>24</v>
      </c>
      <c r="F1417">
        <v>19</v>
      </c>
      <c r="G1417">
        <v>254.03</v>
      </c>
      <c r="H1417" t="s">
        <v>33</v>
      </c>
      <c r="I1417" t="s">
        <v>35</v>
      </c>
      <c r="J1417" s="3">
        <v>0</v>
      </c>
      <c r="K1417" t="s">
        <v>39</v>
      </c>
      <c r="L1417">
        <v>4826.57</v>
      </c>
      <c r="M1417" t="s">
        <v>43</v>
      </c>
      <c r="N1417" t="s">
        <v>49</v>
      </c>
      <c r="O1417">
        <v>1</v>
      </c>
      <c r="P1417" t="s">
        <v>1466</v>
      </c>
      <c r="Q1417" t="s">
        <v>2382</v>
      </c>
      <c r="R1417">
        <v>11.21</v>
      </c>
      <c r="S1417" s="5">
        <v>45467</v>
      </c>
      <c r="T1417" s="5">
        <v>45475</v>
      </c>
      <c r="U1417" t="s">
        <v>2923</v>
      </c>
    </row>
    <row r="1418" spans="1:21" x14ac:dyDescent="0.25">
      <c r="A1418" s="5">
        <v>45837</v>
      </c>
      <c r="B1418" s="7">
        <f>Table1[[#This Row],[TotalPrice]] * (1 - Table1[[#This Row],[Discount]])</f>
        <v>3471.879825</v>
      </c>
      <c r="C1418" s="7">
        <f>Table1[[#This Row],[Net Sales]] * 0.2</f>
        <v>694.37596500000006</v>
      </c>
      <c r="D1418" t="s">
        <v>23</v>
      </c>
      <c r="E1418" t="s">
        <v>29</v>
      </c>
      <c r="F1418">
        <v>9</v>
      </c>
      <c r="G1418">
        <v>533.92999999999995</v>
      </c>
      <c r="H1418" t="s">
        <v>34</v>
      </c>
      <c r="I1418" t="s">
        <v>36</v>
      </c>
      <c r="J1418" s="3">
        <v>0.15</v>
      </c>
      <c r="K1418" t="s">
        <v>39</v>
      </c>
      <c r="L1418">
        <v>4084.5645</v>
      </c>
      <c r="M1418" t="s">
        <v>44</v>
      </c>
      <c r="O1418">
        <v>0</v>
      </c>
      <c r="P1418" t="s">
        <v>1467</v>
      </c>
      <c r="Q1418" t="s">
        <v>2854</v>
      </c>
      <c r="R1418">
        <v>34.76</v>
      </c>
      <c r="S1418" s="5">
        <v>45837</v>
      </c>
      <c r="T1418" s="5">
        <v>45841</v>
      </c>
      <c r="U1418" t="s">
        <v>2926</v>
      </c>
    </row>
    <row r="1419" spans="1:21" x14ac:dyDescent="0.25">
      <c r="A1419" s="5">
        <v>45383</v>
      </c>
      <c r="B1419" s="7">
        <f>Table1[[#This Row],[TotalPrice]] * (1 - Table1[[#This Row],[Discount]])</f>
        <v>1368.4545000000001</v>
      </c>
      <c r="C1419" s="7">
        <f>Table1[[#This Row],[Net Sales]] * 0.2</f>
        <v>273.6909</v>
      </c>
      <c r="D1419" t="s">
        <v>23</v>
      </c>
      <c r="E1419" t="s">
        <v>26</v>
      </c>
      <c r="F1419">
        <v>7</v>
      </c>
      <c r="G1419">
        <v>241.35</v>
      </c>
      <c r="H1419" t="s">
        <v>31</v>
      </c>
      <c r="I1419" t="s">
        <v>35</v>
      </c>
      <c r="J1419" s="3">
        <v>0.1</v>
      </c>
      <c r="K1419" t="s">
        <v>41</v>
      </c>
      <c r="L1419">
        <v>1520.5050000000001</v>
      </c>
      <c r="M1419" t="s">
        <v>45</v>
      </c>
      <c r="N1419" t="s">
        <v>49</v>
      </c>
      <c r="O1419">
        <v>0</v>
      </c>
      <c r="P1419" t="s">
        <v>1468</v>
      </c>
      <c r="Q1419" t="s">
        <v>2855</v>
      </c>
      <c r="R1419">
        <v>42.43</v>
      </c>
      <c r="S1419" s="5">
        <v>45383</v>
      </c>
      <c r="T1419" s="5">
        <v>45392</v>
      </c>
      <c r="U1419" t="s">
        <v>2926</v>
      </c>
    </row>
    <row r="1420" spans="1:21" x14ac:dyDescent="0.25">
      <c r="A1420" s="5">
        <v>45447</v>
      </c>
      <c r="B1420" s="7">
        <f>Table1[[#This Row],[TotalPrice]] * (1 - Table1[[#This Row],[Discount]])</f>
        <v>1592.073175</v>
      </c>
      <c r="C1420" s="7">
        <f>Table1[[#This Row],[Net Sales]] * 0.2</f>
        <v>318.41463500000003</v>
      </c>
      <c r="D1420" t="s">
        <v>21</v>
      </c>
      <c r="E1420" t="s">
        <v>29</v>
      </c>
      <c r="F1420">
        <v>11</v>
      </c>
      <c r="G1420">
        <v>160.37</v>
      </c>
      <c r="H1420" t="s">
        <v>31</v>
      </c>
      <c r="I1420" t="s">
        <v>35</v>
      </c>
      <c r="J1420" s="3">
        <v>0.05</v>
      </c>
      <c r="K1420" t="s">
        <v>40</v>
      </c>
      <c r="L1420">
        <v>1675.8665000000001</v>
      </c>
      <c r="M1420" t="s">
        <v>47</v>
      </c>
      <c r="O1420">
        <v>0</v>
      </c>
      <c r="P1420" t="s">
        <v>1469</v>
      </c>
      <c r="Q1420" t="s">
        <v>2856</v>
      </c>
      <c r="R1420">
        <v>36.049999999999997</v>
      </c>
      <c r="S1420" s="5">
        <v>45447</v>
      </c>
      <c r="T1420" s="5">
        <v>45457</v>
      </c>
      <c r="U1420" t="s">
        <v>2924</v>
      </c>
    </row>
    <row r="1421" spans="1:21" x14ac:dyDescent="0.25">
      <c r="A1421" s="5">
        <v>45015</v>
      </c>
      <c r="B1421" s="7">
        <f>Table1[[#This Row],[TotalPrice]] * (1 - Table1[[#This Row],[Discount]])</f>
        <v>339.47100000000012</v>
      </c>
      <c r="C1421" s="7">
        <f>Table1[[#This Row],[Net Sales]] * 0.2</f>
        <v>67.894200000000026</v>
      </c>
      <c r="D1421" t="s">
        <v>19</v>
      </c>
      <c r="E1421" t="s">
        <v>29</v>
      </c>
      <c r="F1421">
        <v>1</v>
      </c>
      <c r="G1421">
        <v>419.1</v>
      </c>
      <c r="H1421" t="s">
        <v>31</v>
      </c>
      <c r="I1421" t="s">
        <v>35</v>
      </c>
      <c r="J1421" s="3">
        <v>0.1</v>
      </c>
      <c r="K1421" t="s">
        <v>40</v>
      </c>
      <c r="L1421">
        <v>377.19000000000011</v>
      </c>
      <c r="M1421" t="s">
        <v>44</v>
      </c>
      <c r="N1421" t="s">
        <v>49</v>
      </c>
      <c r="O1421">
        <v>1</v>
      </c>
      <c r="P1421" t="s">
        <v>1470</v>
      </c>
      <c r="Q1421" t="s">
        <v>2857</v>
      </c>
      <c r="R1421">
        <v>38.81</v>
      </c>
      <c r="S1421" s="5">
        <v>45015</v>
      </c>
      <c r="T1421" s="5">
        <v>45022</v>
      </c>
      <c r="U1421" t="s">
        <v>2922</v>
      </c>
    </row>
    <row r="1422" spans="1:21" x14ac:dyDescent="0.25">
      <c r="A1422" s="5">
        <v>45742</v>
      </c>
      <c r="B1422" s="7">
        <f>Table1[[#This Row],[TotalPrice]] * (1 - Table1[[#This Row],[Discount]])</f>
        <v>1302.9276</v>
      </c>
      <c r="C1422" s="7">
        <f>Table1[[#This Row],[Net Sales]] * 0.2</f>
        <v>260.58552000000003</v>
      </c>
      <c r="D1422" t="s">
        <v>19</v>
      </c>
      <c r="E1422" t="s">
        <v>24</v>
      </c>
      <c r="F1422">
        <v>13</v>
      </c>
      <c r="G1422">
        <v>138.72</v>
      </c>
      <c r="H1422" t="s">
        <v>34</v>
      </c>
      <c r="I1422" t="s">
        <v>35</v>
      </c>
      <c r="J1422" s="3">
        <v>0.15</v>
      </c>
      <c r="K1422" t="s">
        <v>40</v>
      </c>
      <c r="L1422">
        <v>1532.856</v>
      </c>
      <c r="M1422" t="s">
        <v>47</v>
      </c>
      <c r="N1422" t="s">
        <v>50</v>
      </c>
      <c r="O1422">
        <v>1</v>
      </c>
      <c r="P1422" t="s">
        <v>1471</v>
      </c>
      <c r="Q1422" t="s">
        <v>2858</v>
      </c>
      <c r="R1422">
        <v>17.89</v>
      </c>
      <c r="S1422" s="5">
        <v>45742</v>
      </c>
      <c r="T1422" s="5">
        <v>45744</v>
      </c>
      <c r="U1422" t="s">
        <v>2922</v>
      </c>
    </row>
    <row r="1423" spans="1:21" x14ac:dyDescent="0.25">
      <c r="A1423" s="5">
        <v>45160</v>
      </c>
      <c r="B1423" s="7">
        <f>Table1[[#This Row],[TotalPrice]] * (1 - Table1[[#This Row],[Discount]])</f>
        <v>3688.32</v>
      </c>
      <c r="C1423" s="7">
        <f>Table1[[#This Row],[Net Sales]] * 0.2</f>
        <v>737.6640000000001</v>
      </c>
      <c r="D1423" t="s">
        <v>23</v>
      </c>
      <c r="E1423" t="s">
        <v>28</v>
      </c>
      <c r="F1423">
        <v>8</v>
      </c>
      <c r="G1423">
        <v>461.04</v>
      </c>
      <c r="H1423" t="s">
        <v>31</v>
      </c>
      <c r="I1423" t="s">
        <v>36</v>
      </c>
      <c r="J1423" s="3">
        <v>0</v>
      </c>
      <c r="K1423" t="s">
        <v>38</v>
      </c>
      <c r="L1423">
        <v>3688.32</v>
      </c>
      <c r="M1423" t="s">
        <v>43</v>
      </c>
      <c r="N1423" t="s">
        <v>48</v>
      </c>
      <c r="O1423">
        <v>0</v>
      </c>
      <c r="P1423" t="s">
        <v>1472</v>
      </c>
      <c r="Q1423" t="s">
        <v>2859</v>
      </c>
      <c r="R1423">
        <v>13.62</v>
      </c>
      <c r="S1423" s="5">
        <v>45160</v>
      </c>
      <c r="T1423" s="5">
        <v>45162</v>
      </c>
      <c r="U1423" t="s">
        <v>2926</v>
      </c>
    </row>
    <row r="1424" spans="1:21" x14ac:dyDescent="0.25">
      <c r="A1424" s="5">
        <v>45398</v>
      </c>
      <c r="B1424" s="7">
        <f>Table1[[#This Row],[TotalPrice]] * (1 - Table1[[#This Row],[Discount]])</f>
        <v>2272.3636500000002</v>
      </c>
      <c r="C1424" s="7">
        <f>Table1[[#This Row],[Net Sales]] * 0.2</f>
        <v>454.47273000000007</v>
      </c>
      <c r="D1424" t="s">
        <v>20</v>
      </c>
      <c r="E1424" t="s">
        <v>25</v>
      </c>
      <c r="F1424">
        <v>6</v>
      </c>
      <c r="G1424">
        <v>524.19000000000005</v>
      </c>
      <c r="H1424" t="s">
        <v>34</v>
      </c>
      <c r="I1424" t="s">
        <v>36</v>
      </c>
      <c r="J1424" s="3">
        <v>0.15</v>
      </c>
      <c r="K1424" t="s">
        <v>39</v>
      </c>
      <c r="L1424">
        <v>2673.3690000000001</v>
      </c>
      <c r="M1424" t="s">
        <v>47</v>
      </c>
      <c r="N1424" t="s">
        <v>50</v>
      </c>
      <c r="O1424">
        <v>0</v>
      </c>
      <c r="P1424" t="s">
        <v>1473</v>
      </c>
      <c r="Q1424" t="s">
        <v>2128</v>
      </c>
      <c r="R1424">
        <v>31.04</v>
      </c>
      <c r="S1424" s="5">
        <v>45398</v>
      </c>
      <c r="T1424" s="5">
        <v>45402</v>
      </c>
      <c r="U1424" t="s">
        <v>2923</v>
      </c>
    </row>
    <row r="1425" spans="1:21" x14ac:dyDescent="0.25">
      <c r="A1425" s="5">
        <v>45788</v>
      </c>
      <c r="B1425" s="7">
        <f>Table1[[#This Row],[TotalPrice]] * (1 - Table1[[#This Row],[Discount]])</f>
        <v>3955.5215999999996</v>
      </c>
      <c r="C1425" s="7">
        <f>Table1[[#This Row],[Net Sales]] * 0.2</f>
        <v>791.10431999999992</v>
      </c>
      <c r="D1425" t="s">
        <v>22</v>
      </c>
      <c r="E1425" t="s">
        <v>27</v>
      </c>
      <c r="F1425">
        <v>16</v>
      </c>
      <c r="G1425">
        <v>305.20999999999998</v>
      </c>
      <c r="H1425" t="s">
        <v>32</v>
      </c>
      <c r="I1425" t="s">
        <v>35</v>
      </c>
      <c r="J1425" s="3">
        <v>0.1</v>
      </c>
      <c r="K1425" t="s">
        <v>38</v>
      </c>
      <c r="L1425">
        <v>4395.0239999999994</v>
      </c>
      <c r="M1425" t="s">
        <v>46</v>
      </c>
      <c r="N1425" t="s">
        <v>49</v>
      </c>
      <c r="O1425">
        <v>0</v>
      </c>
      <c r="P1425" t="s">
        <v>1474</v>
      </c>
      <c r="Q1425" t="s">
        <v>1910</v>
      </c>
      <c r="R1425">
        <v>33.369999999999997</v>
      </c>
      <c r="S1425" s="5">
        <v>45788</v>
      </c>
      <c r="T1425" s="5">
        <v>45796</v>
      </c>
      <c r="U1425" t="s">
        <v>2925</v>
      </c>
    </row>
    <row r="1426" spans="1:21" x14ac:dyDescent="0.25">
      <c r="A1426" s="5">
        <v>45271</v>
      </c>
      <c r="B1426" s="7">
        <f>Table1[[#This Row],[TotalPrice]] * (1 - Table1[[#This Row],[Discount]])</f>
        <v>7019.36</v>
      </c>
      <c r="C1426" s="7">
        <f>Table1[[#This Row],[Net Sales]] * 0.2</f>
        <v>1403.8720000000001</v>
      </c>
      <c r="D1426" t="s">
        <v>21</v>
      </c>
      <c r="E1426" t="s">
        <v>30</v>
      </c>
      <c r="F1426">
        <v>16</v>
      </c>
      <c r="G1426">
        <v>438.71</v>
      </c>
      <c r="H1426" t="s">
        <v>33</v>
      </c>
      <c r="I1426" t="s">
        <v>36</v>
      </c>
      <c r="J1426" s="3">
        <v>0</v>
      </c>
      <c r="K1426" t="s">
        <v>38</v>
      </c>
      <c r="L1426">
        <v>7019.36</v>
      </c>
      <c r="M1426" t="s">
        <v>43</v>
      </c>
      <c r="O1426">
        <v>0</v>
      </c>
      <c r="P1426" t="s">
        <v>1475</v>
      </c>
      <c r="Q1426" t="s">
        <v>2860</v>
      </c>
      <c r="R1426">
        <v>6.53</v>
      </c>
      <c r="S1426" s="5">
        <v>45271</v>
      </c>
      <c r="T1426" s="5">
        <v>45281</v>
      </c>
      <c r="U1426" t="s">
        <v>2924</v>
      </c>
    </row>
    <row r="1427" spans="1:21" x14ac:dyDescent="0.25">
      <c r="A1427" s="5">
        <v>44942</v>
      </c>
      <c r="B1427" s="7">
        <f>Table1[[#This Row],[TotalPrice]] * (1 - Table1[[#This Row],[Discount]])</f>
        <v>1571.076</v>
      </c>
      <c r="C1427" s="7">
        <f>Table1[[#This Row],[Net Sales]] * 0.2</f>
        <v>314.21520000000004</v>
      </c>
      <c r="D1427" t="s">
        <v>21</v>
      </c>
      <c r="E1427" t="s">
        <v>30</v>
      </c>
      <c r="F1427">
        <v>10</v>
      </c>
      <c r="G1427">
        <v>193.96</v>
      </c>
      <c r="H1427" t="s">
        <v>34</v>
      </c>
      <c r="I1427" t="s">
        <v>35</v>
      </c>
      <c r="J1427" s="3">
        <v>0.1</v>
      </c>
      <c r="K1427" t="s">
        <v>38</v>
      </c>
      <c r="L1427">
        <v>1745.64</v>
      </c>
      <c r="M1427" t="s">
        <v>44</v>
      </c>
      <c r="O1427">
        <v>0</v>
      </c>
      <c r="P1427" t="s">
        <v>1476</v>
      </c>
      <c r="Q1427" t="s">
        <v>2861</v>
      </c>
      <c r="R1427">
        <v>41.3</v>
      </c>
      <c r="S1427" s="5">
        <v>44942</v>
      </c>
      <c r="T1427" s="5">
        <v>44947</v>
      </c>
      <c r="U1427" t="s">
        <v>2924</v>
      </c>
    </row>
    <row r="1428" spans="1:21" x14ac:dyDescent="0.25">
      <c r="A1428" s="5">
        <v>45056</v>
      </c>
      <c r="B1428" s="7">
        <f>Table1[[#This Row],[TotalPrice]] * (1 - Table1[[#This Row],[Discount]])</f>
        <v>9428.9228999999978</v>
      </c>
      <c r="C1428" s="7">
        <f>Table1[[#This Row],[Net Sales]] * 0.2</f>
        <v>1885.7845799999996</v>
      </c>
      <c r="D1428" t="s">
        <v>19</v>
      </c>
      <c r="E1428" t="s">
        <v>25</v>
      </c>
      <c r="F1428">
        <v>18</v>
      </c>
      <c r="G1428">
        <v>580.41999999999996</v>
      </c>
      <c r="H1428" t="s">
        <v>32</v>
      </c>
      <c r="I1428" t="s">
        <v>35</v>
      </c>
      <c r="J1428" s="3">
        <v>0.05</v>
      </c>
      <c r="K1428" t="s">
        <v>42</v>
      </c>
      <c r="L1428">
        <v>9925.1819999999989</v>
      </c>
      <c r="M1428" t="s">
        <v>43</v>
      </c>
      <c r="N1428" t="s">
        <v>49</v>
      </c>
      <c r="O1428">
        <v>0</v>
      </c>
      <c r="P1428" t="s">
        <v>1477</v>
      </c>
      <c r="Q1428" t="s">
        <v>2862</v>
      </c>
      <c r="R1428">
        <v>37.81</v>
      </c>
      <c r="S1428" s="5">
        <v>45056</v>
      </c>
      <c r="T1428" s="5">
        <v>45063</v>
      </c>
      <c r="U1428" t="s">
        <v>2922</v>
      </c>
    </row>
    <row r="1429" spans="1:21" x14ac:dyDescent="0.25">
      <c r="A1429" s="5">
        <v>45465</v>
      </c>
      <c r="B1429" s="7">
        <f>Table1[[#This Row],[TotalPrice]] * (1 - Table1[[#This Row],[Discount]])</f>
        <v>1334.799</v>
      </c>
      <c r="C1429" s="7">
        <f>Table1[[#This Row],[Net Sales]] * 0.2</f>
        <v>266.95980000000003</v>
      </c>
      <c r="D1429" t="s">
        <v>22</v>
      </c>
      <c r="E1429" t="s">
        <v>28</v>
      </c>
      <c r="F1429">
        <v>18</v>
      </c>
      <c r="G1429">
        <v>91.55</v>
      </c>
      <c r="H1429" t="s">
        <v>33</v>
      </c>
      <c r="I1429" t="s">
        <v>36</v>
      </c>
      <c r="J1429" s="3">
        <v>0.1</v>
      </c>
      <c r="K1429" t="s">
        <v>38</v>
      </c>
      <c r="L1429">
        <v>1483.11</v>
      </c>
      <c r="M1429" t="s">
        <v>46</v>
      </c>
      <c r="N1429" t="s">
        <v>48</v>
      </c>
      <c r="O1429">
        <v>0</v>
      </c>
      <c r="P1429" t="s">
        <v>1478</v>
      </c>
      <c r="Q1429" t="s">
        <v>2863</v>
      </c>
      <c r="R1429">
        <v>32.54</v>
      </c>
      <c r="S1429" s="5">
        <v>45465</v>
      </c>
      <c r="T1429" s="5">
        <v>45472</v>
      </c>
      <c r="U1429" t="s">
        <v>2925</v>
      </c>
    </row>
    <row r="1430" spans="1:21" x14ac:dyDescent="0.25">
      <c r="A1430" s="5">
        <v>45745</v>
      </c>
      <c r="B1430" s="7">
        <f>Table1[[#This Row],[TotalPrice]] * (1 - Table1[[#This Row],[Discount]])</f>
        <v>1198.1034000000002</v>
      </c>
      <c r="C1430" s="7">
        <f>Table1[[#This Row],[Net Sales]] * 0.2</f>
        <v>239.62068000000005</v>
      </c>
      <c r="D1430" t="s">
        <v>23</v>
      </c>
      <c r="E1430" t="s">
        <v>29</v>
      </c>
      <c r="F1430">
        <v>13</v>
      </c>
      <c r="G1430">
        <v>113.78</v>
      </c>
      <c r="H1430" t="s">
        <v>33</v>
      </c>
      <c r="I1430" t="s">
        <v>35</v>
      </c>
      <c r="J1430" s="3">
        <v>0.1</v>
      </c>
      <c r="K1430" t="s">
        <v>37</v>
      </c>
      <c r="L1430">
        <v>1331.2260000000001</v>
      </c>
      <c r="M1430" t="s">
        <v>43</v>
      </c>
      <c r="N1430" t="s">
        <v>48</v>
      </c>
      <c r="O1430">
        <v>0</v>
      </c>
      <c r="P1430" t="s">
        <v>1479</v>
      </c>
      <c r="Q1430" t="s">
        <v>2864</v>
      </c>
      <c r="R1430">
        <v>28.07</v>
      </c>
      <c r="S1430" s="5">
        <v>45745</v>
      </c>
      <c r="T1430" s="5">
        <v>45754</v>
      </c>
      <c r="U1430" t="s">
        <v>2926</v>
      </c>
    </row>
    <row r="1431" spans="1:21" x14ac:dyDescent="0.25">
      <c r="A1431" s="5">
        <v>45034</v>
      </c>
      <c r="B1431" s="7">
        <f>Table1[[#This Row],[TotalPrice]] * (1 - Table1[[#This Row],[Discount]])</f>
        <v>7646.56</v>
      </c>
      <c r="C1431" s="7">
        <f>Table1[[#This Row],[Net Sales]] * 0.2</f>
        <v>1529.3120000000001</v>
      </c>
      <c r="D1431" t="s">
        <v>21</v>
      </c>
      <c r="E1431" t="s">
        <v>29</v>
      </c>
      <c r="F1431">
        <v>16</v>
      </c>
      <c r="G1431">
        <v>477.91</v>
      </c>
      <c r="H1431" t="s">
        <v>32</v>
      </c>
      <c r="I1431" t="s">
        <v>35</v>
      </c>
      <c r="J1431" s="3">
        <v>0</v>
      </c>
      <c r="K1431" t="s">
        <v>40</v>
      </c>
      <c r="L1431">
        <v>7646.56</v>
      </c>
      <c r="M1431" t="s">
        <v>45</v>
      </c>
      <c r="N1431" t="s">
        <v>50</v>
      </c>
      <c r="O1431">
        <v>0</v>
      </c>
      <c r="P1431" t="s">
        <v>1480</v>
      </c>
      <c r="Q1431" t="s">
        <v>2865</v>
      </c>
      <c r="R1431">
        <v>21.89</v>
      </c>
      <c r="S1431" s="5">
        <v>45034</v>
      </c>
      <c r="T1431" s="5">
        <v>45039</v>
      </c>
      <c r="U1431" t="s">
        <v>2924</v>
      </c>
    </row>
    <row r="1432" spans="1:21" x14ac:dyDescent="0.25">
      <c r="A1432" s="5">
        <v>44964</v>
      </c>
      <c r="B1432" s="7">
        <f>Table1[[#This Row],[TotalPrice]] * (1 - Table1[[#This Row],[Discount]])</f>
        <v>3474.4626000000003</v>
      </c>
      <c r="C1432" s="7">
        <f>Table1[[#This Row],[Net Sales]] * 0.2</f>
        <v>694.8925200000001</v>
      </c>
      <c r="D1432" t="s">
        <v>22</v>
      </c>
      <c r="E1432" t="s">
        <v>24</v>
      </c>
      <c r="F1432">
        <v>14</v>
      </c>
      <c r="G1432">
        <v>306.39</v>
      </c>
      <c r="H1432" t="s">
        <v>32</v>
      </c>
      <c r="I1432" t="s">
        <v>36</v>
      </c>
      <c r="J1432" s="3">
        <v>0.1</v>
      </c>
      <c r="K1432" t="s">
        <v>37</v>
      </c>
      <c r="L1432">
        <v>3860.5140000000001</v>
      </c>
      <c r="M1432" t="s">
        <v>47</v>
      </c>
      <c r="N1432" t="s">
        <v>50</v>
      </c>
      <c r="O1432">
        <v>0</v>
      </c>
      <c r="P1432" t="s">
        <v>1481</v>
      </c>
      <c r="Q1432" t="s">
        <v>2866</v>
      </c>
      <c r="R1432">
        <v>38.729999999999997</v>
      </c>
      <c r="S1432" s="5">
        <v>44964</v>
      </c>
      <c r="T1432" s="5">
        <v>44966</v>
      </c>
      <c r="U1432" t="s">
        <v>2925</v>
      </c>
    </row>
    <row r="1433" spans="1:21" x14ac:dyDescent="0.25">
      <c r="A1433" s="5">
        <v>45679</v>
      </c>
      <c r="B1433" s="7">
        <f>Table1[[#This Row],[TotalPrice]] * (1 - Table1[[#This Row],[Discount]])</f>
        <v>127.80302500000001</v>
      </c>
      <c r="C1433" s="7">
        <f>Table1[[#This Row],[Net Sales]] * 0.2</f>
        <v>25.560605000000002</v>
      </c>
      <c r="D1433" t="s">
        <v>19</v>
      </c>
      <c r="E1433" t="s">
        <v>29</v>
      </c>
      <c r="F1433">
        <v>17</v>
      </c>
      <c r="G1433">
        <v>8.33</v>
      </c>
      <c r="H1433" t="s">
        <v>32</v>
      </c>
      <c r="I1433" t="s">
        <v>36</v>
      </c>
      <c r="J1433" s="3">
        <v>0.05</v>
      </c>
      <c r="K1433" t="s">
        <v>37</v>
      </c>
      <c r="L1433">
        <v>134.52950000000001</v>
      </c>
      <c r="M1433" t="s">
        <v>47</v>
      </c>
      <c r="O1433">
        <v>0</v>
      </c>
      <c r="P1433" t="s">
        <v>1482</v>
      </c>
      <c r="Q1433" t="s">
        <v>2867</v>
      </c>
      <c r="R1433">
        <v>43.29</v>
      </c>
      <c r="S1433" s="5">
        <v>45679</v>
      </c>
      <c r="T1433" s="5">
        <v>45682</v>
      </c>
      <c r="U1433" t="s">
        <v>2922</v>
      </c>
    </row>
    <row r="1434" spans="1:21" x14ac:dyDescent="0.25">
      <c r="A1434" s="5">
        <v>45111</v>
      </c>
      <c r="B1434" s="7">
        <f>Table1[[#This Row],[TotalPrice]] * (1 - Table1[[#This Row],[Discount]])</f>
        <v>1878.2469000000001</v>
      </c>
      <c r="C1434" s="7">
        <f>Table1[[#This Row],[Net Sales]] * 0.2</f>
        <v>375.64938000000006</v>
      </c>
      <c r="D1434" t="s">
        <v>19</v>
      </c>
      <c r="E1434" t="s">
        <v>25</v>
      </c>
      <c r="F1434">
        <v>6</v>
      </c>
      <c r="G1434">
        <v>346.86</v>
      </c>
      <c r="H1434" t="s">
        <v>33</v>
      </c>
      <c r="I1434" t="s">
        <v>36</v>
      </c>
      <c r="J1434" s="3">
        <v>0.05</v>
      </c>
      <c r="K1434" t="s">
        <v>37</v>
      </c>
      <c r="L1434">
        <v>1977.1020000000001</v>
      </c>
      <c r="M1434" t="s">
        <v>44</v>
      </c>
      <c r="N1434" t="s">
        <v>48</v>
      </c>
      <c r="O1434">
        <v>0</v>
      </c>
      <c r="P1434" t="s">
        <v>1483</v>
      </c>
      <c r="Q1434" t="s">
        <v>2868</v>
      </c>
      <c r="R1434">
        <v>29.18</v>
      </c>
      <c r="S1434" s="5">
        <v>45111</v>
      </c>
      <c r="T1434" s="5">
        <v>45119</v>
      </c>
      <c r="U1434" t="s">
        <v>2922</v>
      </c>
    </row>
    <row r="1435" spans="1:21" x14ac:dyDescent="0.25">
      <c r="A1435" s="5">
        <v>45138</v>
      </c>
      <c r="B1435" s="7">
        <f>Table1[[#This Row],[TotalPrice]] * (1 - Table1[[#This Row],[Discount]])</f>
        <v>2531.7683999999999</v>
      </c>
      <c r="C1435" s="7">
        <f>Table1[[#This Row],[Net Sales]] * 0.2</f>
        <v>506.35368</v>
      </c>
      <c r="D1435" t="s">
        <v>22</v>
      </c>
      <c r="E1435" t="s">
        <v>26</v>
      </c>
      <c r="F1435">
        <v>14</v>
      </c>
      <c r="G1435">
        <v>223.26</v>
      </c>
      <c r="H1435" t="s">
        <v>31</v>
      </c>
      <c r="I1435" t="s">
        <v>35</v>
      </c>
      <c r="J1435" s="3">
        <v>0.1</v>
      </c>
      <c r="K1435" t="s">
        <v>38</v>
      </c>
      <c r="L1435">
        <v>2813.076</v>
      </c>
      <c r="M1435" t="s">
        <v>45</v>
      </c>
      <c r="N1435" t="s">
        <v>50</v>
      </c>
      <c r="O1435">
        <v>0</v>
      </c>
      <c r="P1435" t="s">
        <v>1484</v>
      </c>
      <c r="Q1435" t="s">
        <v>2869</v>
      </c>
      <c r="R1435">
        <v>12.88</v>
      </c>
      <c r="S1435" s="5">
        <v>45138</v>
      </c>
      <c r="T1435" s="5">
        <v>45141</v>
      </c>
      <c r="U1435" t="s">
        <v>2925</v>
      </c>
    </row>
    <row r="1436" spans="1:21" x14ac:dyDescent="0.25">
      <c r="A1436" s="5">
        <v>45036</v>
      </c>
      <c r="B1436" s="7">
        <f>Table1[[#This Row],[TotalPrice]] * (1 - Table1[[#This Row],[Discount]])</f>
        <v>3174.6</v>
      </c>
      <c r="C1436" s="7">
        <f>Table1[[#This Row],[Net Sales]] * 0.2</f>
        <v>634.92000000000007</v>
      </c>
      <c r="D1436" t="s">
        <v>21</v>
      </c>
      <c r="E1436" t="s">
        <v>26</v>
      </c>
      <c r="F1436">
        <v>6</v>
      </c>
      <c r="G1436">
        <v>529.1</v>
      </c>
      <c r="H1436" t="s">
        <v>34</v>
      </c>
      <c r="I1436" t="s">
        <v>35</v>
      </c>
      <c r="J1436" s="3">
        <v>0</v>
      </c>
      <c r="K1436" t="s">
        <v>37</v>
      </c>
      <c r="L1436">
        <v>3174.6</v>
      </c>
      <c r="M1436" t="s">
        <v>46</v>
      </c>
      <c r="N1436" t="s">
        <v>50</v>
      </c>
      <c r="O1436">
        <v>0</v>
      </c>
      <c r="P1436" t="s">
        <v>1485</v>
      </c>
      <c r="Q1436" t="s">
        <v>2870</v>
      </c>
      <c r="R1436">
        <v>5.13</v>
      </c>
      <c r="S1436" s="5">
        <v>45036</v>
      </c>
      <c r="T1436" s="5">
        <v>45043</v>
      </c>
      <c r="U1436" t="s">
        <v>2924</v>
      </c>
    </row>
    <row r="1437" spans="1:21" x14ac:dyDescent="0.25">
      <c r="A1437" s="5">
        <v>45573</v>
      </c>
      <c r="B1437" s="7">
        <f>Table1[[#This Row],[TotalPrice]] * (1 - Table1[[#This Row],[Discount]])</f>
        <v>867.29940000000011</v>
      </c>
      <c r="C1437" s="7">
        <f>Table1[[#This Row],[Net Sales]] * 0.2</f>
        <v>173.45988000000003</v>
      </c>
      <c r="D1437" t="s">
        <v>22</v>
      </c>
      <c r="E1437" t="s">
        <v>29</v>
      </c>
      <c r="F1437">
        <v>11</v>
      </c>
      <c r="G1437">
        <v>97.34</v>
      </c>
      <c r="H1437" t="s">
        <v>34</v>
      </c>
      <c r="I1437" t="s">
        <v>35</v>
      </c>
      <c r="J1437" s="3">
        <v>0.1</v>
      </c>
      <c r="K1437" t="s">
        <v>40</v>
      </c>
      <c r="L1437">
        <v>963.66600000000005</v>
      </c>
      <c r="M1437" t="s">
        <v>46</v>
      </c>
      <c r="N1437" t="s">
        <v>49</v>
      </c>
      <c r="O1437">
        <v>0</v>
      </c>
      <c r="P1437" t="s">
        <v>1486</v>
      </c>
      <c r="Q1437" t="s">
        <v>2871</v>
      </c>
      <c r="R1437">
        <v>10.61</v>
      </c>
      <c r="S1437" s="5">
        <v>45573</v>
      </c>
      <c r="T1437" s="5">
        <v>45576</v>
      </c>
      <c r="U1437" t="s">
        <v>2925</v>
      </c>
    </row>
    <row r="1438" spans="1:21" x14ac:dyDescent="0.25">
      <c r="A1438" s="5">
        <v>45316</v>
      </c>
      <c r="B1438" s="7">
        <f>Table1[[#This Row],[TotalPrice]] * (1 - Table1[[#This Row],[Discount]])</f>
        <v>3767.9499000000001</v>
      </c>
      <c r="C1438" s="7">
        <f>Table1[[#This Row],[Net Sales]] * 0.2</f>
        <v>753.58998000000008</v>
      </c>
      <c r="D1438" t="s">
        <v>19</v>
      </c>
      <c r="E1438" t="s">
        <v>27</v>
      </c>
      <c r="F1438">
        <v>11</v>
      </c>
      <c r="G1438">
        <v>422.89</v>
      </c>
      <c r="H1438" t="s">
        <v>31</v>
      </c>
      <c r="I1438" t="s">
        <v>36</v>
      </c>
      <c r="J1438" s="3">
        <v>0.1</v>
      </c>
      <c r="K1438" t="s">
        <v>39</v>
      </c>
      <c r="L1438">
        <v>4186.6109999999999</v>
      </c>
      <c r="M1438" t="s">
        <v>45</v>
      </c>
      <c r="N1438" t="s">
        <v>49</v>
      </c>
      <c r="O1438">
        <v>0</v>
      </c>
      <c r="P1438" t="s">
        <v>1487</v>
      </c>
      <c r="Q1438" t="s">
        <v>2872</v>
      </c>
      <c r="R1438">
        <v>45.89</v>
      </c>
      <c r="S1438" s="5">
        <v>45316</v>
      </c>
      <c r="T1438" s="5">
        <v>45318</v>
      </c>
      <c r="U1438" t="s">
        <v>2922</v>
      </c>
    </row>
    <row r="1439" spans="1:21" x14ac:dyDescent="0.25">
      <c r="A1439" s="5">
        <v>45642</v>
      </c>
      <c r="B1439" s="7">
        <f>Table1[[#This Row],[TotalPrice]] * (1 - Table1[[#This Row],[Discount]])</f>
        <v>2011.3837000000001</v>
      </c>
      <c r="C1439" s="7">
        <f>Table1[[#This Row],[Net Sales]] * 0.2</f>
        <v>402.27674000000002</v>
      </c>
      <c r="D1439" t="s">
        <v>20</v>
      </c>
      <c r="E1439" t="s">
        <v>28</v>
      </c>
      <c r="F1439">
        <v>4</v>
      </c>
      <c r="G1439">
        <v>557.16999999999996</v>
      </c>
      <c r="H1439" t="s">
        <v>33</v>
      </c>
      <c r="I1439" t="s">
        <v>35</v>
      </c>
      <c r="J1439" s="3">
        <v>0.05</v>
      </c>
      <c r="K1439" t="s">
        <v>39</v>
      </c>
      <c r="L1439">
        <v>2117.2460000000001</v>
      </c>
      <c r="M1439" t="s">
        <v>45</v>
      </c>
      <c r="O1439">
        <v>0</v>
      </c>
      <c r="P1439" t="s">
        <v>1488</v>
      </c>
      <c r="Q1439" t="s">
        <v>2873</v>
      </c>
      <c r="R1439">
        <v>32.159999999999997</v>
      </c>
      <c r="S1439" s="5">
        <v>45642</v>
      </c>
      <c r="T1439" s="5">
        <v>45651</v>
      </c>
      <c r="U1439" t="s">
        <v>2923</v>
      </c>
    </row>
    <row r="1440" spans="1:21" x14ac:dyDescent="0.25">
      <c r="A1440" s="5">
        <v>45589</v>
      </c>
      <c r="B1440" s="7">
        <f>Table1[[#This Row],[TotalPrice]] * (1 - Table1[[#This Row],[Discount]])</f>
        <v>3350.8485000000001</v>
      </c>
      <c r="C1440" s="7">
        <f>Table1[[#This Row],[Net Sales]] * 0.2</f>
        <v>670.16970000000003</v>
      </c>
      <c r="D1440" t="s">
        <v>22</v>
      </c>
      <c r="E1440" t="s">
        <v>30</v>
      </c>
      <c r="F1440">
        <v>9</v>
      </c>
      <c r="G1440">
        <v>459.65</v>
      </c>
      <c r="H1440" t="s">
        <v>31</v>
      </c>
      <c r="I1440" t="s">
        <v>36</v>
      </c>
      <c r="J1440" s="3">
        <v>0.1</v>
      </c>
      <c r="K1440" t="s">
        <v>42</v>
      </c>
      <c r="L1440">
        <v>3723.165</v>
      </c>
      <c r="M1440" t="s">
        <v>44</v>
      </c>
      <c r="N1440" t="s">
        <v>50</v>
      </c>
      <c r="O1440">
        <v>1</v>
      </c>
      <c r="P1440" t="s">
        <v>1489</v>
      </c>
      <c r="Q1440" t="s">
        <v>1561</v>
      </c>
      <c r="R1440">
        <v>22.24</v>
      </c>
      <c r="S1440" s="5">
        <v>45589</v>
      </c>
      <c r="T1440" s="5">
        <v>45597</v>
      </c>
      <c r="U1440" t="s">
        <v>2925</v>
      </c>
    </row>
    <row r="1441" spans="1:21" x14ac:dyDescent="0.25">
      <c r="A1441" s="5">
        <v>45246</v>
      </c>
      <c r="B1441" s="7">
        <f>Table1[[#This Row],[TotalPrice]] * (1 - Table1[[#This Row],[Discount]])</f>
        <v>3196.9079999999999</v>
      </c>
      <c r="C1441" s="7">
        <f>Table1[[#This Row],[Net Sales]] * 0.2</f>
        <v>639.38160000000005</v>
      </c>
      <c r="D1441" t="s">
        <v>23</v>
      </c>
      <c r="E1441" t="s">
        <v>28</v>
      </c>
      <c r="F1441">
        <v>8</v>
      </c>
      <c r="G1441">
        <v>493.35</v>
      </c>
      <c r="H1441" t="s">
        <v>32</v>
      </c>
      <c r="I1441" t="s">
        <v>36</v>
      </c>
      <c r="J1441" s="3">
        <v>0.1</v>
      </c>
      <c r="K1441" t="s">
        <v>38</v>
      </c>
      <c r="L1441">
        <v>3552.12</v>
      </c>
      <c r="M1441" t="s">
        <v>47</v>
      </c>
      <c r="N1441" t="s">
        <v>48</v>
      </c>
      <c r="O1441">
        <v>1</v>
      </c>
      <c r="P1441" t="s">
        <v>1490</v>
      </c>
      <c r="Q1441" t="s">
        <v>2874</v>
      </c>
      <c r="R1441">
        <v>12.86</v>
      </c>
      <c r="S1441" s="5">
        <v>45246</v>
      </c>
      <c r="T1441" s="5">
        <v>45250</v>
      </c>
      <c r="U1441" t="s">
        <v>2926</v>
      </c>
    </row>
    <row r="1442" spans="1:21" x14ac:dyDescent="0.25">
      <c r="A1442" s="5">
        <v>45382</v>
      </c>
      <c r="B1442" s="7">
        <f>Table1[[#This Row],[TotalPrice]] * (1 - Table1[[#This Row],[Discount]])</f>
        <v>5571.67</v>
      </c>
      <c r="C1442" s="7">
        <f>Table1[[#This Row],[Net Sales]] * 0.2</f>
        <v>1114.3340000000001</v>
      </c>
      <c r="D1442" t="s">
        <v>20</v>
      </c>
      <c r="E1442" t="s">
        <v>24</v>
      </c>
      <c r="F1442">
        <v>13</v>
      </c>
      <c r="G1442">
        <v>428.59</v>
      </c>
      <c r="H1442" t="s">
        <v>34</v>
      </c>
      <c r="I1442" t="s">
        <v>36</v>
      </c>
      <c r="J1442" s="3">
        <v>0</v>
      </c>
      <c r="K1442" t="s">
        <v>42</v>
      </c>
      <c r="L1442">
        <v>5571.67</v>
      </c>
      <c r="M1442" t="s">
        <v>47</v>
      </c>
      <c r="N1442" t="s">
        <v>48</v>
      </c>
      <c r="O1442">
        <v>0</v>
      </c>
      <c r="P1442" t="s">
        <v>1491</v>
      </c>
      <c r="Q1442" t="s">
        <v>2875</v>
      </c>
      <c r="R1442">
        <v>23.89</v>
      </c>
      <c r="S1442" s="5">
        <v>45382</v>
      </c>
      <c r="T1442" s="5">
        <v>45390</v>
      </c>
      <c r="U1442" t="s">
        <v>2923</v>
      </c>
    </row>
    <row r="1443" spans="1:21" x14ac:dyDescent="0.25">
      <c r="A1443" s="5">
        <v>44970</v>
      </c>
      <c r="B1443" s="7">
        <f>Table1[[#This Row],[TotalPrice]] * (1 - Table1[[#This Row],[Discount]])</f>
        <v>1529.529925</v>
      </c>
      <c r="C1443" s="7">
        <f>Table1[[#This Row],[Net Sales]] * 0.2</f>
        <v>305.90598500000004</v>
      </c>
      <c r="D1443" t="s">
        <v>19</v>
      </c>
      <c r="E1443" t="s">
        <v>24</v>
      </c>
      <c r="F1443">
        <v>7</v>
      </c>
      <c r="G1443">
        <v>242.11</v>
      </c>
      <c r="H1443" t="s">
        <v>33</v>
      </c>
      <c r="I1443" t="s">
        <v>35</v>
      </c>
      <c r="J1443" s="3">
        <v>0.05</v>
      </c>
      <c r="K1443" t="s">
        <v>37</v>
      </c>
      <c r="L1443">
        <v>1610.0315000000001</v>
      </c>
      <c r="M1443" t="s">
        <v>46</v>
      </c>
      <c r="N1443" t="s">
        <v>50</v>
      </c>
      <c r="O1443">
        <v>0</v>
      </c>
      <c r="P1443" t="s">
        <v>1492</v>
      </c>
      <c r="Q1443" t="s">
        <v>2375</v>
      </c>
      <c r="R1443">
        <v>47.19</v>
      </c>
      <c r="S1443" s="5">
        <v>44970</v>
      </c>
      <c r="T1443" s="5">
        <v>44975</v>
      </c>
      <c r="U1443" t="s">
        <v>2922</v>
      </c>
    </row>
    <row r="1444" spans="1:21" x14ac:dyDescent="0.25">
      <c r="A1444" s="5">
        <v>45189</v>
      </c>
      <c r="B1444" s="7">
        <f>Table1[[#This Row],[TotalPrice]] * (1 - Table1[[#This Row],[Discount]])</f>
        <v>7324.2026499999993</v>
      </c>
      <c r="C1444" s="7">
        <f>Table1[[#This Row],[Net Sales]] * 0.2</f>
        <v>1464.8405299999999</v>
      </c>
      <c r="D1444" t="s">
        <v>20</v>
      </c>
      <c r="E1444" t="s">
        <v>29</v>
      </c>
      <c r="F1444">
        <v>17</v>
      </c>
      <c r="G1444">
        <v>477.38</v>
      </c>
      <c r="H1444" t="s">
        <v>33</v>
      </c>
      <c r="I1444" t="s">
        <v>36</v>
      </c>
      <c r="J1444" s="3">
        <v>0.05</v>
      </c>
      <c r="K1444" t="s">
        <v>38</v>
      </c>
      <c r="L1444">
        <v>7709.6869999999999</v>
      </c>
      <c r="M1444" t="s">
        <v>44</v>
      </c>
      <c r="N1444" t="s">
        <v>48</v>
      </c>
      <c r="O1444">
        <v>0</v>
      </c>
      <c r="P1444" t="s">
        <v>1493</v>
      </c>
      <c r="Q1444" t="s">
        <v>2876</v>
      </c>
      <c r="R1444">
        <v>35.28</v>
      </c>
      <c r="S1444" s="5">
        <v>45189</v>
      </c>
      <c r="T1444" s="5">
        <v>45196</v>
      </c>
      <c r="U1444" t="s">
        <v>2923</v>
      </c>
    </row>
    <row r="1445" spans="1:21" x14ac:dyDescent="0.25">
      <c r="A1445" s="5">
        <v>45104</v>
      </c>
      <c r="B1445" s="7">
        <f>Table1[[#This Row],[TotalPrice]] * (1 - Table1[[#This Row],[Discount]])</f>
        <v>708.28200000000004</v>
      </c>
      <c r="C1445" s="7">
        <f>Table1[[#This Row],[Net Sales]] * 0.2</f>
        <v>141.65640000000002</v>
      </c>
      <c r="D1445" t="s">
        <v>20</v>
      </c>
      <c r="E1445" t="s">
        <v>27</v>
      </c>
      <c r="F1445">
        <v>3</v>
      </c>
      <c r="G1445">
        <v>261.60000000000002</v>
      </c>
      <c r="H1445" t="s">
        <v>34</v>
      </c>
      <c r="I1445" t="s">
        <v>36</v>
      </c>
      <c r="J1445" s="3">
        <v>0.05</v>
      </c>
      <c r="K1445" t="s">
        <v>41</v>
      </c>
      <c r="L1445">
        <v>745.56000000000006</v>
      </c>
      <c r="M1445" t="s">
        <v>47</v>
      </c>
      <c r="N1445" t="s">
        <v>50</v>
      </c>
      <c r="O1445">
        <v>0</v>
      </c>
      <c r="P1445" t="s">
        <v>1494</v>
      </c>
      <c r="Q1445" t="s">
        <v>2877</v>
      </c>
      <c r="R1445">
        <v>42.11</v>
      </c>
      <c r="S1445" s="5">
        <v>45104</v>
      </c>
      <c r="T1445" s="5">
        <v>45114</v>
      </c>
      <c r="U1445" t="s">
        <v>2923</v>
      </c>
    </row>
    <row r="1446" spans="1:21" x14ac:dyDescent="0.25">
      <c r="A1446" s="5">
        <v>45749</v>
      </c>
      <c r="B1446" s="7">
        <f>Table1[[#This Row],[TotalPrice]] * (1 - Table1[[#This Row],[Discount]])</f>
        <v>2253.723</v>
      </c>
      <c r="C1446" s="7">
        <f>Table1[[#This Row],[Net Sales]] * 0.2</f>
        <v>450.74459999999999</v>
      </c>
      <c r="D1446" t="s">
        <v>22</v>
      </c>
      <c r="E1446" t="s">
        <v>24</v>
      </c>
      <c r="F1446">
        <v>6</v>
      </c>
      <c r="G1446">
        <v>416.2</v>
      </c>
      <c r="H1446" t="s">
        <v>32</v>
      </c>
      <c r="I1446" t="s">
        <v>35</v>
      </c>
      <c r="J1446" s="3">
        <v>0.05</v>
      </c>
      <c r="K1446" t="s">
        <v>38</v>
      </c>
      <c r="L1446">
        <v>2372.34</v>
      </c>
      <c r="M1446" t="s">
        <v>47</v>
      </c>
      <c r="N1446" t="s">
        <v>50</v>
      </c>
      <c r="O1446">
        <v>1</v>
      </c>
      <c r="P1446" t="s">
        <v>1495</v>
      </c>
      <c r="Q1446" t="s">
        <v>2878</v>
      </c>
      <c r="R1446">
        <v>44.14</v>
      </c>
      <c r="S1446" s="5">
        <v>45749</v>
      </c>
      <c r="T1446" s="5">
        <v>45753</v>
      </c>
      <c r="U1446" t="s">
        <v>2925</v>
      </c>
    </row>
    <row r="1447" spans="1:21" x14ac:dyDescent="0.25">
      <c r="A1447" s="5">
        <v>45763</v>
      </c>
      <c r="B1447" s="7">
        <f>Table1[[#This Row],[TotalPrice]] * (1 - Table1[[#This Row],[Discount]])</f>
        <v>1494.9</v>
      </c>
      <c r="C1447" s="7">
        <f>Table1[[#This Row],[Net Sales]] * 0.2</f>
        <v>298.98</v>
      </c>
      <c r="D1447" t="s">
        <v>21</v>
      </c>
      <c r="E1447" t="s">
        <v>30</v>
      </c>
      <c r="F1447">
        <v>15</v>
      </c>
      <c r="G1447">
        <v>99.66</v>
      </c>
      <c r="H1447" t="s">
        <v>32</v>
      </c>
      <c r="I1447" t="s">
        <v>35</v>
      </c>
      <c r="J1447" s="3">
        <v>0</v>
      </c>
      <c r="K1447" t="s">
        <v>37</v>
      </c>
      <c r="L1447">
        <v>1494.9</v>
      </c>
      <c r="M1447" t="s">
        <v>47</v>
      </c>
      <c r="N1447" t="s">
        <v>48</v>
      </c>
      <c r="O1447">
        <v>0</v>
      </c>
      <c r="P1447" t="s">
        <v>1496</v>
      </c>
      <c r="Q1447" t="s">
        <v>2879</v>
      </c>
      <c r="R1447">
        <v>27.55</v>
      </c>
      <c r="S1447" s="5">
        <v>45763</v>
      </c>
      <c r="T1447" s="5">
        <v>45773</v>
      </c>
      <c r="U1447" t="s">
        <v>2924</v>
      </c>
    </row>
    <row r="1448" spans="1:21" x14ac:dyDescent="0.25">
      <c r="A1448" s="5">
        <v>45482</v>
      </c>
      <c r="B1448" s="7">
        <f>Table1[[#This Row],[TotalPrice]] * (1 - Table1[[#This Row],[Discount]])</f>
        <v>642.27359999999999</v>
      </c>
      <c r="C1448" s="7">
        <f>Table1[[#This Row],[Net Sales]] * 0.2</f>
        <v>128.45472000000001</v>
      </c>
      <c r="D1448" t="s">
        <v>22</v>
      </c>
      <c r="E1448" t="s">
        <v>24</v>
      </c>
      <c r="F1448">
        <v>16</v>
      </c>
      <c r="G1448">
        <v>55.56</v>
      </c>
      <c r="H1448" t="s">
        <v>34</v>
      </c>
      <c r="I1448" t="s">
        <v>35</v>
      </c>
      <c r="J1448" s="3">
        <v>0.15</v>
      </c>
      <c r="K1448" t="s">
        <v>39</v>
      </c>
      <c r="L1448">
        <v>755.61599999999999</v>
      </c>
      <c r="M1448" t="s">
        <v>47</v>
      </c>
      <c r="O1448">
        <v>1</v>
      </c>
      <c r="P1448" t="s">
        <v>1497</v>
      </c>
      <c r="Q1448" t="s">
        <v>2880</v>
      </c>
      <c r="R1448">
        <v>17.809999999999999</v>
      </c>
      <c r="S1448" s="5">
        <v>45482</v>
      </c>
      <c r="T1448" s="5">
        <v>45490</v>
      </c>
      <c r="U1448" t="s">
        <v>2925</v>
      </c>
    </row>
    <row r="1449" spans="1:21" x14ac:dyDescent="0.25">
      <c r="A1449" s="5">
        <v>45831</v>
      </c>
      <c r="B1449" s="7">
        <f>Table1[[#This Row],[TotalPrice]] * (1 - Table1[[#This Row],[Discount]])</f>
        <v>4394.633499999999</v>
      </c>
      <c r="C1449" s="7">
        <f>Table1[[#This Row],[Net Sales]] * 0.2</f>
        <v>878.92669999999987</v>
      </c>
      <c r="D1449" t="s">
        <v>19</v>
      </c>
      <c r="E1449" t="s">
        <v>25</v>
      </c>
      <c r="F1449">
        <v>20</v>
      </c>
      <c r="G1449">
        <v>243.47</v>
      </c>
      <c r="H1449" t="s">
        <v>32</v>
      </c>
      <c r="I1449" t="s">
        <v>35</v>
      </c>
      <c r="J1449" s="3">
        <v>0.05</v>
      </c>
      <c r="K1449" t="s">
        <v>38</v>
      </c>
      <c r="L1449">
        <v>4625.9299999999994</v>
      </c>
      <c r="M1449" t="s">
        <v>44</v>
      </c>
      <c r="N1449" t="s">
        <v>48</v>
      </c>
      <c r="O1449">
        <v>1</v>
      </c>
      <c r="P1449" t="s">
        <v>1498</v>
      </c>
      <c r="Q1449" t="s">
        <v>2747</v>
      </c>
      <c r="R1449">
        <v>32.28</v>
      </c>
      <c r="S1449" s="5">
        <v>45831</v>
      </c>
      <c r="T1449" s="5">
        <v>45841</v>
      </c>
      <c r="U1449" t="s">
        <v>2922</v>
      </c>
    </row>
    <row r="1450" spans="1:21" x14ac:dyDescent="0.25">
      <c r="A1450" s="5">
        <v>45452</v>
      </c>
      <c r="B1450" s="7">
        <f>Table1[[#This Row],[TotalPrice]] * (1 - Table1[[#This Row],[Discount]])</f>
        <v>1653.6069</v>
      </c>
      <c r="C1450" s="7">
        <f>Table1[[#This Row],[Net Sales]] * 0.2</f>
        <v>330.72138000000001</v>
      </c>
      <c r="D1450" t="s">
        <v>19</v>
      </c>
      <c r="E1450" t="s">
        <v>29</v>
      </c>
      <c r="F1450">
        <v>11</v>
      </c>
      <c r="G1450">
        <v>185.59</v>
      </c>
      <c r="H1450" t="s">
        <v>31</v>
      </c>
      <c r="I1450" t="s">
        <v>36</v>
      </c>
      <c r="J1450" s="3">
        <v>0.1</v>
      </c>
      <c r="K1450" t="s">
        <v>40</v>
      </c>
      <c r="L1450">
        <v>1837.3409999999999</v>
      </c>
      <c r="M1450" t="s">
        <v>44</v>
      </c>
      <c r="O1450">
        <v>0</v>
      </c>
      <c r="P1450" t="s">
        <v>1499</v>
      </c>
      <c r="Q1450" t="s">
        <v>2327</v>
      </c>
      <c r="R1450">
        <v>45.19</v>
      </c>
      <c r="S1450" s="5">
        <v>45452</v>
      </c>
      <c r="T1450" s="5">
        <v>45461</v>
      </c>
      <c r="U1450" t="s">
        <v>2922</v>
      </c>
    </row>
    <row r="1451" spans="1:21" x14ac:dyDescent="0.25">
      <c r="A1451" s="5">
        <v>45261</v>
      </c>
      <c r="B1451" s="7">
        <f>Table1[[#This Row],[TotalPrice]] * (1 - Table1[[#This Row],[Discount]])</f>
        <v>3448.6149500000001</v>
      </c>
      <c r="C1451" s="7">
        <f>Table1[[#This Row],[Net Sales]] * 0.2</f>
        <v>689.7229900000001</v>
      </c>
      <c r="D1451" t="s">
        <v>22</v>
      </c>
      <c r="E1451" t="s">
        <v>26</v>
      </c>
      <c r="F1451">
        <v>11</v>
      </c>
      <c r="G1451">
        <v>347.38</v>
      </c>
      <c r="H1451" t="s">
        <v>33</v>
      </c>
      <c r="I1451" t="s">
        <v>35</v>
      </c>
      <c r="J1451" s="3">
        <v>0.05</v>
      </c>
      <c r="K1451" t="s">
        <v>37</v>
      </c>
      <c r="L1451">
        <v>3630.1210000000001</v>
      </c>
      <c r="M1451" t="s">
        <v>45</v>
      </c>
      <c r="N1451" t="s">
        <v>48</v>
      </c>
      <c r="O1451">
        <v>0</v>
      </c>
      <c r="P1451" t="s">
        <v>1500</v>
      </c>
      <c r="Q1451" t="s">
        <v>2881</v>
      </c>
      <c r="R1451">
        <v>24.8</v>
      </c>
      <c r="S1451" s="5">
        <v>45261</v>
      </c>
      <c r="T1451" s="5">
        <v>45263</v>
      </c>
      <c r="U1451" t="s">
        <v>2925</v>
      </c>
    </row>
    <row r="1452" spans="1:21" x14ac:dyDescent="0.25">
      <c r="A1452" s="5">
        <v>45497</v>
      </c>
      <c r="B1452" s="7">
        <f>Table1[[#This Row],[TotalPrice]] * (1 - Table1[[#This Row],[Discount]])</f>
        <v>4305.3311249999997</v>
      </c>
      <c r="C1452" s="7">
        <f>Table1[[#This Row],[Net Sales]] * 0.2</f>
        <v>861.06622500000003</v>
      </c>
      <c r="D1452" t="s">
        <v>23</v>
      </c>
      <c r="E1452" t="s">
        <v>29</v>
      </c>
      <c r="F1452">
        <v>15</v>
      </c>
      <c r="G1452">
        <v>318.02999999999997</v>
      </c>
      <c r="H1452" t="s">
        <v>34</v>
      </c>
      <c r="I1452" t="s">
        <v>36</v>
      </c>
      <c r="J1452" s="3">
        <v>0.05</v>
      </c>
      <c r="K1452" t="s">
        <v>41</v>
      </c>
      <c r="L1452">
        <v>4531.9274999999998</v>
      </c>
      <c r="M1452" t="s">
        <v>44</v>
      </c>
      <c r="N1452" t="s">
        <v>50</v>
      </c>
      <c r="O1452">
        <v>1</v>
      </c>
      <c r="P1452" t="s">
        <v>1501</v>
      </c>
      <c r="Q1452" t="s">
        <v>2882</v>
      </c>
      <c r="R1452">
        <v>24.38</v>
      </c>
      <c r="S1452" s="5">
        <v>45497</v>
      </c>
      <c r="T1452" s="5">
        <v>45503</v>
      </c>
      <c r="U1452" t="s">
        <v>2926</v>
      </c>
    </row>
    <row r="1453" spans="1:21" x14ac:dyDescent="0.25">
      <c r="A1453" s="5">
        <v>45028</v>
      </c>
      <c r="B1453" s="7">
        <f>Table1[[#This Row],[TotalPrice]] * (1 - Table1[[#This Row],[Discount]])</f>
        <v>2626.4681249999999</v>
      </c>
      <c r="C1453" s="7">
        <f>Table1[[#This Row],[Net Sales]] * 0.2</f>
        <v>525.29362500000002</v>
      </c>
      <c r="D1453" t="s">
        <v>23</v>
      </c>
      <c r="E1453" t="s">
        <v>27</v>
      </c>
      <c r="F1453">
        <v>15</v>
      </c>
      <c r="G1453">
        <v>242.35</v>
      </c>
      <c r="H1453" t="s">
        <v>34</v>
      </c>
      <c r="I1453" t="s">
        <v>35</v>
      </c>
      <c r="J1453" s="3">
        <v>0.15</v>
      </c>
      <c r="K1453" t="s">
        <v>41</v>
      </c>
      <c r="L1453">
        <v>3089.9625000000001</v>
      </c>
      <c r="M1453" t="s">
        <v>47</v>
      </c>
      <c r="N1453" t="s">
        <v>50</v>
      </c>
      <c r="O1453">
        <v>1</v>
      </c>
      <c r="P1453" t="s">
        <v>1502</v>
      </c>
      <c r="Q1453" t="s">
        <v>2508</v>
      </c>
      <c r="R1453">
        <v>14.92</v>
      </c>
      <c r="S1453" s="5">
        <v>45028</v>
      </c>
      <c r="T1453" s="5">
        <v>45035</v>
      </c>
      <c r="U1453" t="s">
        <v>2926</v>
      </c>
    </row>
    <row r="1454" spans="1:21" x14ac:dyDescent="0.25">
      <c r="A1454" s="5">
        <v>45643</v>
      </c>
      <c r="B1454" s="7">
        <f>Table1[[#This Row],[TotalPrice]] * (1 - Table1[[#This Row],[Discount]])</f>
        <v>177.93007499999999</v>
      </c>
      <c r="C1454" s="7">
        <f>Table1[[#This Row],[Net Sales]] * 0.2</f>
        <v>35.586014999999996</v>
      </c>
      <c r="D1454" t="s">
        <v>21</v>
      </c>
      <c r="E1454" t="s">
        <v>26</v>
      </c>
      <c r="F1454">
        <v>3</v>
      </c>
      <c r="G1454">
        <v>82.09</v>
      </c>
      <c r="H1454" t="s">
        <v>31</v>
      </c>
      <c r="I1454" t="s">
        <v>36</v>
      </c>
      <c r="J1454" s="3">
        <v>0.15</v>
      </c>
      <c r="K1454" t="s">
        <v>37</v>
      </c>
      <c r="L1454">
        <v>209.3295</v>
      </c>
      <c r="M1454" t="s">
        <v>44</v>
      </c>
      <c r="N1454" t="s">
        <v>50</v>
      </c>
      <c r="O1454">
        <v>1</v>
      </c>
      <c r="P1454" t="s">
        <v>1503</v>
      </c>
      <c r="Q1454" t="s">
        <v>2883</v>
      </c>
      <c r="R1454">
        <v>12.63</v>
      </c>
      <c r="S1454" s="5">
        <v>45643</v>
      </c>
      <c r="T1454" s="5">
        <v>45652</v>
      </c>
      <c r="U1454" t="s">
        <v>2924</v>
      </c>
    </row>
    <row r="1455" spans="1:21" x14ac:dyDescent="0.25">
      <c r="A1455" s="5">
        <v>45512</v>
      </c>
      <c r="B1455" s="7">
        <f>Table1[[#This Row],[TotalPrice]] * (1 - Table1[[#This Row],[Discount]])</f>
        <v>2064.3992499999999</v>
      </c>
      <c r="C1455" s="7">
        <f>Table1[[#This Row],[Net Sales]] * 0.2</f>
        <v>412.87985000000003</v>
      </c>
      <c r="D1455" t="s">
        <v>20</v>
      </c>
      <c r="E1455" t="s">
        <v>28</v>
      </c>
      <c r="F1455">
        <v>10</v>
      </c>
      <c r="G1455">
        <v>285.73</v>
      </c>
      <c r="H1455" t="s">
        <v>34</v>
      </c>
      <c r="I1455" t="s">
        <v>35</v>
      </c>
      <c r="J1455" s="3">
        <v>0.15</v>
      </c>
      <c r="K1455" t="s">
        <v>37</v>
      </c>
      <c r="L1455">
        <v>2428.7049999999999</v>
      </c>
      <c r="M1455" t="s">
        <v>47</v>
      </c>
      <c r="N1455" t="s">
        <v>50</v>
      </c>
      <c r="O1455">
        <v>1</v>
      </c>
      <c r="P1455" t="s">
        <v>1504</v>
      </c>
      <c r="Q1455" t="s">
        <v>2884</v>
      </c>
      <c r="R1455">
        <v>26.68</v>
      </c>
      <c r="S1455" s="5">
        <v>45512</v>
      </c>
      <c r="T1455" s="5">
        <v>45518</v>
      </c>
      <c r="U1455" t="s">
        <v>2923</v>
      </c>
    </row>
    <row r="1456" spans="1:21" x14ac:dyDescent="0.25">
      <c r="A1456" s="5">
        <v>45550</v>
      </c>
      <c r="B1456" s="7">
        <f>Table1[[#This Row],[TotalPrice]] * (1 - Table1[[#This Row],[Discount]])</f>
        <v>4702.7304000000004</v>
      </c>
      <c r="C1456" s="7">
        <f>Table1[[#This Row],[Net Sales]] * 0.2</f>
        <v>940.54608000000007</v>
      </c>
      <c r="D1456" t="s">
        <v>19</v>
      </c>
      <c r="E1456" t="s">
        <v>24</v>
      </c>
      <c r="F1456">
        <v>17</v>
      </c>
      <c r="G1456">
        <v>341.52</v>
      </c>
      <c r="H1456" t="s">
        <v>33</v>
      </c>
      <c r="I1456" t="s">
        <v>35</v>
      </c>
      <c r="J1456" s="3">
        <v>0.1</v>
      </c>
      <c r="K1456" t="s">
        <v>37</v>
      </c>
      <c r="L1456">
        <v>5225.2560000000003</v>
      </c>
      <c r="M1456" t="s">
        <v>45</v>
      </c>
      <c r="N1456" t="s">
        <v>48</v>
      </c>
      <c r="O1456">
        <v>0</v>
      </c>
      <c r="P1456" t="s">
        <v>1505</v>
      </c>
      <c r="Q1456" t="s">
        <v>2719</v>
      </c>
      <c r="R1456">
        <v>16.670000000000002</v>
      </c>
      <c r="S1456" s="5">
        <v>45550</v>
      </c>
      <c r="T1456" s="5">
        <v>45557</v>
      </c>
      <c r="U1456" t="s">
        <v>2922</v>
      </c>
    </row>
    <row r="1457" spans="1:21" x14ac:dyDescent="0.25">
      <c r="A1457" s="5">
        <v>45207</v>
      </c>
      <c r="B1457" s="7">
        <f>Table1[[#This Row],[TotalPrice]] * (1 - Table1[[#This Row],[Discount]])</f>
        <v>2453.9760000000001</v>
      </c>
      <c r="C1457" s="7">
        <f>Table1[[#This Row],[Net Sales]] * 0.2</f>
        <v>490.79520000000002</v>
      </c>
      <c r="D1457" t="s">
        <v>20</v>
      </c>
      <c r="E1457" t="s">
        <v>29</v>
      </c>
      <c r="F1457">
        <v>14</v>
      </c>
      <c r="G1457">
        <v>216.4</v>
      </c>
      <c r="H1457" t="s">
        <v>34</v>
      </c>
      <c r="I1457" t="s">
        <v>35</v>
      </c>
      <c r="J1457" s="3">
        <v>0.1</v>
      </c>
      <c r="K1457" t="s">
        <v>41</v>
      </c>
      <c r="L1457">
        <v>2726.64</v>
      </c>
      <c r="M1457" t="s">
        <v>46</v>
      </c>
      <c r="N1457" t="s">
        <v>50</v>
      </c>
      <c r="O1457">
        <v>0</v>
      </c>
      <c r="P1457" t="s">
        <v>1506</v>
      </c>
      <c r="Q1457" t="s">
        <v>2817</v>
      </c>
      <c r="R1457">
        <v>40.74</v>
      </c>
      <c r="S1457" s="5">
        <v>45207</v>
      </c>
      <c r="T1457" s="5">
        <v>45209</v>
      </c>
      <c r="U1457" t="s">
        <v>2923</v>
      </c>
    </row>
    <row r="1458" spans="1:21" x14ac:dyDescent="0.25">
      <c r="A1458" s="5">
        <v>45800</v>
      </c>
      <c r="B1458" s="7">
        <f>Table1[[#This Row],[TotalPrice]] * (1 - Table1[[#This Row],[Discount]])</f>
        <v>2679.1455999999998</v>
      </c>
      <c r="C1458" s="7">
        <f>Table1[[#This Row],[Net Sales]] * 0.2</f>
        <v>535.82911999999999</v>
      </c>
      <c r="D1458" t="s">
        <v>20</v>
      </c>
      <c r="E1458" t="s">
        <v>25</v>
      </c>
      <c r="F1458">
        <v>16</v>
      </c>
      <c r="G1458">
        <v>231.76</v>
      </c>
      <c r="H1458" t="s">
        <v>31</v>
      </c>
      <c r="I1458" t="s">
        <v>36</v>
      </c>
      <c r="J1458" s="3">
        <v>0.15</v>
      </c>
      <c r="K1458" t="s">
        <v>42</v>
      </c>
      <c r="L1458">
        <v>3151.9360000000001</v>
      </c>
      <c r="M1458" t="s">
        <v>43</v>
      </c>
      <c r="N1458" t="s">
        <v>50</v>
      </c>
      <c r="O1458">
        <v>1</v>
      </c>
      <c r="P1458" t="s">
        <v>1507</v>
      </c>
      <c r="Q1458" t="s">
        <v>2885</v>
      </c>
      <c r="R1458">
        <v>9.42</v>
      </c>
      <c r="S1458" s="5">
        <v>45800</v>
      </c>
      <c r="T1458" s="5">
        <v>45804</v>
      </c>
      <c r="U1458" t="s">
        <v>2923</v>
      </c>
    </row>
    <row r="1459" spans="1:21" x14ac:dyDescent="0.25">
      <c r="A1459" s="5">
        <v>44928</v>
      </c>
      <c r="B1459" s="7">
        <f>Table1[[#This Row],[TotalPrice]] * (1 - Table1[[#This Row],[Discount]])</f>
        <v>310.884525</v>
      </c>
      <c r="C1459" s="7">
        <f>Table1[[#This Row],[Net Sales]] * 0.2</f>
        <v>62.176905000000005</v>
      </c>
      <c r="D1459" t="s">
        <v>20</v>
      </c>
      <c r="E1459" t="s">
        <v>24</v>
      </c>
      <c r="F1459">
        <v>7</v>
      </c>
      <c r="G1459">
        <v>61.47</v>
      </c>
      <c r="H1459" t="s">
        <v>33</v>
      </c>
      <c r="I1459" t="s">
        <v>36</v>
      </c>
      <c r="J1459" s="3">
        <v>0.15</v>
      </c>
      <c r="K1459" t="s">
        <v>37</v>
      </c>
      <c r="L1459">
        <v>365.74650000000003</v>
      </c>
      <c r="M1459" t="s">
        <v>43</v>
      </c>
      <c r="N1459" t="s">
        <v>48</v>
      </c>
      <c r="O1459">
        <v>0</v>
      </c>
      <c r="P1459" t="s">
        <v>1508</v>
      </c>
      <c r="Q1459" t="s">
        <v>2886</v>
      </c>
      <c r="R1459">
        <v>14.44</v>
      </c>
      <c r="S1459" s="5">
        <v>44928</v>
      </c>
      <c r="T1459" s="5">
        <v>44938</v>
      </c>
      <c r="U1459" t="s">
        <v>2923</v>
      </c>
    </row>
    <row r="1460" spans="1:21" x14ac:dyDescent="0.25">
      <c r="A1460" s="5">
        <v>45218</v>
      </c>
      <c r="B1460" s="7">
        <f>Table1[[#This Row],[TotalPrice]] * (1 - Table1[[#This Row],[Discount]])</f>
        <v>6516.6</v>
      </c>
      <c r="C1460" s="7">
        <f>Table1[[#This Row],[Net Sales]] * 0.2</f>
        <v>1303.3200000000002</v>
      </c>
      <c r="D1460" t="s">
        <v>21</v>
      </c>
      <c r="E1460" t="s">
        <v>26</v>
      </c>
      <c r="F1460">
        <v>15</v>
      </c>
      <c r="G1460">
        <v>434.44</v>
      </c>
      <c r="H1460" t="s">
        <v>31</v>
      </c>
      <c r="I1460" t="s">
        <v>35</v>
      </c>
      <c r="J1460" s="3">
        <v>0</v>
      </c>
      <c r="K1460" t="s">
        <v>42</v>
      </c>
      <c r="L1460">
        <v>6516.6</v>
      </c>
      <c r="M1460" t="s">
        <v>46</v>
      </c>
      <c r="O1460">
        <v>1</v>
      </c>
      <c r="P1460" t="s">
        <v>1509</v>
      </c>
      <c r="Q1460" t="s">
        <v>2887</v>
      </c>
      <c r="R1460">
        <v>33.86</v>
      </c>
      <c r="S1460" s="5">
        <v>45218</v>
      </c>
      <c r="T1460" s="5">
        <v>45227</v>
      </c>
      <c r="U1460" t="s">
        <v>2924</v>
      </c>
    </row>
    <row r="1461" spans="1:21" x14ac:dyDescent="0.25">
      <c r="A1461" s="5">
        <v>45772</v>
      </c>
      <c r="B1461" s="7">
        <f>Table1[[#This Row],[TotalPrice]] * (1 - Table1[[#This Row],[Discount]])</f>
        <v>7744.16</v>
      </c>
      <c r="C1461" s="7">
        <f>Table1[[#This Row],[Net Sales]] * 0.2</f>
        <v>1548.8320000000001</v>
      </c>
      <c r="D1461" t="s">
        <v>23</v>
      </c>
      <c r="E1461" t="s">
        <v>27</v>
      </c>
      <c r="F1461">
        <v>16</v>
      </c>
      <c r="G1461">
        <v>484.01</v>
      </c>
      <c r="H1461" t="s">
        <v>32</v>
      </c>
      <c r="I1461" t="s">
        <v>35</v>
      </c>
      <c r="J1461" s="3">
        <v>0</v>
      </c>
      <c r="K1461" t="s">
        <v>38</v>
      </c>
      <c r="L1461">
        <v>7744.16</v>
      </c>
      <c r="M1461" t="s">
        <v>43</v>
      </c>
      <c r="N1461" t="s">
        <v>49</v>
      </c>
      <c r="O1461">
        <v>1</v>
      </c>
      <c r="P1461" t="s">
        <v>1510</v>
      </c>
      <c r="Q1461" t="s">
        <v>2888</v>
      </c>
      <c r="R1461">
        <v>9.65</v>
      </c>
      <c r="S1461" s="5">
        <v>45772</v>
      </c>
      <c r="T1461" s="5">
        <v>45778</v>
      </c>
      <c r="U1461" t="s">
        <v>2926</v>
      </c>
    </row>
    <row r="1462" spans="1:21" x14ac:dyDescent="0.25">
      <c r="A1462" s="5">
        <v>45382</v>
      </c>
      <c r="B1462" s="7">
        <f>Table1[[#This Row],[TotalPrice]] * (1 - Table1[[#This Row],[Discount]])</f>
        <v>110.16</v>
      </c>
      <c r="C1462" s="7">
        <f>Table1[[#This Row],[Net Sales]] * 0.2</f>
        <v>22.032</v>
      </c>
      <c r="D1462" t="s">
        <v>22</v>
      </c>
      <c r="E1462" t="s">
        <v>26</v>
      </c>
      <c r="F1462">
        <v>2</v>
      </c>
      <c r="G1462">
        <v>55.08</v>
      </c>
      <c r="H1462" t="s">
        <v>33</v>
      </c>
      <c r="I1462" t="s">
        <v>35</v>
      </c>
      <c r="J1462" s="3">
        <v>0</v>
      </c>
      <c r="K1462" t="s">
        <v>39</v>
      </c>
      <c r="L1462">
        <v>110.16</v>
      </c>
      <c r="M1462" t="s">
        <v>45</v>
      </c>
      <c r="N1462" t="s">
        <v>48</v>
      </c>
      <c r="O1462">
        <v>0</v>
      </c>
      <c r="P1462" t="s">
        <v>1511</v>
      </c>
      <c r="Q1462" t="s">
        <v>2889</v>
      </c>
      <c r="R1462">
        <v>9.85</v>
      </c>
      <c r="S1462" s="5">
        <v>45382</v>
      </c>
      <c r="T1462" s="5">
        <v>45386</v>
      </c>
      <c r="U1462" t="s">
        <v>2925</v>
      </c>
    </row>
    <row r="1463" spans="1:21" x14ac:dyDescent="0.25">
      <c r="A1463" s="5">
        <v>45688</v>
      </c>
      <c r="B1463" s="7">
        <f>Table1[[#This Row],[TotalPrice]] * (1 - Table1[[#This Row],[Discount]])</f>
        <v>2098.6602000000003</v>
      </c>
      <c r="C1463" s="7">
        <f>Table1[[#This Row],[Net Sales]] * 0.2</f>
        <v>419.7320400000001</v>
      </c>
      <c r="D1463" t="s">
        <v>21</v>
      </c>
      <c r="E1463" t="s">
        <v>30</v>
      </c>
      <c r="F1463">
        <v>13</v>
      </c>
      <c r="G1463">
        <v>223.44</v>
      </c>
      <c r="H1463" t="s">
        <v>31</v>
      </c>
      <c r="I1463" t="s">
        <v>36</v>
      </c>
      <c r="J1463" s="3">
        <v>0.15</v>
      </c>
      <c r="K1463" t="s">
        <v>40</v>
      </c>
      <c r="L1463">
        <v>2469.0120000000002</v>
      </c>
      <c r="M1463" t="s">
        <v>45</v>
      </c>
      <c r="O1463">
        <v>1</v>
      </c>
      <c r="P1463" t="s">
        <v>1512</v>
      </c>
      <c r="Q1463" t="s">
        <v>2890</v>
      </c>
      <c r="R1463">
        <v>38.46</v>
      </c>
      <c r="S1463" s="5">
        <v>45688</v>
      </c>
      <c r="T1463" s="5">
        <v>45695</v>
      </c>
      <c r="U1463" t="s">
        <v>2924</v>
      </c>
    </row>
    <row r="1464" spans="1:21" x14ac:dyDescent="0.25">
      <c r="A1464" s="5">
        <v>45743</v>
      </c>
      <c r="B1464" s="7">
        <f>Table1[[#This Row],[TotalPrice]] * (1 - Table1[[#This Row],[Discount]])</f>
        <v>5441.0641999999998</v>
      </c>
      <c r="C1464" s="7">
        <f>Table1[[#This Row],[Net Sales]] * 0.2</f>
        <v>1088.2128399999999</v>
      </c>
      <c r="D1464" t="s">
        <v>19</v>
      </c>
      <c r="E1464" t="s">
        <v>25</v>
      </c>
      <c r="F1464">
        <v>11</v>
      </c>
      <c r="G1464">
        <v>548.08000000000004</v>
      </c>
      <c r="H1464" t="s">
        <v>34</v>
      </c>
      <c r="I1464" t="s">
        <v>35</v>
      </c>
      <c r="J1464" s="3">
        <v>0.05</v>
      </c>
      <c r="K1464" t="s">
        <v>37</v>
      </c>
      <c r="L1464">
        <v>5727.4359999999997</v>
      </c>
      <c r="M1464" t="s">
        <v>47</v>
      </c>
      <c r="O1464">
        <v>0</v>
      </c>
      <c r="P1464" t="s">
        <v>1513</v>
      </c>
      <c r="Q1464" t="s">
        <v>2891</v>
      </c>
      <c r="R1464">
        <v>25.82</v>
      </c>
      <c r="S1464" s="5">
        <v>45743</v>
      </c>
      <c r="T1464" s="5">
        <v>45753</v>
      </c>
      <c r="U1464" t="s">
        <v>2922</v>
      </c>
    </row>
    <row r="1465" spans="1:21" x14ac:dyDescent="0.25">
      <c r="A1465" s="5">
        <v>45676</v>
      </c>
      <c r="B1465" s="7">
        <f>Table1[[#This Row],[TotalPrice]] * (1 - Table1[[#This Row],[Discount]])</f>
        <v>1470.04</v>
      </c>
      <c r="C1465" s="7">
        <f>Table1[[#This Row],[Net Sales]] * 0.2</f>
        <v>294.00799999999998</v>
      </c>
      <c r="D1465" t="s">
        <v>22</v>
      </c>
      <c r="E1465" t="s">
        <v>26</v>
      </c>
      <c r="F1465">
        <v>11</v>
      </c>
      <c r="G1465">
        <v>133.63999999999999</v>
      </c>
      <c r="H1465" t="s">
        <v>34</v>
      </c>
      <c r="I1465" t="s">
        <v>35</v>
      </c>
      <c r="J1465" s="3">
        <v>0</v>
      </c>
      <c r="K1465" t="s">
        <v>41</v>
      </c>
      <c r="L1465">
        <v>1470.04</v>
      </c>
      <c r="M1465" t="s">
        <v>46</v>
      </c>
      <c r="O1465">
        <v>1</v>
      </c>
      <c r="P1465" t="s">
        <v>1514</v>
      </c>
      <c r="Q1465" t="s">
        <v>2564</v>
      </c>
      <c r="R1465">
        <v>30.18</v>
      </c>
      <c r="S1465" s="5">
        <v>45676</v>
      </c>
      <c r="T1465" s="5">
        <v>45681</v>
      </c>
      <c r="U1465" t="s">
        <v>2925</v>
      </c>
    </row>
    <row r="1466" spans="1:21" x14ac:dyDescent="0.25">
      <c r="A1466" s="5">
        <v>45428</v>
      </c>
      <c r="B1466" s="7">
        <f>Table1[[#This Row],[TotalPrice]] * (1 - Table1[[#This Row],[Discount]])</f>
        <v>5676.6015000000007</v>
      </c>
      <c r="C1466" s="7">
        <f>Table1[[#This Row],[Net Sales]] * 0.2</f>
        <v>1135.3203000000001</v>
      </c>
      <c r="D1466" t="s">
        <v>21</v>
      </c>
      <c r="E1466" t="s">
        <v>27</v>
      </c>
      <c r="F1466">
        <v>19</v>
      </c>
      <c r="G1466">
        <v>368.85</v>
      </c>
      <c r="H1466" t="s">
        <v>33</v>
      </c>
      <c r="I1466" t="s">
        <v>36</v>
      </c>
      <c r="J1466" s="3">
        <v>0.1</v>
      </c>
      <c r="K1466" t="s">
        <v>42</v>
      </c>
      <c r="L1466">
        <v>6307.3350000000009</v>
      </c>
      <c r="M1466" t="s">
        <v>44</v>
      </c>
      <c r="N1466" t="s">
        <v>48</v>
      </c>
      <c r="O1466">
        <v>0</v>
      </c>
      <c r="P1466" t="s">
        <v>1515</v>
      </c>
      <c r="Q1466" t="s">
        <v>2892</v>
      </c>
      <c r="R1466">
        <v>35.369999999999997</v>
      </c>
      <c r="S1466" s="5">
        <v>45428</v>
      </c>
      <c r="T1466" s="5">
        <v>45433</v>
      </c>
      <c r="U1466" t="s">
        <v>2924</v>
      </c>
    </row>
    <row r="1467" spans="1:21" x14ac:dyDescent="0.25">
      <c r="A1467" s="5">
        <v>45173</v>
      </c>
      <c r="B1467" s="7">
        <f>Table1[[#This Row],[TotalPrice]] * (1 - Table1[[#This Row],[Discount]])</f>
        <v>1623.72</v>
      </c>
      <c r="C1467" s="7">
        <f>Table1[[#This Row],[Net Sales]] * 0.2</f>
        <v>324.74400000000003</v>
      </c>
      <c r="D1467" t="s">
        <v>22</v>
      </c>
      <c r="E1467" t="s">
        <v>27</v>
      </c>
      <c r="F1467">
        <v>14</v>
      </c>
      <c r="G1467">
        <v>115.98</v>
      </c>
      <c r="H1467" t="s">
        <v>32</v>
      </c>
      <c r="I1467" t="s">
        <v>35</v>
      </c>
      <c r="J1467" s="3">
        <v>0</v>
      </c>
      <c r="K1467" t="s">
        <v>42</v>
      </c>
      <c r="L1467">
        <v>1623.72</v>
      </c>
      <c r="M1467" t="s">
        <v>46</v>
      </c>
      <c r="O1467">
        <v>0</v>
      </c>
      <c r="P1467" t="s">
        <v>1516</v>
      </c>
      <c r="Q1467" t="s">
        <v>2893</v>
      </c>
      <c r="R1467">
        <v>31.85</v>
      </c>
      <c r="S1467" s="5">
        <v>45173</v>
      </c>
      <c r="T1467" s="5">
        <v>45175</v>
      </c>
      <c r="U1467" t="s">
        <v>2925</v>
      </c>
    </row>
    <row r="1468" spans="1:21" x14ac:dyDescent="0.25">
      <c r="A1468" s="5">
        <v>45277</v>
      </c>
      <c r="B1468" s="7">
        <f>Table1[[#This Row],[TotalPrice]] * (1 - Table1[[#This Row],[Discount]])</f>
        <v>357.89759999999995</v>
      </c>
      <c r="C1468" s="7">
        <f>Table1[[#This Row],[Net Sales]] * 0.2</f>
        <v>71.579519999999988</v>
      </c>
      <c r="D1468" t="s">
        <v>20</v>
      </c>
      <c r="E1468" t="s">
        <v>28</v>
      </c>
      <c r="F1468">
        <v>9</v>
      </c>
      <c r="G1468">
        <v>55.04</v>
      </c>
      <c r="H1468" t="s">
        <v>31</v>
      </c>
      <c r="I1468" t="s">
        <v>36</v>
      </c>
      <c r="J1468" s="3">
        <v>0.15</v>
      </c>
      <c r="K1468" t="s">
        <v>38</v>
      </c>
      <c r="L1468">
        <v>421.05599999999998</v>
      </c>
      <c r="M1468" t="s">
        <v>43</v>
      </c>
      <c r="O1468">
        <v>0</v>
      </c>
      <c r="P1468" t="s">
        <v>1517</v>
      </c>
      <c r="Q1468" t="s">
        <v>2894</v>
      </c>
      <c r="R1468">
        <v>31.09</v>
      </c>
      <c r="S1468" s="5">
        <v>45277</v>
      </c>
      <c r="T1468" s="5">
        <v>45283</v>
      </c>
      <c r="U1468" t="s">
        <v>2923</v>
      </c>
    </row>
    <row r="1469" spans="1:21" x14ac:dyDescent="0.25">
      <c r="A1469" s="5">
        <v>45306</v>
      </c>
      <c r="B1469" s="7">
        <f>Table1[[#This Row],[TotalPrice]] * (1 - Table1[[#This Row],[Discount]])</f>
        <v>575.93939999999998</v>
      </c>
      <c r="C1469" s="7">
        <f>Table1[[#This Row],[Net Sales]] * 0.2</f>
        <v>115.18788000000001</v>
      </c>
      <c r="D1469" t="s">
        <v>22</v>
      </c>
      <c r="E1469" t="s">
        <v>28</v>
      </c>
      <c r="F1469">
        <v>4</v>
      </c>
      <c r="G1469">
        <v>159.54</v>
      </c>
      <c r="H1469" t="s">
        <v>32</v>
      </c>
      <c r="I1469" t="s">
        <v>35</v>
      </c>
      <c r="J1469" s="3">
        <v>0.05</v>
      </c>
      <c r="K1469" t="s">
        <v>38</v>
      </c>
      <c r="L1469">
        <v>606.25199999999995</v>
      </c>
      <c r="M1469" t="s">
        <v>45</v>
      </c>
      <c r="N1469" t="s">
        <v>48</v>
      </c>
      <c r="O1469">
        <v>0</v>
      </c>
      <c r="P1469" t="s">
        <v>1518</v>
      </c>
      <c r="Q1469" t="s">
        <v>2895</v>
      </c>
      <c r="R1469">
        <v>32.36</v>
      </c>
      <c r="S1469" s="5">
        <v>45306</v>
      </c>
      <c r="T1469" s="5">
        <v>45312</v>
      </c>
      <c r="U1469" t="s">
        <v>2925</v>
      </c>
    </row>
    <row r="1470" spans="1:21" x14ac:dyDescent="0.25">
      <c r="A1470" s="5">
        <v>45645</v>
      </c>
      <c r="B1470" s="7">
        <f>Table1[[#This Row],[TotalPrice]] * (1 - Table1[[#This Row],[Discount]])</f>
        <v>2252.25</v>
      </c>
      <c r="C1470" s="7">
        <f>Table1[[#This Row],[Net Sales]] * 0.2</f>
        <v>450.45000000000005</v>
      </c>
      <c r="D1470" t="s">
        <v>22</v>
      </c>
      <c r="E1470" t="s">
        <v>24</v>
      </c>
      <c r="F1470">
        <v>15</v>
      </c>
      <c r="G1470">
        <v>150.15</v>
      </c>
      <c r="H1470" t="s">
        <v>33</v>
      </c>
      <c r="I1470" t="s">
        <v>36</v>
      </c>
      <c r="J1470" s="3">
        <v>0</v>
      </c>
      <c r="K1470" t="s">
        <v>39</v>
      </c>
      <c r="L1470">
        <v>2252.25</v>
      </c>
      <c r="M1470" t="s">
        <v>43</v>
      </c>
      <c r="N1470" t="s">
        <v>50</v>
      </c>
      <c r="O1470">
        <v>0</v>
      </c>
      <c r="P1470" t="s">
        <v>1519</v>
      </c>
      <c r="Q1470" t="s">
        <v>2896</v>
      </c>
      <c r="R1470">
        <v>35.94</v>
      </c>
      <c r="S1470" s="5">
        <v>45645</v>
      </c>
      <c r="T1470" s="5">
        <v>45655</v>
      </c>
      <c r="U1470" t="s">
        <v>2925</v>
      </c>
    </row>
    <row r="1471" spans="1:21" x14ac:dyDescent="0.25">
      <c r="A1471" s="5">
        <v>45276</v>
      </c>
      <c r="B1471" s="7">
        <f>Table1[[#This Row],[TotalPrice]] * (1 - Table1[[#This Row],[Discount]])</f>
        <v>521.37</v>
      </c>
      <c r="C1471" s="7">
        <f>Table1[[#This Row],[Net Sales]] * 0.2</f>
        <v>104.274</v>
      </c>
      <c r="D1471" t="s">
        <v>21</v>
      </c>
      <c r="E1471" t="s">
        <v>27</v>
      </c>
      <c r="F1471">
        <v>9</v>
      </c>
      <c r="G1471">
        <v>57.93</v>
      </c>
      <c r="H1471" t="s">
        <v>33</v>
      </c>
      <c r="I1471" t="s">
        <v>35</v>
      </c>
      <c r="J1471" s="3">
        <v>0</v>
      </c>
      <c r="K1471" t="s">
        <v>42</v>
      </c>
      <c r="L1471">
        <v>521.37</v>
      </c>
      <c r="M1471" t="s">
        <v>44</v>
      </c>
      <c r="N1471" t="s">
        <v>48</v>
      </c>
      <c r="O1471">
        <v>1</v>
      </c>
      <c r="P1471" t="s">
        <v>1520</v>
      </c>
      <c r="Q1471" t="s">
        <v>1902</v>
      </c>
      <c r="R1471">
        <v>28.73</v>
      </c>
      <c r="S1471" s="5">
        <v>45276</v>
      </c>
      <c r="T1471" s="5">
        <v>45278</v>
      </c>
      <c r="U1471" t="s">
        <v>2924</v>
      </c>
    </row>
    <row r="1472" spans="1:21" x14ac:dyDescent="0.25">
      <c r="A1472" s="5">
        <v>45791</v>
      </c>
      <c r="B1472" s="7">
        <f>Table1[[#This Row],[TotalPrice]] * (1 - Table1[[#This Row],[Discount]])</f>
        <v>1583.2737999999999</v>
      </c>
      <c r="C1472" s="7">
        <f>Table1[[#This Row],[Net Sales]] * 0.2</f>
        <v>316.65476000000001</v>
      </c>
      <c r="D1472" t="s">
        <v>22</v>
      </c>
      <c r="E1472" t="s">
        <v>24</v>
      </c>
      <c r="F1472">
        <v>4</v>
      </c>
      <c r="G1472">
        <v>438.58</v>
      </c>
      <c r="H1472" t="s">
        <v>34</v>
      </c>
      <c r="I1472" t="s">
        <v>36</v>
      </c>
      <c r="J1472" s="3">
        <v>0.05</v>
      </c>
      <c r="K1472" t="s">
        <v>38</v>
      </c>
      <c r="L1472">
        <v>1666.604</v>
      </c>
      <c r="M1472" t="s">
        <v>43</v>
      </c>
      <c r="N1472" t="s">
        <v>50</v>
      </c>
      <c r="O1472">
        <v>0</v>
      </c>
      <c r="P1472" t="s">
        <v>1521</v>
      </c>
      <c r="Q1472" t="s">
        <v>2897</v>
      </c>
      <c r="R1472">
        <v>5.0999999999999996</v>
      </c>
      <c r="S1472" s="5">
        <v>45791</v>
      </c>
      <c r="T1472" s="5">
        <v>45795</v>
      </c>
      <c r="U1472" t="s">
        <v>2925</v>
      </c>
    </row>
    <row r="1473" spans="1:21" x14ac:dyDescent="0.25">
      <c r="A1473" s="5">
        <v>45107</v>
      </c>
      <c r="B1473" s="7">
        <f>Table1[[#This Row],[TotalPrice]] * (1 - Table1[[#This Row],[Discount]])</f>
        <v>3217.44</v>
      </c>
      <c r="C1473" s="7">
        <f>Table1[[#This Row],[Net Sales]] * 0.2</f>
        <v>643.48800000000006</v>
      </c>
      <c r="D1473" t="s">
        <v>20</v>
      </c>
      <c r="E1473" t="s">
        <v>28</v>
      </c>
      <c r="F1473">
        <v>6</v>
      </c>
      <c r="G1473">
        <v>536.24</v>
      </c>
      <c r="H1473" t="s">
        <v>34</v>
      </c>
      <c r="I1473" t="s">
        <v>36</v>
      </c>
      <c r="J1473" s="3">
        <v>0</v>
      </c>
      <c r="K1473" t="s">
        <v>41</v>
      </c>
      <c r="L1473">
        <v>3217.44</v>
      </c>
      <c r="M1473" t="s">
        <v>47</v>
      </c>
      <c r="N1473" t="s">
        <v>50</v>
      </c>
      <c r="O1473">
        <v>0</v>
      </c>
      <c r="P1473" t="s">
        <v>1522</v>
      </c>
      <c r="Q1473" t="s">
        <v>2253</v>
      </c>
      <c r="R1473">
        <v>35.32</v>
      </c>
      <c r="S1473" s="5">
        <v>45107</v>
      </c>
      <c r="T1473" s="5">
        <v>45109</v>
      </c>
      <c r="U1473" t="s">
        <v>2923</v>
      </c>
    </row>
    <row r="1474" spans="1:21" x14ac:dyDescent="0.25">
      <c r="A1474" s="5">
        <v>45838</v>
      </c>
      <c r="B1474" s="7">
        <f>Table1[[#This Row],[TotalPrice]] * (1 - Table1[[#This Row],[Discount]])</f>
        <v>7205.2739999999994</v>
      </c>
      <c r="C1474" s="7">
        <f>Table1[[#This Row],[Net Sales]] * 0.2</f>
        <v>1441.0547999999999</v>
      </c>
      <c r="D1474" t="s">
        <v>20</v>
      </c>
      <c r="E1474" t="s">
        <v>25</v>
      </c>
      <c r="F1474">
        <v>20</v>
      </c>
      <c r="G1474">
        <v>444.77</v>
      </c>
      <c r="H1474" t="s">
        <v>31</v>
      </c>
      <c r="I1474" t="s">
        <v>35</v>
      </c>
      <c r="J1474" s="3">
        <v>0.1</v>
      </c>
      <c r="K1474" t="s">
        <v>41</v>
      </c>
      <c r="L1474">
        <v>8005.86</v>
      </c>
      <c r="M1474" t="s">
        <v>43</v>
      </c>
      <c r="O1474">
        <v>1</v>
      </c>
      <c r="P1474" t="s">
        <v>1523</v>
      </c>
      <c r="Q1474" t="s">
        <v>2898</v>
      </c>
      <c r="R1474">
        <v>20.05</v>
      </c>
      <c r="S1474" s="5">
        <v>45838</v>
      </c>
      <c r="T1474" s="5">
        <v>45845</v>
      </c>
      <c r="U1474" t="s">
        <v>2923</v>
      </c>
    </row>
    <row r="1475" spans="1:21" x14ac:dyDescent="0.25">
      <c r="A1475" s="5">
        <v>45730</v>
      </c>
      <c r="B1475" s="7">
        <f>Table1[[#This Row],[TotalPrice]] * (1 - Table1[[#This Row],[Discount]])</f>
        <v>1532.4224999999999</v>
      </c>
      <c r="C1475" s="7">
        <f>Table1[[#This Row],[Net Sales]] * 0.2</f>
        <v>306.48449999999997</v>
      </c>
      <c r="D1475" t="s">
        <v>22</v>
      </c>
      <c r="E1475" t="s">
        <v>30</v>
      </c>
      <c r="F1475">
        <v>10</v>
      </c>
      <c r="G1475">
        <v>212.1</v>
      </c>
      <c r="H1475" t="s">
        <v>31</v>
      </c>
      <c r="I1475" t="s">
        <v>36</v>
      </c>
      <c r="J1475" s="3">
        <v>0.15</v>
      </c>
      <c r="K1475" t="s">
        <v>37</v>
      </c>
      <c r="L1475">
        <v>1802.85</v>
      </c>
      <c r="M1475" t="s">
        <v>44</v>
      </c>
      <c r="N1475" t="s">
        <v>50</v>
      </c>
      <c r="O1475">
        <v>0</v>
      </c>
      <c r="P1475" t="s">
        <v>1524</v>
      </c>
      <c r="Q1475" t="s">
        <v>2899</v>
      </c>
      <c r="R1475">
        <v>47.93</v>
      </c>
      <c r="S1475" s="5">
        <v>45730</v>
      </c>
      <c r="T1475" s="5">
        <v>45738</v>
      </c>
      <c r="U1475" t="s">
        <v>2925</v>
      </c>
    </row>
    <row r="1476" spans="1:21" x14ac:dyDescent="0.25">
      <c r="A1476" s="5">
        <v>45034</v>
      </c>
      <c r="B1476" s="7">
        <f>Table1[[#This Row],[TotalPrice]] * (1 - Table1[[#This Row],[Discount]])</f>
        <v>3312.6335999999997</v>
      </c>
      <c r="C1476" s="7">
        <f>Table1[[#This Row],[Net Sales]] * 0.2</f>
        <v>662.52671999999995</v>
      </c>
      <c r="D1476" t="s">
        <v>20</v>
      </c>
      <c r="E1476" t="s">
        <v>25</v>
      </c>
      <c r="F1476">
        <v>9</v>
      </c>
      <c r="G1476">
        <v>509.44</v>
      </c>
      <c r="H1476" t="s">
        <v>31</v>
      </c>
      <c r="I1476" t="s">
        <v>36</v>
      </c>
      <c r="J1476" s="3">
        <v>0.15</v>
      </c>
      <c r="K1476" t="s">
        <v>37</v>
      </c>
      <c r="L1476">
        <v>3897.2159999999999</v>
      </c>
      <c r="M1476" t="s">
        <v>45</v>
      </c>
      <c r="N1476" t="s">
        <v>49</v>
      </c>
      <c r="O1476">
        <v>0</v>
      </c>
      <c r="P1476" t="s">
        <v>1525</v>
      </c>
      <c r="Q1476" t="s">
        <v>2900</v>
      </c>
      <c r="R1476">
        <v>13</v>
      </c>
      <c r="S1476" s="5">
        <v>45034</v>
      </c>
      <c r="T1476" s="5">
        <v>45043</v>
      </c>
      <c r="U1476" t="s">
        <v>2923</v>
      </c>
    </row>
    <row r="1477" spans="1:21" x14ac:dyDescent="0.25">
      <c r="A1477" s="5">
        <v>45546</v>
      </c>
      <c r="B1477" s="7">
        <f>Table1[[#This Row],[TotalPrice]] * (1 - Table1[[#This Row],[Discount]])</f>
        <v>1365.0626</v>
      </c>
      <c r="C1477" s="7">
        <f>Table1[[#This Row],[Net Sales]] * 0.2</f>
        <v>273.01251999999999</v>
      </c>
      <c r="D1477" t="s">
        <v>23</v>
      </c>
      <c r="E1477" t="s">
        <v>28</v>
      </c>
      <c r="F1477">
        <v>8</v>
      </c>
      <c r="G1477">
        <v>236.17</v>
      </c>
      <c r="H1477" t="s">
        <v>33</v>
      </c>
      <c r="I1477" t="s">
        <v>35</v>
      </c>
      <c r="J1477" s="3">
        <v>0.15</v>
      </c>
      <c r="K1477" t="s">
        <v>39</v>
      </c>
      <c r="L1477">
        <v>1605.9559999999999</v>
      </c>
      <c r="M1477" t="s">
        <v>47</v>
      </c>
      <c r="N1477" t="s">
        <v>50</v>
      </c>
      <c r="O1477">
        <v>0</v>
      </c>
      <c r="P1477" t="s">
        <v>1526</v>
      </c>
      <c r="Q1477" t="s">
        <v>2901</v>
      </c>
      <c r="R1477">
        <v>22.88</v>
      </c>
      <c r="S1477" s="5">
        <v>45546</v>
      </c>
      <c r="T1477" s="5">
        <v>45554</v>
      </c>
      <c r="U1477" t="s">
        <v>2926</v>
      </c>
    </row>
    <row r="1478" spans="1:21" x14ac:dyDescent="0.25">
      <c r="A1478" s="5">
        <v>45251</v>
      </c>
      <c r="B1478" s="7">
        <f>Table1[[#This Row],[TotalPrice]] * (1 - Table1[[#This Row],[Discount]])</f>
        <v>147.4</v>
      </c>
      <c r="C1478" s="7">
        <f>Table1[[#This Row],[Net Sales]] * 0.2</f>
        <v>29.480000000000004</v>
      </c>
      <c r="D1478" t="s">
        <v>22</v>
      </c>
      <c r="E1478" t="s">
        <v>30</v>
      </c>
      <c r="F1478">
        <v>1</v>
      </c>
      <c r="G1478">
        <v>147.4</v>
      </c>
      <c r="H1478" t="s">
        <v>34</v>
      </c>
      <c r="I1478" t="s">
        <v>36</v>
      </c>
      <c r="J1478" s="3">
        <v>0</v>
      </c>
      <c r="K1478" t="s">
        <v>40</v>
      </c>
      <c r="L1478">
        <v>147.4</v>
      </c>
      <c r="M1478" t="s">
        <v>47</v>
      </c>
      <c r="N1478" t="s">
        <v>49</v>
      </c>
      <c r="O1478">
        <v>1</v>
      </c>
      <c r="P1478" t="s">
        <v>1527</v>
      </c>
      <c r="Q1478" t="s">
        <v>2223</v>
      </c>
      <c r="R1478">
        <v>40.47</v>
      </c>
      <c r="S1478" s="5">
        <v>45251</v>
      </c>
      <c r="T1478" s="5">
        <v>45258</v>
      </c>
      <c r="U1478" t="s">
        <v>2925</v>
      </c>
    </row>
    <row r="1479" spans="1:21" x14ac:dyDescent="0.25">
      <c r="A1479" s="5">
        <v>45351</v>
      </c>
      <c r="B1479" s="7">
        <f>Table1[[#This Row],[TotalPrice]] * (1 - Table1[[#This Row],[Discount]])</f>
        <v>2019.7227999999998</v>
      </c>
      <c r="C1479" s="7">
        <f>Table1[[#This Row],[Net Sales]] * 0.2</f>
        <v>403.94455999999997</v>
      </c>
      <c r="D1479" t="s">
        <v>23</v>
      </c>
      <c r="E1479" t="s">
        <v>29</v>
      </c>
      <c r="F1479">
        <v>8</v>
      </c>
      <c r="G1479">
        <v>279.74</v>
      </c>
      <c r="H1479" t="s">
        <v>31</v>
      </c>
      <c r="I1479" t="s">
        <v>36</v>
      </c>
      <c r="J1479" s="3">
        <v>0.05</v>
      </c>
      <c r="K1479" t="s">
        <v>38</v>
      </c>
      <c r="L1479">
        <v>2126.0239999999999</v>
      </c>
      <c r="M1479" t="s">
        <v>44</v>
      </c>
      <c r="N1479" t="s">
        <v>48</v>
      </c>
      <c r="O1479">
        <v>0</v>
      </c>
      <c r="P1479" t="s">
        <v>1528</v>
      </c>
      <c r="Q1479" t="s">
        <v>2134</v>
      </c>
      <c r="R1479">
        <v>33.1</v>
      </c>
      <c r="S1479" s="5">
        <v>45351</v>
      </c>
      <c r="T1479" s="5">
        <v>45358</v>
      </c>
      <c r="U1479" t="s">
        <v>2926</v>
      </c>
    </row>
    <row r="1480" spans="1:21" x14ac:dyDescent="0.25">
      <c r="A1480" s="5">
        <v>45057</v>
      </c>
      <c r="B1480" s="7">
        <f>Table1[[#This Row],[TotalPrice]] * (1 - Table1[[#This Row],[Discount]])</f>
        <v>824.73157500000002</v>
      </c>
      <c r="C1480" s="7">
        <f>Table1[[#This Row],[Net Sales]] * 0.2</f>
        <v>164.94631500000003</v>
      </c>
      <c r="D1480" t="s">
        <v>23</v>
      </c>
      <c r="E1480" t="s">
        <v>24</v>
      </c>
      <c r="F1480">
        <v>3</v>
      </c>
      <c r="G1480">
        <v>304.61</v>
      </c>
      <c r="H1480" t="s">
        <v>31</v>
      </c>
      <c r="I1480" t="s">
        <v>35</v>
      </c>
      <c r="J1480" s="3">
        <v>0.05</v>
      </c>
      <c r="K1480" t="s">
        <v>42</v>
      </c>
      <c r="L1480">
        <v>868.13850000000002</v>
      </c>
      <c r="M1480" t="s">
        <v>47</v>
      </c>
      <c r="N1480" t="s">
        <v>49</v>
      </c>
      <c r="O1480">
        <v>0</v>
      </c>
      <c r="P1480" t="s">
        <v>1529</v>
      </c>
      <c r="Q1480" t="s">
        <v>2902</v>
      </c>
      <c r="R1480">
        <v>47.14</v>
      </c>
      <c r="S1480" s="5">
        <v>45057</v>
      </c>
      <c r="T1480" s="5">
        <v>45061</v>
      </c>
      <c r="U1480" t="s">
        <v>2926</v>
      </c>
    </row>
    <row r="1481" spans="1:21" x14ac:dyDescent="0.25">
      <c r="A1481" s="5">
        <v>45546</v>
      </c>
      <c r="B1481" s="7">
        <f>Table1[[#This Row],[TotalPrice]] * (1 - Table1[[#This Row],[Discount]])</f>
        <v>2144.88</v>
      </c>
      <c r="C1481" s="7">
        <f>Table1[[#This Row],[Net Sales]] * 0.2</f>
        <v>428.97600000000006</v>
      </c>
      <c r="D1481" t="s">
        <v>20</v>
      </c>
      <c r="E1481" t="s">
        <v>29</v>
      </c>
      <c r="F1481">
        <v>9</v>
      </c>
      <c r="G1481">
        <v>238.32</v>
      </c>
      <c r="H1481" t="s">
        <v>33</v>
      </c>
      <c r="I1481" t="s">
        <v>36</v>
      </c>
      <c r="J1481" s="3">
        <v>0</v>
      </c>
      <c r="K1481" t="s">
        <v>41</v>
      </c>
      <c r="L1481">
        <v>2144.88</v>
      </c>
      <c r="M1481" t="s">
        <v>47</v>
      </c>
      <c r="N1481" t="s">
        <v>50</v>
      </c>
      <c r="O1481">
        <v>1</v>
      </c>
      <c r="P1481" t="s">
        <v>1530</v>
      </c>
      <c r="Q1481" t="s">
        <v>2842</v>
      </c>
      <c r="R1481">
        <v>8.5</v>
      </c>
      <c r="S1481" s="5">
        <v>45546</v>
      </c>
      <c r="T1481" s="5">
        <v>45555</v>
      </c>
      <c r="U1481" t="s">
        <v>2923</v>
      </c>
    </row>
    <row r="1482" spans="1:21" x14ac:dyDescent="0.25">
      <c r="A1482" s="5">
        <v>45520</v>
      </c>
      <c r="B1482" s="7">
        <f>Table1[[#This Row],[TotalPrice]] * (1 - Table1[[#This Row],[Discount]])</f>
        <v>6264.4752000000008</v>
      </c>
      <c r="C1482" s="7">
        <f>Table1[[#This Row],[Net Sales]] * 0.2</f>
        <v>1252.8950400000003</v>
      </c>
      <c r="D1482" t="s">
        <v>23</v>
      </c>
      <c r="E1482" t="s">
        <v>30</v>
      </c>
      <c r="F1482">
        <v>16</v>
      </c>
      <c r="G1482">
        <v>483.37</v>
      </c>
      <c r="H1482" t="s">
        <v>31</v>
      </c>
      <c r="I1482" t="s">
        <v>36</v>
      </c>
      <c r="J1482" s="3">
        <v>0.1</v>
      </c>
      <c r="K1482" t="s">
        <v>38</v>
      </c>
      <c r="L1482">
        <v>6960.5280000000002</v>
      </c>
      <c r="M1482" t="s">
        <v>46</v>
      </c>
      <c r="O1482">
        <v>0</v>
      </c>
      <c r="P1482" t="s">
        <v>1531</v>
      </c>
      <c r="Q1482" t="s">
        <v>2903</v>
      </c>
      <c r="R1482">
        <v>42.52</v>
      </c>
      <c r="S1482" s="5">
        <v>45520</v>
      </c>
      <c r="T1482" s="5">
        <v>45526</v>
      </c>
      <c r="U1482" t="s">
        <v>2926</v>
      </c>
    </row>
    <row r="1483" spans="1:21" x14ac:dyDescent="0.25">
      <c r="A1483" s="5">
        <v>45807</v>
      </c>
      <c r="B1483" s="7">
        <f>Table1[[#This Row],[TotalPrice]] * (1 - Table1[[#This Row],[Discount]])</f>
        <v>863.85495000000003</v>
      </c>
      <c r="C1483" s="7">
        <f>Table1[[#This Row],[Net Sales]] * 0.2</f>
        <v>172.77099000000001</v>
      </c>
      <c r="D1483" t="s">
        <v>21</v>
      </c>
      <c r="E1483" t="s">
        <v>28</v>
      </c>
      <c r="F1483">
        <v>6</v>
      </c>
      <c r="G1483">
        <v>159.53</v>
      </c>
      <c r="H1483" t="s">
        <v>32</v>
      </c>
      <c r="I1483" t="s">
        <v>36</v>
      </c>
      <c r="J1483" s="3">
        <v>0.05</v>
      </c>
      <c r="K1483" t="s">
        <v>42</v>
      </c>
      <c r="L1483">
        <v>909.32100000000003</v>
      </c>
      <c r="M1483" t="s">
        <v>44</v>
      </c>
      <c r="O1483">
        <v>0</v>
      </c>
      <c r="P1483" t="s">
        <v>1532</v>
      </c>
      <c r="Q1483" t="s">
        <v>2904</v>
      </c>
      <c r="R1483">
        <v>48.6</v>
      </c>
      <c r="S1483" s="5">
        <v>45807</v>
      </c>
      <c r="T1483" s="5">
        <v>45815</v>
      </c>
      <c r="U1483" t="s">
        <v>2924</v>
      </c>
    </row>
    <row r="1484" spans="1:21" x14ac:dyDescent="0.25">
      <c r="A1484" s="5">
        <v>45160</v>
      </c>
      <c r="B1484" s="7">
        <f>Table1[[#This Row],[TotalPrice]] * (1 - Table1[[#This Row],[Discount]])</f>
        <v>4318.4340000000002</v>
      </c>
      <c r="C1484" s="7">
        <f>Table1[[#This Row],[Net Sales]] * 0.2</f>
        <v>863.68680000000006</v>
      </c>
      <c r="D1484" t="s">
        <v>19</v>
      </c>
      <c r="E1484" t="s">
        <v>26</v>
      </c>
      <c r="F1484">
        <v>19</v>
      </c>
      <c r="G1484">
        <v>280.60000000000002</v>
      </c>
      <c r="H1484" t="s">
        <v>32</v>
      </c>
      <c r="I1484" t="s">
        <v>35</v>
      </c>
      <c r="J1484" s="3">
        <v>0.1</v>
      </c>
      <c r="K1484" t="s">
        <v>39</v>
      </c>
      <c r="L1484">
        <v>4798.26</v>
      </c>
      <c r="M1484" t="s">
        <v>44</v>
      </c>
      <c r="N1484" t="s">
        <v>48</v>
      </c>
      <c r="O1484">
        <v>0</v>
      </c>
      <c r="P1484" t="s">
        <v>1533</v>
      </c>
      <c r="Q1484" t="s">
        <v>2905</v>
      </c>
      <c r="R1484">
        <v>35.94</v>
      </c>
      <c r="S1484" s="5">
        <v>45160</v>
      </c>
      <c r="T1484" s="5">
        <v>45166</v>
      </c>
      <c r="U1484" t="s">
        <v>2922</v>
      </c>
    </row>
    <row r="1485" spans="1:21" x14ac:dyDescent="0.25">
      <c r="A1485" s="5">
        <v>45314</v>
      </c>
      <c r="B1485" s="7">
        <f>Table1[[#This Row],[TotalPrice]] * (1 - Table1[[#This Row],[Discount]])</f>
        <v>703.91390000000001</v>
      </c>
      <c r="C1485" s="7">
        <f>Table1[[#This Row],[Net Sales]] * 0.2</f>
        <v>140.78278</v>
      </c>
      <c r="D1485" t="s">
        <v>19</v>
      </c>
      <c r="E1485" t="s">
        <v>29</v>
      </c>
      <c r="F1485">
        <v>2</v>
      </c>
      <c r="G1485">
        <v>389.98</v>
      </c>
      <c r="H1485" t="s">
        <v>34</v>
      </c>
      <c r="I1485" t="s">
        <v>35</v>
      </c>
      <c r="J1485" s="3">
        <v>0.05</v>
      </c>
      <c r="K1485" t="s">
        <v>40</v>
      </c>
      <c r="L1485">
        <v>740.96199999999999</v>
      </c>
      <c r="M1485" t="s">
        <v>46</v>
      </c>
      <c r="N1485" t="s">
        <v>49</v>
      </c>
      <c r="O1485">
        <v>1</v>
      </c>
      <c r="P1485" t="s">
        <v>1534</v>
      </c>
      <c r="Q1485" t="s">
        <v>2906</v>
      </c>
      <c r="R1485">
        <v>24.55</v>
      </c>
      <c r="S1485" s="5">
        <v>45314</v>
      </c>
      <c r="T1485" s="5">
        <v>45316</v>
      </c>
      <c r="U1485" t="s">
        <v>2922</v>
      </c>
    </row>
    <row r="1486" spans="1:21" x14ac:dyDescent="0.25">
      <c r="A1486" s="5">
        <v>45001</v>
      </c>
      <c r="B1486" s="7">
        <f>Table1[[#This Row],[TotalPrice]] * (1 - Table1[[#This Row],[Discount]])</f>
        <v>5960.6972500000002</v>
      </c>
      <c r="C1486" s="7">
        <f>Table1[[#This Row],[Net Sales]] * 0.2</f>
        <v>1192.1394500000001</v>
      </c>
      <c r="D1486" t="s">
        <v>21</v>
      </c>
      <c r="E1486" t="s">
        <v>28</v>
      </c>
      <c r="F1486">
        <v>17</v>
      </c>
      <c r="G1486">
        <v>485.3</v>
      </c>
      <c r="H1486" t="s">
        <v>34</v>
      </c>
      <c r="I1486" t="s">
        <v>36</v>
      </c>
      <c r="J1486" s="3">
        <v>0.15</v>
      </c>
      <c r="K1486" t="s">
        <v>41</v>
      </c>
      <c r="L1486">
        <v>7012.585</v>
      </c>
      <c r="M1486" t="s">
        <v>47</v>
      </c>
      <c r="N1486" t="s">
        <v>50</v>
      </c>
      <c r="O1486">
        <v>0</v>
      </c>
      <c r="P1486" t="s">
        <v>1535</v>
      </c>
      <c r="Q1486" t="s">
        <v>2907</v>
      </c>
      <c r="R1486">
        <v>37.94</v>
      </c>
      <c r="S1486" s="5">
        <v>45001</v>
      </c>
      <c r="T1486" s="5">
        <v>45008</v>
      </c>
      <c r="U1486" t="s">
        <v>2924</v>
      </c>
    </row>
    <row r="1487" spans="1:21" x14ac:dyDescent="0.25">
      <c r="A1487" s="5">
        <v>45793</v>
      </c>
      <c r="B1487" s="7">
        <f>Table1[[#This Row],[TotalPrice]] * (1 - Table1[[#This Row],[Discount]])</f>
        <v>1888.96</v>
      </c>
      <c r="C1487" s="7">
        <f>Table1[[#This Row],[Net Sales]] * 0.2</f>
        <v>377.79200000000003</v>
      </c>
      <c r="D1487" t="s">
        <v>20</v>
      </c>
      <c r="E1487" t="s">
        <v>24</v>
      </c>
      <c r="F1487">
        <v>4</v>
      </c>
      <c r="G1487">
        <v>472.24</v>
      </c>
      <c r="H1487" t="s">
        <v>34</v>
      </c>
      <c r="I1487" t="s">
        <v>36</v>
      </c>
      <c r="J1487" s="3">
        <v>0</v>
      </c>
      <c r="K1487" t="s">
        <v>38</v>
      </c>
      <c r="L1487">
        <v>1888.96</v>
      </c>
      <c r="M1487" t="s">
        <v>44</v>
      </c>
      <c r="N1487" t="s">
        <v>48</v>
      </c>
      <c r="O1487">
        <v>1</v>
      </c>
      <c r="P1487" t="s">
        <v>1536</v>
      </c>
      <c r="Q1487" t="s">
        <v>2908</v>
      </c>
      <c r="R1487">
        <v>6.78</v>
      </c>
      <c r="S1487" s="5">
        <v>45793</v>
      </c>
      <c r="T1487" s="5">
        <v>45798</v>
      </c>
      <c r="U1487" t="s">
        <v>2923</v>
      </c>
    </row>
    <row r="1488" spans="1:21" x14ac:dyDescent="0.25">
      <c r="A1488" s="5">
        <v>45069</v>
      </c>
      <c r="B1488" s="7">
        <f>Table1[[#This Row],[TotalPrice]] * (1 - Table1[[#This Row],[Discount]])</f>
        <v>1148.24</v>
      </c>
      <c r="C1488" s="7">
        <f>Table1[[#This Row],[Net Sales]] * 0.2</f>
        <v>229.64800000000002</v>
      </c>
      <c r="D1488" t="s">
        <v>19</v>
      </c>
      <c r="E1488" t="s">
        <v>28</v>
      </c>
      <c r="F1488">
        <v>8</v>
      </c>
      <c r="G1488">
        <v>143.53</v>
      </c>
      <c r="H1488" t="s">
        <v>34</v>
      </c>
      <c r="I1488" t="s">
        <v>35</v>
      </c>
      <c r="J1488" s="3">
        <v>0</v>
      </c>
      <c r="K1488" t="s">
        <v>38</v>
      </c>
      <c r="L1488">
        <v>1148.24</v>
      </c>
      <c r="M1488" t="s">
        <v>47</v>
      </c>
      <c r="N1488" t="s">
        <v>50</v>
      </c>
      <c r="O1488">
        <v>0</v>
      </c>
      <c r="P1488" t="s">
        <v>1537</v>
      </c>
      <c r="Q1488" t="s">
        <v>2909</v>
      </c>
      <c r="R1488">
        <v>9.1</v>
      </c>
      <c r="S1488" s="5">
        <v>45069</v>
      </c>
      <c r="T1488" s="5">
        <v>45075</v>
      </c>
      <c r="U1488" t="s">
        <v>2922</v>
      </c>
    </row>
    <row r="1489" spans="1:21" x14ac:dyDescent="0.25">
      <c r="A1489" s="5">
        <v>45459</v>
      </c>
      <c r="B1489" s="7">
        <f>Table1[[#This Row],[TotalPrice]] * (1 - Table1[[#This Row],[Discount]])</f>
        <v>799.59999999999991</v>
      </c>
      <c r="C1489" s="7">
        <f>Table1[[#This Row],[Net Sales]] * 0.2</f>
        <v>159.91999999999999</v>
      </c>
      <c r="D1489" t="s">
        <v>21</v>
      </c>
      <c r="E1489" t="s">
        <v>27</v>
      </c>
      <c r="F1489">
        <v>5</v>
      </c>
      <c r="G1489">
        <v>159.91999999999999</v>
      </c>
      <c r="H1489" t="s">
        <v>31</v>
      </c>
      <c r="I1489" t="s">
        <v>35</v>
      </c>
      <c r="J1489" s="3">
        <v>0</v>
      </c>
      <c r="K1489" t="s">
        <v>40</v>
      </c>
      <c r="L1489">
        <v>799.59999999999991</v>
      </c>
      <c r="M1489" t="s">
        <v>47</v>
      </c>
      <c r="N1489" t="s">
        <v>49</v>
      </c>
      <c r="O1489">
        <v>0</v>
      </c>
      <c r="P1489" t="s">
        <v>1538</v>
      </c>
      <c r="Q1489" t="s">
        <v>2910</v>
      </c>
      <c r="R1489">
        <v>10.86</v>
      </c>
      <c r="S1489" s="5">
        <v>45459</v>
      </c>
      <c r="T1489" s="5">
        <v>45466</v>
      </c>
      <c r="U1489" t="s">
        <v>2924</v>
      </c>
    </row>
    <row r="1490" spans="1:21" x14ac:dyDescent="0.25">
      <c r="A1490" s="5">
        <v>45685</v>
      </c>
      <c r="B1490" s="7">
        <f>Table1[[#This Row],[TotalPrice]] * (1 - Table1[[#This Row],[Discount]])</f>
        <v>5248.416549999999</v>
      </c>
      <c r="C1490" s="7">
        <f>Table1[[#This Row],[Net Sales]] * 0.2</f>
        <v>1049.6833099999999</v>
      </c>
      <c r="D1490" t="s">
        <v>22</v>
      </c>
      <c r="E1490" t="s">
        <v>28</v>
      </c>
      <c r="F1490">
        <v>13</v>
      </c>
      <c r="G1490">
        <v>447.34</v>
      </c>
      <c r="H1490" t="s">
        <v>32</v>
      </c>
      <c r="I1490" t="s">
        <v>35</v>
      </c>
      <c r="J1490" s="3">
        <v>0.05</v>
      </c>
      <c r="K1490" t="s">
        <v>39</v>
      </c>
      <c r="L1490">
        <v>5524.6489999999994</v>
      </c>
      <c r="M1490" t="s">
        <v>47</v>
      </c>
      <c r="N1490" t="s">
        <v>49</v>
      </c>
      <c r="O1490">
        <v>0</v>
      </c>
      <c r="P1490" t="s">
        <v>1539</v>
      </c>
      <c r="Q1490" t="s">
        <v>2911</v>
      </c>
      <c r="R1490">
        <v>38.93</v>
      </c>
      <c r="S1490" s="5">
        <v>45685</v>
      </c>
      <c r="T1490" s="5">
        <v>45692</v>
      </c>
      <c r="U1490" t="s">
        <v>2925</v>
      </c>
    </row>
    <row r="1491" spans="1:21" x14ac:dyDescent="0.25">
      <c r="A1491" s="5">
        <v>45623</v>
      </c>
      <c r="B1491" s="7">
        <f>Table1[[#This Row],[TotalPrice]] * (1 - Table1[[#This Row],[Discount]])</f>
        <v>2072.3040000000001</v>
      </c>
      <c r="C1491" s="7">
        <f>Table1[[#This Row],[Net Sales]] * 0.2</f>
        <v>414.46080000000006</v>
      </c>
      <c r="D1491" t="s">
        <v>20</v>
      </c>
      <c r="E1491" t="s">
        <v>25</v>
      </c>
      <c r="F1491">
        <v>13</v>
      </c>
      <c r="G1491">
        <v>196.8</v>
      </c>
      <c r="H1491" t="s">
        <v>31</v>
      </c>
      <c r="I1491" t="s">
        <v>36</v>
      </c>
      <c r="J1491" s="3">
        <v>0.1</v>
      </c>
      <c r="K1491" t="s">
        <v>41</v>
      </c>
      <c r="L1491">
        <v>2302.56</v>
      </c>
      <c r="M1491" t="s">
        <v>47</v>
      </c>
      <c r="O1491">
        <v>0</v>
      </c>
      <c r="P1491" t="s">
        <v>1540</v>
      </c>
      <c r="Q1491" t="s">
        <v>2912</v>
      </c>
      <c r="R1491">
        <v>10.119999999999999</v>
      </c>
      <c r="S1491" s="5">
        <v>45623</v>
      </c>
      <c r="T1491" s="5">
        <v>45633</v>
      </c>
      <c r="U1491" t="s">
        <v>2923</v>
      </c>
    </row>
    <row r="1492" spans="1:21" x14ac:dyDescent="0.25">
      <c r="A1492" s="5">
        <v>45208</v>
      </c>
      <c r="B1492" s="7">
        <f>Table1[[#This Row],[TotalPrice]] * (1 - Table1[[#This Row],[Discount]])</f>
        <v>1180.5183</v>
      </c>
      <c r="C1492" s="7">
        <f>Table1[[#This Row],[Net Sales]] * 0.2</f>
        <v>236.10365999999999</v>
      </c>
      <c r="D1492" t="s">
        <v>22</v>
      </c>
      <c r="E1492" t="s">
        <v>27</v>
      </c>
      <c r="F1492">
        <v>3</v>
      </c>
      <c r="G1492">
        <v>485.81</v>
      </c>
      <c r="H1492" t="s">
        <v>32</v>
      </c>
      <c r="I1492" t="s">
        <v>35</v>
      </c>
      <c r="J1492" s="3">
        <v>0.1</v>
      </c>
      <c r="K1492" t="s">
        <v>37</v>
      </c>
      <c r="L1492">
        <v>1311.6869999999999</v>
      </c>
      <c r="M1492" t="s">
        <v>46</v>
      </c>
      <c r="N1492" t="s">
        <v>49</v>
      </c>
      <c r="O1492">
        <v>0</v>
      </c>
      <c r="P1492" t="s">
        <v>1541</v>
      </c>
      <c r="Q1492" t="s">
        <v>2913</v>
      </c>
      <c r="R1492">
        <v>19.46</v>
      </c>
      <c r="S1492" s="5">
        <v>45208</v>
      </c>
      <c r="T1492" s="5">
        <v>45210</v>
      </c>
      <c r="U1492" t="s">
        <v>2925</v>
      </c>
    </row>
    <row r="1493" spans="1:21" x14ac:dyDescent="0.25">
      <c r="A1493" s="5">
        <v>45494</v>
      </c>
      <c r="B1493" s="7">
        <f>Table1[[#This Row],[TotalPrice]] * (1 - Table1[[#This Row],[Discount]])</f>
        <v>2651.4727999999996</v>
      </c>
      <c r="C1493" s="7">
        <f>Table1[[#This Row],[Net Sales]] * 0.2</f>
        <v>530.29455999999993</v>
      </c>
      <c r="D1493" t="s">
        <v>23</v>
      </c>
      <c r="E1493" t="s">
        <v>25</v>
      </c>
      <c r="F1493">
        <v>16</v>
      </c>
      <c r="G1493">
        <v>183.62</v>
      </c>
      <c r="H1493" t="s">
        <v>32</v>
      </c>
      <c r="I1493" t="s">
        <v>35</v>
      </c>
      <c r="J1493" s="3">
        <v>0.05</v>
      </c>
      <c r="K1493" t="s">
        <v>42</v>
      </c>
      <c r="L1493">
        <v>2791.0239999999999</v>
      </c>
      <c r="M1493" t="s">
        <v>44</v>
      </c>
      <c r="N1493" t="s">
        <v>50</v>
      </c>
      <c r="O1493">
        <v>0</v>
      </c>
      <c r="P1493" t="s">
        <v>1542</v>
      </c>
      <c r="Q1493" t="s">
        <v>2914</v>
      </c>
      <c r="R1493">
        <v>6.56</v>
      </c>
      <c r="S1493" s="5">
        <v>45494</v>
      </c>
      <c r="T1493" s="5">
        <v>45504</v>
      </c>
      <c r="U1493" t="s">
        <v>2926</v>
      </c>
    </row>
    <row r="1494" spans="1:21" x14ac:dyDescent="0.25">
      <c r="A1494" s="5">
        <v>45476</v>
      </c>
      <c r="B1494" s="7">
        <f>Table1[[#This Row],[TotalPrice]] * (1 - Table1[[#This Row],[Discount]])</f>
        <v>673.39134999999999</v>
      </c>
      <c r="C1494" s="7">
        <f>Table1[[#This Row],[Net Sales]] * 0.2</f>
        <v>134.67827</v>
      </c>
      <c r="D1494" t="s">
        <v>19</v>
      </c>
      <c r="E1494" t="s">
        <v>28</v>
      </c>
      <c r="F1494">
        <v>2</v>
      </c>
      <c r="G1494">
        <v>373.07</v>
      </c>
      <c r="H1494" t="s">
        <v>32</v>
      </c>
      <c r="I1494" t="s">
        <v>36</v>
      </c>
      <c r="J1494" s="3">
        <v>0.05</v>
      </c>
      <c r="K1494" t="s">
        <v>41</v>
      </c>
      <c r="L1494">
        <v>708.83299999999997</v>
      </c>
      <c r="M1494" t="s">
        <v>45</v>
      </c>
      <c r="N1494" t="s">
        <v>48</v>
      </c>
      <c r="O1494">
        <v>0</v>
      </c>
      <c r="P1494" t="s">
        <v>1543</v>
      </c>
      <c r="Q1494" t="s">
        <v>2915</v>
      </c>
      <c r="R1494">
        <v>26.9</v>
      </c>
      <c r="S1494" s="5">
        <v>45476</v>
      </c>
      <c r="T1494" s="5">
        <v>45480</v>
      </c>
      <c r="U1494" t="s">
        <v>2922</v>
      </c>
    </row>
    <row r="1495" spans="1:21" x14ac:dyDescent="0.25">
      <c r="A1495" s="5">
        <v>45559</v>
      </c>
      <c r="B1495" s="7">
        <f>Table1[[#This Row],[TotalPrice]] * (1 - Table1[[#This Row],[Discount]])</f>
        <v>8970.56</v>
      </c>
      <c r="C1495" s="7">
        <f>Table1[[#This Row],[Net Sales]] * 0.2</f>
        <v>1794.1120000000001</v>
      </c>
      <c r="D1495" t="s">
        <v>23</v>
      </c>
      <c r="E1495" t="s">
        <v>28</v>
      </c>
      <c r="F1495">
        <v>17</v>
      </c>
      <c r="G1495">
        <v>527.67999999999995</v>
      </c>
      <c r="H1495" t="s">
        <v>31</v>
      </c>
      <c r="I1495" t="s">
        <v>35</v>
      </c>
      <c r="J1495" s="3">
        <v>0</v>
      </c>
      <c r="K1495" t="s">
        <v>41</v>
      </c>
      <c r="L1495">
        <v>8970.56</v>
      </c>
      <c r="M1495" t="s">
        <v>44</v>
      </c>
      <c r="N1495" t="s">
        <v>48</v>
      </c>
      <c r="O1495">
        <v>0</v>
      </c>
      <c r="P1495" t="s">
        <v>1544</v>
      </c>
      <c r="Q1495" t="s">
        <v>2916</v>
      </c>
      <c r="R1495">
        <v>29.19</v>
      </c>
      <c r="S1495" s="5">
        <v>45559</v>
      </c>
      <c r="T1495" s="5">
        <v>45567</v>
      </c>
      <c r="U1495" t="s">
        <v>2926</v>
      </c>
    </row>
    <row r="1496" spans="1:21" x14ac:dyDescent="0.25">
      <c r="A1496" s="5">
        <v>45671</v>
      </c>
      <c r="B1496" s="7">
        <f>Table1[[#This Row],[TotalPrice]] * (1 - Table1[[#This Row],[Discount]])</f>
        <v>1006.45</v>
      </c>
      <c r="C1496" s="7">
        <f>Table1[[#This Row],[Net Sales]] * 0.2</f>
        <v>201.29000000000002</v>
      </c>
      <c r="D1496" t="s">
        <v>19</v>
      </c>
      <c r="E1496" t="s">
        <v>29</v>
      </c>
      <c r="F1496">
        <v>5</v>
      </c>
      <c r="G1496">
        <v>201.29</v>
      </c>
      <c r="H1496" t="s">
        <v>34</v>
      </c>
      <c r="I1496" t="s">
        <v>35</v>
      </c>
      <c r="J1496" s="3">
        <v>0</v>
      </c>
      <c r="K1496" t="s">
        <v>40</v>
      </c>
      <c r="L1496">
        <v>1006.45</v>
      </c>
      <c r="M1496" t="s">
        <v>43</v>
      </c>
      <c r="N1496" t="s">
        <v>48</v>
      </c>
      <c r="O1496">
        <v>0</v>
      </c>
      <c r="P1496" t="s">
        <v>1545</v>
      </c>
      <c r="Q1496" t="s">
        <v>2917</v>
      </c>
      <c r="R1496">
        <v>49.13</v>
      </c>
      <c r="S1496" s="5">
        <v>45671</v>
      </c>
      <c r="T1496" s="5">
        <v>45678</v>
      </c>
      <c r="U1496" t="s">
        <v>2922</v>
      </c>
    </row>
    <row r="1497" spans="1:21" x14ac:dyDescent="0.25">
      <c r="A1497" s="5">
        <v>45705</v>
      </c>
      <c r="B1497" s="7">
        <f>Table1[[#This Row],[TotalPrice]] * (1 - Table1[[#This Row],[Discount]])</f>
        <v>1578.7251999999999</v>
      </c>
      <c r="C1497" s="7">
        <f>Table1[[#This Row],[Net Sales]] * 0.2</f>
        <v>315.74504000000002</v>
      </c>
      <c r="D1497" t="s">
        <v>23</v>
      </c>
      <c r="E1497" t="s">
        <v>26</v>
      </c>
      <c r="F1497">
        <v>13</v>
      </c>
      <c r="G1497">
        <v>134.56</v>
      </c>
      <c r="H1497" t="s">
        <v>34</v>
      </c>
      <c r="I1497" t="s">
        <v>36</v>
      </c>
      <c r="J1497" s="3">
        <v>0.05</v>
      </c>
      <c r="K1497" t="s">
        <v>40</v>
      </c>
      <c r="L1497">
        <v>1661.816</v>
      </c>
      <c r="M1497" t="s">
        <v>45</v>
      </c>
      <c r="N1497" t="s">
        <v>50</v>
      </c>
      <c r="O1497">
        <v>0</v>
      </c>
      <c r="P1497" t="s">
        <v>1546</v>
      </c>
      <c r="Q1497" t="s">
        <v>2918</v>
      </c>
      <c r="R1497">
        <v>35.630000000000003</v>
      </c>
      <c r="S1497" s="5">
        <v>45705</v>
      </c>
      <c r="T1497" s="5">
        <v>45710</v>
      </c>
      <c r="U1497" t="s">
        <v>2926</v>
      </c>
    </row>
    <row r="1498" spans="1:21" x14ac:dyDescent="0.25">
      <c r="A1498" s="5">
        <v>45302</v>
      </c>
      <c r="B1498" s="7">
        <f>Table1[[#This Row],[TotalPrice]] * (1 - Table1[[#This Row],[Discount]])</f>
        <v>2727.7987499999999</v>
      </c>
      <c r="C1498" s="7">
        <f>Table1[[#This Row],[Net Sales]] * 0.2</f>
        <v>545.55975000000001</v>
      </c>
      <c r="D1498" t="s">
        <v>20</v>
      </c>
      <c r="E1498" t="s">
        <v>27</v>
      </c>
      <c r="F1498">
        <v>18</v>
      </c>
      <c r="G1498">
        <v>209.75</v>
      </c>
      <c r="H1498" t="s">
        <v>33</v>
      </c>
      <c r="I1498" t="s">
        <v>35</v>
      </c>
      <c r="J1498" s="3">
        <v>0.15</v>
      </c>
      <c r="K1498" t="s">
        <v>39</v>
      </c>
      <c r="L1498">
        <v>3209.1750000000002</v>
      </c>
      <c r="M1498" t="s">
        <v>46</v>
      </c>
      <c r="N1498" t="s">
        <v>48</v>
      </c>
      <c r="O1498">
        <v>0</v>
      </c>
      <c r="P1498" t="s">
        <v>1547</v>
      </c>
      <c r="Q1498" t="s">
        <v>2919</v>
      </c>
      <c r="R1498">
        <v>45.93</v>
      </c>
      <c r="S1498" s="5">
        <v>45302</v>
      </c>
      <c r="T1498" s="5">
        <v>45308</v>
      </c>
      <c r="U1498" t="s">
        <v>2923</v>
      </c>
    </row>
    <row r="1499" spans="1:21" x14ac:dyDescent="0.25">
      <c r="A1499" s="5">
        <v>45500</v>
      </c>
      <c r="B1499" s="7">
        <f>Table1[[#This Row],[TotalPrice]] * (1 - Table1[[#This Row],[Discount]])</f>
        <v>272.5</v>
      </c>
      <c r="C1499" s="7">
        <f>Table1[[#This Row],[Net Sales]] * 0.2</f>
        <v>54.5</v>
      </c>
      <c r="D1499" t="s">
        <v>19</v>
      </c>
      <c r="E1499" t="s">
        <v>26</v>
      </c>
      <c r="F1499">
        <v>1</v>
      </c>
      <c r="G1499">
        <v>272.5</v>
      </c>
      <c r="H1499" t="s">
        <v>32</v>
      </c>
      <c r="I1499" t="s">
        <v>35</v>
      </c>
      <c r="J1499" s="3">
        <v>0</v>
      </c>
      <c r="K1499" t="s">
        <v>37</v>
      </c>
      <c r="L1499">
        <v>272.5</v>
      </c>
      <c r="M1499" t="s">
        <v>44</v>
      </c>
      <c r="N1499" t="s">
        <v>50</v>
      </c>
      <c r="O1499">
        <v>0</v>
      </c>
      <c r="P1499" t="s">
        <v>1548</v>
      </c>
      <c r="Q1499" t="s">
        <v>2920</v>
      </c>
      <c r="R1499">
        <v>35.56</v>
      </c>
      <c r="S1499" s="5">
        <v>45500</v>
      </c>
      <c r="T1499" s="5">
        <v>45507</v>
      </c>
      <c r="U1499" t="s">
        <v>2922</v>
      </c>
    </row>
    <row r="1500" spans="1:21" x14ac:dyDescent="0.25">
      <c r="A1500" s="5">
        <v>45629</v>
      </c>
      <c r="B1500" s="7">
        <f>Table1[[#This Row],[TotalPrice]] * (1 - Table1[[#This Row],[Discount]])</f>
        <v>3318.83545</v>
      </c>
      <c r="C1500" s="7">
        <f>Table1[[#This Row],[Net Sales]] * 0.2</f>
        <v>663.76709000000005</v>
      </c>
      <c r="D1500" t="s">
        <v>22</v>
      </c>
      <c r="E1500" t="s">
        <v>28</v>
      </c>
      <c r="F1500">
        <v>14</v>
      </c>
      <c r="G1500">
        <v>262.67</v>
      </c>
      <c r="H1500" t="s">
        <v>32</v>
      </c>
      <c r="I1500" t="s">
        <v>36</v>
      </c>
      <c r="J1500" s="3">
        <v>0.05</v>
      </c>
      <c r="K1500" t="s">
        <v>40</v>
      </c>
      <c r="L1500">
        <v>3493.511</v>
      </c>
      <c r="M1500" t="s">
        <v>44</v>
      </c>
      <c r="N1500" t="s">
        <v>49</v>
      </c>
      <c r="O1500">
        <v>0</v>
      </c>
      <c r="P1500" t="s">
        <v>1549</v>
      </c>
      <c r="Q1500" t="s">
        <v>2921</v>
      </c>
      <c r="R1500">
        <v>24.53</v>
      </c>
      <c r="S1500" s="5">
        <v>45629</v>
      </c>
      <c r="T1500" s="5">
        <v>45636</v>
      </c>
      <c r="U1500" t="s">
        <v>2925</v>
      </c>
    </row>
    <row r="1501" spans="1:21" x14ac:dyDescent="0.25">
      <c r="A1501" s="5">
        <v>45786</v>
      </c>
      <c r="B1501" s="7">
        <f>Table1[[#This Row],[TotalPrice]] * (1 - Table1[[#This Row],[Discount]])</f>
        <v>2878.07</v>
      </c>
      <c r="C1501" s="7">
        <f>Table1[[#This Row],[Net Sales]] * 0.2</f>
        <v>575.61400000000003</v>
      </c>
      <c r="D1501" t="s">
        <v>23</v>
      </c>
      <c r="E1501" t="s">
        <v>27</v>
      </c>
      <c r="F1501">
        <v>13</v>
      </c>
      <c r="G1501">
        <v>221.39</v>
      </c>
      <c r="H1501" t="s">
        <v>34</v>
      </c>
      <c r="I1501" t="s">
        <v>35</v>
      </c>
      <c r="J1501" s="3">
        <v>0</v>
      </c>
      <c r="K1501" t="s">
        <v>39</v>
      </c>
      <c r="L1501">
        <v>2878.07</v>
      </c>
      <c r="M1501" t="s">
        <v>46</v>
      </c>
      <c r="N1501" t="s">
        <v>48</v>
      </c>
      <c r="O1501">
        <v>1</v>
      </c>
      <c r="P1501" t="s">
        <v>1550</v>
      </c>
      <c r="Q1501" t="s">
        <v>2207</v>
      </c>
      <c r="R1501">
        <v>21.05</v>
      </c>
      <c r="S1501" s="5">
        <v>45786</v>
      </c>
      <c r="T1501" s="5">
        <v>45790</v>
      </c>
      <c r="U1501" t="s">
        <v>2926</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3ECA64-8864-457A-8DDF-9D23658F9520}">
  <dimension ref="A1"/>
  <sheetViews>
    <sheetView zoomScaleNormal="100" workbookViewId="0">
      <selection sqref="A1:XFD1048576"/>
    </sheetView>
  </sheetViews>
  <sheetFormatPr defaultRowHeight="15" x14ac:dyDescent="0.25"/>
  <cols>
    <col min="1" max="16384" width="9.140625" style="11"/>
  </cols>
  <sheetData/>
  <mergeCells count="1">
    <mergeCell ref="A1:XFD1048576"/>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Sheet2</vt:lpstr>
      <vt:lpstr>Sheet3</vt:lpstr>
      <vt:lpstr>Sheet4</vt:lpstr>
      <vt:lpstr>Sheet5</vt:lpstr>
      <vt:lpstr>Sheet1</vt:lpstr>
      <vt:lpstr>Sales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Sunny Jangra</dc:creator>
  <cp:lastModifiedBy>Sunny Jangra</cp:lastModifiedBy>
  <cp:lastPrinted>2026-02-05T09:25:15Z</cp:lastPrinted>
  <dcterms:created xsi:type="dcterms:W3CDTF">2025-06-21T13:19:11Z</dcterms:created>
  <dcterms:modified xsi:type="dcterms:W3CDTF">2026-02-05T09:59:40Z</dcterms:modified>
</cp:coreProperties>
</file>